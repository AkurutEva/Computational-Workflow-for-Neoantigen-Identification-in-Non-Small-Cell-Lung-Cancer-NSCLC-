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_screening_after duplication" sheetId="1" r:id="rId5"/>
    <sheet state="visible" name="1st Split_Title and abstract_co" sheetId="2" r:id="rId6"/>
    <sheet state="visible" name="Final_inclusion_computaional" sheetId="3" r:id="rId7"/>
    <sheet state="visible" name="2nd_split_Clinical_trials" sheetId="4" r:id="rId8"/>
    <sheet state="visible" name="INCLUDED_Published_CLINICAL_TRI" sheetId="5" r:id="rId9"/>
    <sheet state="visible" name="Threshold_prediction" sheetId="6" r:id="rId10"/>
  </sheets>
  <definedNames>
    <definedName hidden="1" localSheetId="0" name="_xlnm._FilterDatabase">'1st_screening_after duplication'!$A$652:$B$654</definedName>
  </definedNames>
  <calcPr/>
</workbook>
</file>

<file path=xl/sharedStrings.xml><?xml version="1.0" encoding="utf-8"?>
<sst xmlns="http://schemas.openxmlformats.org/spreadsheetml/2006/main" count="10211" uniqueCount="4805">
  <si>
    <t>Publication Year</t>
  </si>
  <si>
    <t>Author</t>
  </si>
  <si>
    <t>Title</t>
  </si>
  <si>
    <t>Journal</t>
  </si>
  <si>
    <t>DOI</t>
  </si>
  <si>
    <t>Abstract Note</t>
  </si>
  <si>
    <t>Library Catalog</t>
  </si>
  <si>
    <t>study_type</t>
  </si>
  <si>
    <t>Include/Exclude_R1</t>
  </si>
  <si>
    <t>Include/Exclude1_R2</t>
  </si>
  <si>
    <t>Descripancy</t>
  </si>
  <si>
    <t>Final Verdict</t>
  </si>
  <si>
    <t>Study focus</t>
  </si>
  <si>
    <t>Russo, Salvatore; Feola, Sara; Feodoroff, Michaela; Chiaro, Jacopo; Antignani, Gabriella; Fusciello, Manlio; D’Alessio, Federica; Hamdan, Firas; Pellinen, Teijo; Mölsä, Riikka; Tripodi, Lorella; Pastore, Lucio; Grönholm, Mikaela; Cerullo, Vincenzo</t>
  </si>
  <si>
    <t>Low-dose decitabine enhances the efficacy of viral cancer vaccines for immunotherapy</t>
  </si>
  <si>
    <t>Molecular Therapy: Oncology</t>
  </si>
  <si>
    <t>https://doi.org/10.1016/j.omton.2024.200766</t>
  </si>
  <si>
    <t>Cancer immunotherapy requires a specific antitumor CD8+ T cell-driven immune response; however, upon genetic and epigenetic alterations of the antigen processing and presenting components, cancer cells escape the CD8+ T cell recognition. As a result, poorly immunogenic tumors are refractory to conventional immunotherapy. In this context, the use of viral cancer vaccines in combination with hypomethylating agents represents a promising strategy to prevent cancer from escaping immune system recognition. In this study, we evaluated the sensitivity of melanoma (B16-expressing ovalbumin) and metastatic triple-negative breast cancer (4T1) cell lines to FDA-approved low-dose decitabine in combination with PeptiCRAd, an adenoviral anticancer vaccine. The two models showed different sensitivity to decitabine in vitro and in vivo when combined with PeptiCRAd. In particular, mice bearing syngeneic 4T1 cancer showed higher tumor growth control when receiving the combinatorial treatment compared to single controls in association with a higher expression of MHC class I on cancer cells and reduction in Tregs within the tumor microenvironment. Furthermore, remodeling of the CD8+ T cell infiltration and cytotoxic activity toward cancer cells confirmed the effect of decitabine in enhancing anticancer vaccines in immunotherapy regimens.</t>
  </si>
  <si>
    <t>Embase</t>
  </si>
  <si>
    <t>Research</t>
  </si>
  <si>
    <t>No</t>
  </si>
  <si>
    <r>
      <rPr>
        <rFont val="Arial"/>
        <color theme="1"/>
      </rPr>
      <t xml:space="preserve">The primary models used and discussed in this paper are Melanoma (B16-OVA and A-375) and Triple-Negative Breast Cancer (4T1 and MDA-MB-436).
</t>
    </r>
    <r>
      <rPr>
        <rFont val="Arial"/>
        <b/>
        <color theme="1"/>
      </rPr>
      <t>Reason for exclusion</t>
    </r>
    <r>
      <rPr>
        <rFont val="Arial"/>
        <color theme="1"/>
      </rPr>
      <t>: Although the introduction mentions that the vaccine platform is being evaluated for NSCLC in a clinical trial, this specific paper does not provide data, methodologies, or identification tools specific to Non-Small Cell Lung Cancer.</t>
    </r>
  </si>
  <si>
    <t>Wells, Daniel K.; Buuren, Marit M. van; Dang, Kristen K.; Hubbard-Lucey, Vanessa M.; Sheehan, Kathleen C. F.; Campbell, Katie M.; Lamb, Andrew; Ward, Jeffrey P.; Sidney, John; Blazquez, Ana B.; Rech, Andrew J.; Zaretsky, Jesse M.; Comin-Anduix, Begonya; Ng, Alphonsus H. C.; Chour, William; Yu, Thomas V.; Rizvi, Hira; Chen, Jia M.; Manning, Patrice; Steiner, Gabriela M.; Doan, Xengie C.; Khan, Aly A.; Lugade, Amit; Lazic, Ana M. Mijalkovic; Frentzen, Angela A. Elizabeth; Tadmor, Arbel D.; Sasson, Ariella S.; Rao, Arjun A.; Pei, Baikang; Schrörs, Barbara; Berent-Maoz, Beata; Carreno, Beatriz M.; Song, Bin; Peters, Bjoern; Li, Bo; Higgs, Brandon W.; Stevenson, Brian J.; Iseli, Christian; Miller, Christopher A.; Morehouse, Christopher A.; Melief, Cornelis J. M.; Puig-Saus, Cristina; Beek, Daphne van; Balli, David; Gfeller, David; Haussler, David; Jäger, Dirk; Cortes, Eduardo; Esaulova, Ekaterina; Sherafat, Elham; Arcila, Francisco; Bartha, Gabor; Liu, Geng; Coukos, George; Richard, Guilhem; Chang, Han; Si, Han; Zörnig, Inka; Xenarios, Ioannis; Mandoiu, Ion; Kooi, Irsan; Conway, James P.; Kessler, Jan H.; Greenbaum, Jason A.; Perera, Jason F.; Harris, Jason; Hundal, Jasreet; Shelton, Jennifer M.; Wang, Jianmin; Wang, Jiaqian; Greshock, Joel; Blake, Jonathon; Szustakowski, Joseph; Kodysh, Julia; Forman, Juliet; Wei, Lei; Lee, Leo J.; Fanchi, Lorenzo F.; Slagter, Maarten; Lang, Maren; Mueller, Markus; Lower, Martin; Vormehr, Mathias; Artyomov, Maxim N.; Kuziora, Michael; Princiotta, Michael; Bassani-Sternberg, Michal; Macabali, Mignonette; Kojicic, Milica R.; Yang, Naibo; Raicevic, Nevena M. Ilic; Guex, Nicolas; Robine, Nicolas; Halama, Niels; Skundric, Nikola M.; Milicevic, Ognjen S.; Gellert, Pascal; Jongeneel, Patrick; Charoentong, Pornpimol; Srivastava, Pramod K.; Tanden, Prateek; Shah, Priyanka; Hu, Qiang; Gupta, Ravi; Chen, Richard; Petit, Robert; Ziman, Robert; Hilker, Rolf; Shukla, Sachet A.; Seesi, Sahar Al; Boyle, Sean M.; Qiu, Si; Sarkizova, Siranush; Salama, Sofie; Liu, Song; Wu, Song; Sridhar, Sriram; Ketelaars, Steven L. C.; Jhunjhunwala, Suchit; Shcheglova, Tatiana; Schuepbach, Thierry; Creasy, Todd H.; Josipovic, Veliborka; Kovacevic, Vladimir B.; Fu, Weixuan; Krebber, Willem-Jan; Hsu, Yi-Hsiang; Sebastian, Yinong; Yalcin, Zeynep Kosaloglu-; Huang, Zhiqin; Merghoub, Taha; Guinney, Justin; Kolom, Adam; Selinsky, Cheryl; Ribas, Antoni; Hellmann, Matthew D.; Hacohen, Nir; Sette, Alessandro; Heath, James R.; Bhardwaj, Nina; Ramsdell, Fred; Schreiber, Robert D.; Schumacher, Ton N.; Kvistborg, Pia; Defranoux, Nadine A.</t>
  </si>
  <si>
    <t>Key Parameters of Tumor Epitope Immunogenicity Revealed Through a Consortium Approach Improve Neoantigen Prediction</t>
  </si>
  <si>
    <t>Cell</t>
  </si>
  <si>
    <t>https://doi.org/10.1016/j.cell.2020.09.015</t>
  </si>
  <si>
    <t>Summary Many approaches to identify therapeutically relevant neoantigens couple tumor sequencing with bioinformatic algorithms and inferred rules of tumor epitope immunogenicity. However, there are no reference data to compare these approaches, and the parameters governing tumor epitope immunogenicity remain unclear. Here, we assembled a global consortium wherein each participant predicted immunogenic epitopes from shared tumor sequencing data. 608 epitopes were subsequently assessed for T cell binding in patient-matched samples. By integrating peptide features associated with presentation and recognition, we developed a model of tumor epitope immunogenicity that filtered out 98% of non-immunogenic peptides with a precision above 0.70. Pipelines prioritizing model features had superior performance, and pipeline alterations leveraging them improved prediction performance. These findings were validated in an independent cohort of 310 epitopes prioritized from tumor sequencing data and assessed for T cell binding. This data resource enables identification of parameters underlying effective anti-tumor immunity and is available to the research community.</t>
  </si>
  <si>
    <t>Yes</t>
  </si>
  <si>
    <t>Bhojnagarwala, Pratik S.; Perales-Puchalt, Alfredo; Cooch, Neil; Sardesai, Niranjan Y.; Weiner, David B.</t>
  </si>
  <si>
    <t>A synDNA vaccine delivering neoAg collections controls heterogenous, multifocal murine lung and ovarian tumors via robust T cell generation</t>
  </si>
  <si>
    <t>Molecular Therapy - Oncolytics</t>
  </si>
  <si>
    <t>https://doi.org/10.1016/j.omto.2021.04.005</t>
  </si>
  <si>
    <t>Neoantigens are tumor-specific antigens that arise due to somatic mutations in the DNA of tumor cells. They represent ideal targets for cancer immunotherapy since there is minimal risk for on-target, off-tumor toxicities. Additionally, these are foreign antigens that should be immunogenic due to lack of central immune tolerance. Tumor neoantigens are predominantly passenger mutations, which do not contribute to tumorigenesis. In cases of multi-focal or metastatic tumors, different foci can have significantly different mutation profiles. This suggests that it is important to target as many neoantigens as possible to better control tumors and target multi-focal tumors within the same patient. Herein, we report a study targeting up to 40 neoantigens using a single DNA plasmid. We observed significant plasticity in the epitope strings arranged in the vaccine with regard to immune induction and tumor control. Different vaccines elicited T cell responses against multiple epitopes on the vaccine string and controlled growth of multi-focal, heterogeneous tumors in a therapeutic tumor challenge. Additionally, the multi-epitope antigens induced long-term immunity and rejected a tumor re-challenge several weeks after the final vaccination. These data provide evidence that DNA-encoded long antigen strings can be an important tool for immunotherapeutic vaccination against neoantigens with implications for other in vivo-delivered antigen strings.</t>
  </si>
  <si>
    <t>Zhu, Ping; Li, Shi-You; Ding, Jin; Fei, Zhou; Sun, Sheng-Nan; Zheng, Zhao-Hui; Wei, Ding; Jiang, Jun; Miao, Jin-Lin; Li, San-Zhong; Luo, Xing; Zhang, Kui; Wang, Bin; Zhang, Kun; Pu, Su; Wang, Qian-Ting; Zhang, Xin-Yue; Wen, Gao-Liu; Liu, Jun O.; August, John Thomas; Bian, Huijie; Chen, Zhi-Nan; He, You-Wen</t>
  </si>
  <si>
    <t>Combination immunotherapy of glioblastoma with dendritic cell cancer vaccines, anti-PD-1 and poly I:C</t>
  </si>
  <si>
    <t>Journal of Pharmaceutical Analysis</t>
  </si>
  <si>
    <t>https://doi.org/10.1016/j.jpha.2023.04.012</t>
  </si>
  <si>
    <t>Glioblastoma (GBM) is a lethal cancer with limited therapeutic options. Dendritic cell (DC)-based cancer vaccines provide a promising approach for GBM treatment. Clinical studies suggest that other immunotherapeutic agents may be combined with DC vaccines to further enhance antitumor activity. Here, we report a GBM case with combination immunotherapy consisting of DC vaccines, anti-programmed death-1 (anti-PD-1) and poly I:C as well as the chemotherapeutic agent cyclophosphamide that was integrated with standard chemoradiation therapy, and the patient remained disease-free for 69 months. The patient received DC vaccines loaded with multiple forms of tumor antigens, including mRNA-tumor associated antigens (TAA), mRNA-neoantigens, and hypochlorous acid (HOCl)-oxidized tumor lysates. Furthermore, mRNA-TAAs were modified with a novel TriVac technology that fuses TAAs with a destabilization domain and inserts TAAs into full-length lysosomal associated membrane protein-1 to enhance major histocompatibility complex (MHC) class I and II antigen presentation. The treatment consisted of 42 DC cancer vaccine infusions, 26 anti-PD-1 antibody nivolumab administrations and 126 poly I:C injections for DC infusions. The patient also received 28 doses of cyclophosphamide for depletion of regulatory T cells. No immunotherapy-related adverse events were observed during the treatment. Robust antitumor CD4+ and CD8+ T-cell responses were detected. The patient remains free of disease progression. This is the first case report on the combination of the above three agents to treat glioblastoma patients. Our results suggest that integrated combination immunotherapy is safe and feasible for long-term treatment in this patient. A large-scale trial to validate these findings is warranted.</t>
  </si>
  <si>
    <t>While the introduction of the paper mentions NSCLC in the context of other trials to justify the combination therapy, the actual research data and the patient treated in this study are for Glioblastoma Multiforme (GBM), not lung cancer.</t>
  </si>
  <si>
    <t>Le, Yi; Gao, Hong; Le, Joanna; Hornick, Jason L.; Bleday, Ronald; Wee, Jon; Zhu, Zhenglun</t>
  </si>
  <si>
    <t>VentX promotes tumor specific immunity and efficacy of immune checkpoint inhibitors</t>
  </si>
  <si>
    <t>iScience</t>
  </si>
  <si>
    <t>https://doi.org/10.1016/j.isci.2023.108731</t>
  </si>
  <si>
    <t>Summary Immune suppression within tumor microenvironments (TME) have been implicated in limited efficacy of immune check point inhibitors (ICIs) against solid tumors. Down-regulated VentX expression in tumor associated macrophages (TAMs) underlies phagocytotic anergic phenotype of TAMs, which govern immunological state of TME. In this study, using a tumor immune microenvironment enabling model system (TIME-EMS) of non-small cell lung cancer (NSCLC), we found that PD-1 antibody modestly activates cytotoxic T lymphocytes (CTLs) within the NSCLC-TME but not the status of TIME. We showed that the restoration of VentX expression in TAMs reignites the phagocytotic function of TAMs, which in turn, transforms TIME, activates CTLs in a tumor-specific manner and promotes efficacy of PD-1 antibody against NSCLC but not toxicity on normal lung epithelial cells. Supported by in vivo data on NSG-PDX models of primary human NSCLC, our study revealed potential venues to promote the efficacy of ICI against solid tumors through VentX-based mechanisms.</t>
  </si>
  <si>
    <t>No (Indirect focus only). The study focuses on antigen presentation mechanisms via the transcription factor VentX in macrophages. While it discusses "tumor-specific activation of T cells" and the need for neoantigen stimulation to improve immunotherapy, the paper does not establish a methodology for identifying neoantigens, nor does it use specific neoantigen prediction tools or identify specific mutated peptides.</t>
  </si>
  <si>
    <t>Song, Zhengbo; Chen, Xiangbin; Shi, Yi; Huang, Rongfang; Wang, Wenxian; Zhu, Kunshou; Lin, Shaofeng; Wang, Minxian; Tian, Geng; Yang, Jialiang; Chen, Gang</t>
  </si>
  <si>
    <t>Evaluating the Potential of T Cell Receptor Repertoires in Predicting the Prognosis of Resectable Non-Small Cell Lung Cancers</t>
  </si>
  <si>
    <t>Molecular Therapy - Methods &amp; Clinical Development</t>
  </si>
  <si>
    <t>https://doi.org/10.1016/j.omtm.2020.05.020</t>
  </si>
  <si>
    <t>For resectable cancer patients, a method that could precisely predict the risk of postoperative recurrence would be crucial for guiding adjuvant treatment. Since T cell receptor (TCR) repertoires had been shown to be closely related to the dynamics of cancers, here we enrolled a cohort of patients to evaluate the potential of TCR repertoires in predicting the prognosis of resectable non-small cell lung cancers. Specifically, TCRβ repertoires were analyzed in surgical tumor tissues and matched adjacent non-tumor tissues from 39 patients enrolled with resectable non-small cell lung cancer, through target enrichment and high-throughput sequencing. As a result, there are significant differences between the TCR repertories of tumor samples and those of matched adjacent non-tumor samples as evaluated by criteria like the number of clonotypes. In addition, TCR repertoires were significantly associated with a few clinical features, as well as somatic mutations. Finally, certain TCRβ variable-joining (V-J) pairings were featured to build a logistic regression model in predicting postoperative recurrence of resectable non-small cell lung cancers with a testing area under the receiver operating characteristic curve (AUC) of around 0.9. Thus, we hypothesize that TCR repertoires could be potentially used to predict prognosis after curative surgery for non-small cell lung cancer patients.</t>
  </si>
  <si>
    <t>The study focuses on the T-cell receptor (TCR) repertoire diversity and clonality. While TCR diversity is inherently linked to the recognition of neoantigens, the study does not identify, predict, or validate specific neoantigens themselves. It maps the immune "receiver" side (TCRs) rather than the "target" side (neoantigens).</t>
  </si>
  <si>
    <t>Li, Shengxian; Wu, Jing; Li, Xiaoping; Chen, Jingtao; Wang, Chunxi</t>
  </si>
  <si>
    <t>Biomaterial-enhanced cancer vaccines</t>
  </si>
  <si>
    <t>Materials &amp; Design</t>
  </si>
  <si>
    <t>https://doi.org/10.1016/j.matdes.2022.110720</t>
  </si>
  <si>
    <t>Cancer vaccines are a promising strategy for preventing cancer progression through antitumor immunity activation. Some vaccines, such as Sipuleucel-T (an autologous active cellular immunotherapy), have been applied clinically. However, systemic toxicity and low immunogenicity have restricted their broad clinical application. Furthermore, the off-target effects induced by immunostimulatory adjuvants and cytokines also curtail cancer vaccine applications. Polymers, scaffolds, lipids, microneedles, and other biomaterials offer advantageous properties, such as excellent biocompatibility and biodegradability, flexible size, high loading capacity for immune-related components, and a large surface area for immune ligand binding. Thus, various biomaterials are applied as immune adjuvants in cancer vaccines to enhance cancer antigen immunogenicity, protect cargoes from the surrounding microenvironment, and promote antigen presentation. Herein, we divide biomaterial-enhanced cancer vaccines into peptide and protein vaccines, nucleic acid-based vaccines, tumor cell-based compound vaccine, and virus-based vaccines and summarize advances and challenges associated with the use of biomaterials in cancer vaccines.</t>
  </si>
  <si>
    <t>This is a Materials &amp; Design journal paper focusing on structural/material engineering (e.g., "lattice structures" or "mechanical properties") and does not relate to oncology or neoantigens.</t>
  </si>
  <si>
    <t>Hellmann, Matthew D.; Nathanson, Tavi; Rizvi, Hira; Creelan, Benjamin C.; Sanchez-Vega, Francisco; Ahuja, Arun; Ni, Ai; Novik, Jacki B.; Mangarin, Levi M. B.; Abu-Akeel, Mohsen; Liu, Cailian; Sauter, Jennifer L.; Rekhtman, Natasha; Chang, Eliza; Callahan, Margaret K.; Chaft, Jamie E.; Voss, Martin H.; Tenet, Megan; Li, Xue-Mei; Covello, Kelly; Renninger, Andrea; Vitazka, Patrik; Geese, William J.; Borghaei, Hossein; Rudin, Charles M.; Antonia, Scott J.; Swanton, Charles; Hammerbacher, Jeff; Merghoub, Taha; McGranahan, Nicholas; Snyder, Alexandra; Wolchok, Jedd D.</t>
  </si>
  <si>
    <t>Genomic Features of Response to Combination Immunotherapy in Patients with Advanced Non-Small-Cell Lung Cancer</t>
  </si>
  <si>
    <t>Cancer Cell</t>
  </si>
  <si>
    <t>https://doi.org/10.1016/j.ccell.2018.03.018</t>
  </si>
  <si>
    <t>Summary Combination immune checkpoint blockade has demonstrated promising benefit in lung cancer, but predictors of response to combination therapy are unknown. Using whole-exome sequencing to examine non-small-cell lung cancer (NSCLC) treated with PD-1 plus CTLA-4 blockade, we found that high tumor mutation burden (TMB) predicted improved objective response, durable benefit, and progression-free survival. TMB was independent of PD-L1 expression and the strongest feature associated with efficacy in multivariable analysis. The low response rate in TMB low NSCLCs demonstrates that combination immunotherapy does not overcome the negative predictive impact of low TMB. This study demonstrates the association between TMB and benefit to combination immunotherapy in NSCLC. TMB should be incorporated in future trials examining PD-(L)1 with CTLA-4 blockade in NSCLC.</t>
  </si>
  <si>
    <t>Vansteenkiste, J.; Demedts, I.; Cuppens, K.; Pons-Tostivint, E.; Wauters, E.; Borm, F. J.; Sibille, A.; Colinet, B.; Pérol, M.; Theelen, W. S. M. E.; Biesma, B.; Kerkhove, C. Van De; Buchmeier, E.; Althoff, F. C.; Derijcke, S.; Moro-Sibilot, D.; Laulagnier, K.; Halioua, E.; Levy, L.; Genin, M.; Michel, S.; Dedry, C.; Duchayne, C.; Collodoro, M.; Renard, F.; Adriaenssens, S.; Vos, B. De; Cantero, F.; Plumas, J.; Skrzypski, M.</t>
  </si>
  <si>
    <t>Innovative therapeutic cancer vaccine PDC∗lung01 with or without anti-PD-1: an open-label, dose-escalation phase I/II study in non-small-cell lung cancer</t>
  </si>
  <si>
    <t>ESMO Open</t>
  </si>
  <si>
    <t>https://doi.org/10.1016/j.esmoop.2025.105844</t>
  </si>
  <si>
    <t>Background While immune checkpoint inhibitors have revolutionized the treatment of non-small-cell lung cancer (NSCLC), many patients still suffer from either primary or acquired treatment resistance. Stimulation of antitumor cellular immunity with a therapeutic cancer vaccine in combination with anti-programmed cell death (ligand) protein 1 [PD-(L)1] may improve outcome. PDC∗lung01 is a cancer vaccine made of irradiated plasmacytoid dendritic cells loaded with six NSCLC tumor antigens (NY-ESO-1, MAGE-A3, MAGE-A4, Multi-MAGE-A, MUC1, and Survivin), and available as a ready-to-use product. Patients and methods This open-label, dose-escalation, multicenter, phase I/II study assessed the safety profile, clinical activity, and immunogenicity of PDC∗lung01 at low or high doses, either as a single agent in resected NSCLC (cohorts A) or with anti-PD-1 in metastatic NSCLC with PD-L1 ≥ 50% (cohorts B). The primary objective was vaccine-related dose-limiting toxicities (DLTs). Secondary objectives included safety profile, T-cell response against vaccine antigens in all cohorts, and clinical activity in cohort B2 (high-dose PDC∗lung01 with anti-PD-1): objective response rate (ORR) and 9-month progression-free survival (9mPFS). Results Median follow-up was 20 months [95% confidence interval (CI) 14-26 months] in all enrolled patients (N = 73). Most adverse events were mild to moderate; only one patient (2%) in cohort B2 reported a related DLT. In the combination of PDC∗lung01 (high-dose) with anti-PD-1 (N = 45), the confirmed ORR was 51% (80% CI 41% to 62%), the 9mPFS estimate was 47% (80% CI 37% to 57%), and the median PFS was 9 months (95% CI 5.0-24 months). PDC∗lung01 elicited tumor antigen-specific T-cell expansions in 50%-67% of patients and PFS duration correlated positively with immune response intensity (P = 0.04). Conclusions PDC∗lung01 was immunogenic and had a manageable safety profile in all cohorts and met the predefined clinical objectives when combined with anti-PD-1 in metastatic NSCLC. Median PFS was positively correlated with antigen-specific T-cell expansions.</t>
  </si>
  <si>
    <t>Clinical trial</t>
  </si>
  <si>
    <t>Although this is a high-quality clinical trial for a lung cancer vaccine, it focuses on Shared Tumor-Associated Antigens (TAAs) rather than Neoantigens (which arise from tumor-specific mutations). Since our inclusion criteria specifically target "neoantigen identification for human lung cancer vaccine development," this paper falls outside that scope.</t>
  </si>
  <si>
    <t>Ingels, Joline; Cock, Laurenz De; Mayer, Rupert L.; Devreker, Pam; Weening, Karin; Heyns, Kelly; Lootens, Nele; Smet, Saskia De; Brusseel, Marieke; Munter, Stijn De; Pille, Melissa; Billiet, Lore; Goetgeluk, Glenn; Bonte, Sarah; Jansen, Hanne; Lint, Sandra Van; Leclercq, Georges; Taghon, Tom; Menten, Björn; Vermaelen, Karim; Impens, Francis; Vandekerckhove, Bart</t>
  </si>
  <si>
    <t>Small-scale manufacturing of neoantigen-encoding messenger RNA for early-phase clinical trials</t>
  </si>
  <si>
    <t>Cytotherapy</t>
  </si>
  <si>
    <t>https://doi.org/10.1016/j.jcyt.2021.08.005</t>
  </si>
  <si>
    <t>Messenger RNA (mRNA) has become a promising tool in therapeutic cancer vaccine strategies. Owing to its flexible design and rapid production, mRNA is an attractive antigen delivery format for cancer vaccines targeting mutated peptides expressed in a tumor—the so-called neoantigens. These neoantigens are rarely shared between patients, and inclusion of these antigens in a vaccine requires the production of individual batches of patient-tailored mRNA. The authors have developed MIDRIXNEO, a personalized mRNA-loaded dendritic cell vaccine targeting tumor neoantigens, which is currently being evaluated in a phase 1 clinical study in lung cancer patients. To facilitate this study, the authors set up a Good Manufacturing Practice (GMP)-compliant production process for the manufacture of small batches of personalized neoantigen-encoding mRNA. In this article, the authors describe the complete mRNA production process and the extensive quality assessment to which the mRNA is subjected. Validation runs have shown that the process delivers mRNA of reproducible, high quality. This process is now successfully applied for the production of neoantigen-encoding mRNA for the clinical evaluation of MIDRIXNEO. To the authors’ knowledge, this is the first time that a GMP-based production process of patient-tailored neoantigen mRNA has been described.</t>
  </si>
  <si>
    <t>Conn, Brandon P.; Dietze, Jared L.; Yee, Christian J.; Hallisey, Margaret M.; Ortiz-Caraveo, Irais; Buuren, Marit M. van; Gaynor, Richard B.; Foley, Kendra C.; Choi, Jaewon; Juneja, Vikram R.</t>
  </si>
  <si>
    <t>Generation of T cell responses against broad KRAS hotspot neoantigens for cell therapy or TCR discovery</t>
  </si>
  <si>
    <t>Cell Reports Methods</t>
  </si>
  <si>
    <t>https://doi.org/10.1016/j.crmeth.2025.101049</t>
  </si>
  <si>
    <t>Summary Adoptive cell therapy (ACT) with T cells targeting Kirsten rat sarcoma (KRAS) neoantigens can drive anti-tumor immunity but has so far been focused on a small fraction of known KRAS neoantigens. Here, we develop a single process starting from peripheral blood that can prime and expand T cell responses ex vivo to any KRAS neoantigen based on each individual’s human leukocyte antigen (HLA) profile. We conducted the process in 20 healthy donors and generated T cell responses to 46 of 47 evaluated neoantigens. We identified and cloned more than 150 KRAS T cell receptors (TCRs), with the strongest TCRs having similar potency to clinically active benchmark TCRs. T cells generated through this process were able to slow tumor growth in vitro and in vivo. The approach could be used as the basis for the development of an ex vivo primed therapeutic or to discover a library of TCRs against a broad range of KRAS neoantigens.</t>
  </si>
  <si>
    <t>Ingels, Joline; Cock, Laurenz De; Stevens, Dieter; Mayer, Rupert L.; Théry, Fabien; Sanchez, Guillem Sanchez; Vermijlen, David; Weening, Karin; Smet, Saskia De; Lootens, Nele; Brusseel, Marieke; Verstraete, Tasja; Buyle, Jolien; Houtte, Eva Van; Devreker, Pam; Heyns, Kelly; Munter, Stijn De; Lint, Sandra Van; Goetgeluk, Glenn; Bonte, Sarah; Billiet, Lore; Pille, Melissa; Jansen, Hanne; Pascal, Eva; Deseins, Lucas; Vantomme, Lies; Verdonckt, Maarten; Roelandt, Ria; Eekhout, Thomas; Vandamme, Niels; Leclercq, Georges; Taghon, Tom; Kerre, Tessa; Vanommeslaeghe, Floris; Dhondt, Annemieke; Ferdinande, Liesbeth; Dorpe, Jo Van; Desender, Liesbeth; Ryck, Frederic De; Vermassen, Frank; Surmont, Veerle; Impens, Francis; Menten, Björn; Vermaelen, Karim; Vandekerckhove, Bart</t>
  </si>
  <si>
    <t>Neoantigen-targeted dendritic cell vaccination in lung cancer patients induces long-lived T cells exhibiting the full differentiation spectrum</t>
  </si>
  <si>
    <t>Cell Reports Medicine</t>
  </si>
  <si>
    <t>https://doi.org/10.1016/j.xcrm.2024.101516</t>
  </si>
  <si>
    <t>Summary Non-small cell lung cancer (NSCLC) is known for high relapse rates despite resection in early stages. Here, we present the results of a phase I clinical trial in which a dendritic cell (DC) vaccine targeting patient-individual neoantigens is evaluated in patients with resected NSCLC. Vaccine manufacturing is feasible in six of 10 enrolled patients. Toxicity is limited to grade 1–2 adverse events. Systemic T cell responses are observed in five out of six vaccinated patients, with T cell responses remaining detectable up to 19 months post vaccination. Single-cell analysis indicates that the responsive T cell population is polyclonal and exhibits the near-entire spectrum of T cell differentiation states, including a naive-like state, but excluding exhausted cell states. Three of six vaccinated patients experience disease recurrence during the follow-up period of 2 years. Collectively, these data support the feasibility, safety, and immunogenicity of this treatment in resected NSCLC.</t>
  </si>
  <si>
    <t>Zhang, Chao; Sun, Yu-Xuan; Yi, Ding-Cheng; Jiang, Ben-Yuan; Yan, Li-Xu; Liu, Ze-Dao; Peng, Li-Shan; Zhang, Wen-Jie; Sun, Hao; Chen, Zhi-Yong; Wang, Dan-Hua; Peng, Di; Chen, Song-An; Li, Si-Qi; Zhang, Ze; Tan, Xiao-Yue; Yang, Jie; Zhao, Zhang-Yi; Zhang, Wan-Ting; Su, Jian; Li, Yang-Si; Liao, Ri-Qiang; Dong, Song; Xu, Chong-Rui; Zhou, Qing; Yang, Xue-Ning; Wu, Yi-Long; Zhang, Ze-Min; Zhong, Wen-Zhao</t>
  </si>
  <si>
    <t>Neoadjuvant sintilimab plus chemotherapy in EGFR-mutant NSCLC: Phase 2 trial interim results (NEOTIDE/CTONG2104)</t>
  </si>
  <si>
    <t>https://doi.org/10.1016/j.xcrm.2024.101615</t>
  </si>
  <si>
    <t>Summary The clinical efficacy of neoadjuvant immunotherapy plus chemotherapy remains elusive in localized epidermal growth factor receptor (EGFR)-mutant non-small cell lung cancer (NSCLC). Here, we report interim results of a Simon’s two-stage design, phase 2 trial using neoadjuvant sintilimab with carboplatin and nab-paclitaxel in resectable EGFR-mutant NSCLC. All 18 patients undergo radical surgery, with one patient experiencing surgery delay. Fourteen patients exhibit confirmed radiological response, with 44% achieving major pathological response (MPR) and no pathological complete response (pCR). Similar genomic alterations are observed before and after treatment without influencing the efficacy of subsequent EGFR-tyrosine kinase inhibitors (TKIs) in vitro. Infiltration and T cell receptor (TCR) clonal expansion of CCR8+ regulatory T (Treg)hi/CXCL13+ exhausted T (Tex)lo cells define a subtype of EGFR-mutant NSCLC highly resistant to immunotherapy, with the phenotype potentially serving as a promising signature to predict immunotherapy efficacy. Informed circulating tumor DNA (ctDNA) detection in EGFR-mutant NSCLC could help identify patients nonresponsive to neoadjuvant immunochemotherapy. These findings provide supportive data for the utilization of neoadjuvant immunochemotherapy and insight into immune resistance in EGFR-mutant NSCLC.</t>
  </si>
  <si>
    <t>While the study conducts deep genomic and immune profiling (including T cell receptor [TCR] clonal expansion and ctDNA detection), it evaluates a standardized immunotherapy (Sintilimab, a PD-1 inhibitor) plus chemotherapy. It does not utilize a pipeline to identify patient-specific neoantigens for the purpose of vaccine design or neoantigen-specific validation.</t>
  </si>
  <si>
    <t>Memon, Danish; Schoenfeld, Adam J.; Ye, Darwin; Fromm, George; Rizvi, Hira; Zhang, Xiang; Keddar, Mohamed Reda; Mathew, Divij; Yoo, Kyung Jin; Qiu, Jingya; Lihm, Jayon; Miriyala, Jayalaksmi; Sauter, Jennifer L.; Luo, Jia; Chow, Andrew; Bhanot, Umesh K.; McCarthy, Caroline; Vanderbilt, Chad M.; Liu, Cailian; Abu-Akeel, Mohsen; Plodkowski, Andrew J.; McGranahan, Nicholas; Łuksza, Marta; Greenbaum, Benjamin D.; Merghoub, Taha; Achour, Ikbel; Barrett, J. Carl; Stewart, Ross; Beltrao, Pedro; Schreiber, Taylor H.; Minn, Andy J.; Miller, Martin L.; Hellmann, Matthew D.</t>
  </si>
  <si>
    <t>Clinical and molecular features of acquired resistance to immunotherapy in non-small cell lung cancer</t>
  </si>
  <si>
    <t>https://doi.org/10.1016/j.ccell.2023.12.013</t>
  </si>
  <si>
    <t>Summary Although immunotherapy with PD-(L)1 blockade is routine for lung cancer, little is known about acquired resistance. Among 1,201 patients with non-small cell lung cancer (NSCLC) treated with PD-(L)1 blockade, acquired resistance is common, occurring in &gt;60% of initial responders. Acquired resistance shows differential expression of inflammation and interferon (IFN) signaling. Relapsed tumors can be separated by upregulated or stable expression of IFNγ response genes. Upregulation of IFNγ response genes is associated with putative routes of resistance characterized by signatures of persistent IFN signaling, immune dysfunction, and mutations in antigen presentation genes which can be recapitulated in multiple murine models of acquired resistance to PD-(L)1 blockade after in vitro IFNγ treatment. Acquired resistance to PD-(L)1 blockade in NSCLC is associated with an ongoing, but altered IFN response. The persistently inflamed, rather than excluded or deserted, tumor microenvironment of acquired resistance may inform therapeutic strategies to effectively reprogram and reverse acquired resistance.</t>
  </si>
  <si>
    <t>Minaei, Neda; Ramezankhani, Roya; Tamimi, Atena; Piryaei, Abbas; Zarrabi, Ali; Aref, Amir Reza; Mostafavi, Ebrahim; Vosough, Massoud</t>
  </si>
  <si>
    <t>Immunotherapeutic approaches in Hepatocellular carcinoma: Building blocks of hope in near future</t>
  </si>
  <si>
    <t>European Journal of Cell Biology</t>
  </si>
  <si>
    <t>https://doi.org/10.1016/j.ejcb.2022.151284</t>
  </si>
  <si>
    <t>Hepatocellular carcinoma (HCC) is the most common type of primary hepatic cancer and is among the major causes of mortality due to cancer. Due to the lack of efficient conventional therapeutic options for this cancer, particularly in advanced cases, novel treatments including immunotherapy have been considered. However, despite the encouraging clinical outcomes after implementing these innovative approaches, such as oncolytic viruses (OVs), adoptive cell therapies (ACT), immune checkpoint blockades (ICBs), and cancer vaccines, several factors have restricted their therapeutic effect. The main concern is the existence of an immunosuppressive tumor microenvironment (TME). Combination of different ICBs or ICBs plus tyrosine kinase inhibitors have shown promising results in overcoming these limiting factors to some extent. Combination of programmed cell death ligand-1 (PD-L1) antibody Atezolizumab and vascular endothelial growth factor (VEGF) antibody Bevacizumab has become the standard of care in the first-line therapy for untestable HCC, approved by regulatory agencies. This paper highlighted a wide overview of the direct and indirect immunotherapeutic strategies proposed for the treatment of HCC patients and the common challenges that have hindered their further clinical applications.</t>
  </si>
  <si>
    <t>While it discusses neoantigen-based strategies (vaccines, T-cell therapy), it does not provide data or methodologies specific to Non-Small Cell Lung Cancer (NSCLC)</t>
  </si>
  <si>
    <t>Chen, Junju; Gao, Yixin; Zhong, Jian; Wu, Xujia; Leng, Zhaojie; Liu, Ming; Wang, Yesheng; Wang, Yuan; Yang, Xuesong; Huang, Nunu; Xiao, Feizhe; Zhang, Maolei; Liu, Xuesong; Zhang, Nu</t>
  </si>
  <si>
    <t>Lnc-H19-derived protein shapes the immunosuppressive microenvironment of glioblastoma</t>
  </si>
  <si>
    <t>https://doi.org/10.1016/j.xcrm.2024.101806</t>
  </si>
  <si>
    <t>Summary The immunosuppressive tumor microenvironment (TME) is a prominent feature of glioblastoma (GBM), the most lethal primary brain cancer resistant to current immunotherapies. The mechanisms underlying GBM-TME remain to be explored. We report that long non-coding RNA (LncRNA) H19 encodes an immune-related protein called H19-IRP. Functionally separated from H19 RNA, H19-IRP promotes GBM immunosuppression by binding to the CCL2 and Galectin-9 promoters and activating their transcription, thereby recruiting myeloid-derived suppressor cells (MDSCs) and tumor-associated macrophages (TAMs), leading to T cell exhaustion and an immunosuppressive GBM-TME. H19-IRP, overexpressed in clinical GBM samples, acts as a tumor-associated antigen (TAA) presented by major histocompatibility complex class I (MHC-I). A circular RNA vaccine targeting H19-IRP (circH19-vac) triggers a potent cytotoxic T cell response against GBM and inhibits GBM growth. Our results highlight the unrevealed function of H19-IRP in creating immunosuppressive GBM-TME by recruiting MDSCs and TAMs, supporting the idea of targeting H19-IRP with cancer vaccine for GBM treatment.</t>
  </si>
  <si>
    <t>Your review focus is specifically on Non-Small Cell Lung Cancer (NSCLC). While the paper mentions NSCLC in its introduction to provide context on immunotherapy success in other cancers, the primary experimental work and clinical cohorts are focused entirely on Glioblastoma.</t>
  </si>
  <si>
    <t>Li, Chunhua; Lei, Dan; Huang, Yudong; Jing, Yuanhao; Wang, Wanru; Cen, Lanqi; Wei, Zijian; Chen, Anni; Feng, Xiaoyu; Wang, Yushu; Yu, Lixia; Chen, Ying; Li, Rutian</t>
  </si>
  <si>
    <t>Remodeling the tumor immune microenvironment through hydrogel encapsulated G-Rh2 in situ vaccine and systemic immunotherapy</t>
  </si>
  <si>
    <t>Materials Today Bio</t>
  </si>
  <si>
    <t>https://doi.org/10.1016/j.mtbio.2024.101281</t>
  </si>
  <si>
    <t>Ginsenoside Rh2 (G-Rh2) is a vital bioactive compound in Traditional Chinese Medicine, celebrated for its strong pharmacological properties, particularly its potent antitumor effects. However, its poor water solubility and limited bioavailability have necessitated the development of a novel drug delivery method. In this study, we utilized an indocyanine green carboxylic acid-hydroxypropyl cellulose-abietic acid-bovine serum albumin hydrogel (ICG-HPC-AA/BSA hydrogel) as a tumor in situ vaccine to enhance the permeability, retention, and tumor-targeted therapeutic efficacy of G-Rh2. We examined the therapeutic impact of a G-Rh2-loaded hydrogel combined with systemic PD-1 antibody treatment in murine models of H22 liver cancer and CT26 colon cancer. Additionally, we explored the immune microenvironment of the tumors influenced by this in situ vaccination strategy.</t>
  </si>
  <si>
    <t>The study does not focus on NSCLC and specifically utilizes an "in situ" antigen liberation strategy rather than neoantigen identification or a personalized neoantigen-based vaccine.</t>
  </si>
  <si>
    <t>Shim, J. H.; Kim, H. S.; Cha, H.; Kim, S.; Kim, T. M.; Anagnostou, V.; Choi, Y.-L.; Jung, H. A.; Sun, J.-M.; Ahn, J. S.; Ahn, M.-J.; Park, K.; Park, W.-Y.; Lee, S.-H.</t>
  </si>
  <si>
    <t>HLA-corrected tumor mutation burden and homologous recombination deficiency for the prediction of response to PD-(L)1 blockade in advanced non-small-cell lung cancer patients</t>
  </si>
  <si>
    <t>Annals of Oncology</t>
  </si>
  <si>
    <t>https://doi.org/10.1016/j.annonc.2020.04.004</t>
  </si>
  <si>
    <t>Background Immune checkpoint inhibitors (ICIs) have been shown to be beneficial for some patients with advanced non-small-cell lung cancer (NSCLC). However, the underlying mechanisms mediating the limited response to ICIs remain unclear. Patients and methods We carried out whole-exome sequencing on 198 advanced NSCLC tumors that had been sampled before anti-programmed cell death 1 (anti-PD-1)/programmed death-ligand 1 (PD-L1) therapy. Detailed clinical characteristics were collected on these patients. We designed a new method to estimate human leukocyte antigen (HLA)-corrected tumor mutation burden (TMB), a modification which considers the loss of heterozygosity of HLA from conventional TMB. We carried out external validation of our findings utilizing 89 NSCLC samples and 110 melanoma samples from two independent cohorts of immunotherapy-treated patients. Results Homology-dependent recombination deficiency was identified in 37 patients (18.7%) and was associated with longer progression-free survival (PFS; P = 0.049). Using the HLA-corrected TMB, non-responders to ICIs were identified, despite having a high TMB (top 25%). Ten patients (21.3% of the high TMB group) were reclassified from the high TMB group into the low TMB group. The objective response rate (ORR), PFS, and overall survival (OS) were all lower in these patients compared with those of the high TMB group (ORR: 20% versus 59%, P = 0.0363; PFS: hazard ratio = 2.91, P = 0.007; OS: hazard ratio = 3.43, P = 0.004). Multivariate analyses showed that high HLA-corrected TMB was associated with a significant survival advantage (hazard ratio = 0.44, P = 0.015), whereas high conventional TMB was not associated with a survival advantage (hazard ratio = 0.63, P = 0.118). Applying this approach to the independent cohorts of 89 NSCLC patients and 110 melanoma patients, TMB-based survival prediction was significantly improved. Conclusion HLA-corrected TMB can reconcile the observed disparity in relationships between TMB and ICI responses, and is of predictive and prognostic value for ICI therapies.</t>
  </si>
  <si>
    <t>Bavafa, Azin; Salimian, Niloufar; Koohpar, Zeina Khazaei; Gholamzad, Amir; Fahimi, Hossein; Entezari, Maliheh; Jebali, Ali; Farahani, Najma; Hashemi, Mehrdad</t>
  </si>
  <si>
    <t>Nanoliposome-encapsulated MAGE peptides: A promising melanoma vaccine to activate human dendritic cells</t>
  </si>
  <si>
    <t>Results in Chemistry</t>
  </si>
  <si>
    <t>https://doi.org/10.1016/j.rechem.2025.102218</t>
  </si>
  <si>
    <t>Background Melanoma immunotherapy with MAGE-A/B-targeted vaccines faces challenges in achieving robust clinical responses. This study aimed to develop and evaluate a nanoliposome-encapsulated melanoma vaccine delivering MAGE-A and MAGE-B antigenic peptides to stimulate human dendritic cells (DCs). Methods MAGE-A and MAGE-B peptide sequences were selected based on bioinformatics analysis. Nanoliposomes encapsulating these peptides were synthesized and characterized, and their ability to stimulate interleukin (IL)-1 and IL-2 expression in human DCs in vitro was assessed. Results The synthesized nanoliposomes were spherical, averaged 110 nm in diameter, and efficiently encapsulated approximately 90 % of the peptides. In vitro experiments showed that exposure of DCs to the nanoliposomes resulted in increased IL-1 and IL-2 gene expression, with a maximum effect at a concentration of 240 μg/mL after 48 h. Conclusion Nanoliposome encapsulation of MAGE-A/B peptides effectively delivers antigen to DCs and stimulates cytokine production in vitro. This nanoliposome-based vaccine shows promise as a potential melanoma immunotherapy strategy and warrants further in vivo investigation.</t>
  </si>
  <si>
    <t>Melanoma (The study is explicitly aimed at melanoma immunotherapy).</t>
  </si>
  <si>
    <t>Okada, Masahiro; Shimizu, Kanako; Iyoda, Tomonori; Ueda, Shogo; Shinga, Jun; Mochizuki, Yoshiki; Watanabe, Takashi; Ohara, Osamu; Fujii, Shin-ichiro</t>
  </si>
  <si>
    <t>PD-L1 Expression Affects Neoantigen Presentation</t>
  </si>
  <si>
    <t>https://doi.org/10.1016/j.isci.2020.101238</t>
  </si>
  <si>
    <t>Summary Although PD-L1 expression on tumor is related to the prognosis of immune checkpoint blockade (ICB) therapy, a recent study also demonstrated clinical benefits even in patients without PD-L1 expression. To understand the relationship between innate resistance and antitumor cytotoxic T lymphocyte (CTL) responses especially against neoantigens, the interaction between PD-L1+ or genetically PD-L1-deleted colorectal tumors and CTLs was assessed under an ICB therapy, finding the robust CTL activation in PD-L1-deleted tumor-bearing mice. Using antigen libraries based on immunogenomics, we identified three H2-Kb-restricted, somatic-mutated immunogenic neoantigens by utilizing enhanced CTLs responses due to PD-L1 deficiency. Furthermore, we identified three T cell receptor (TCR) repertoires relevant to the neoantigens, confirming the response of TCR-gene-transduced CTLs to parental tumor cells. Notably, neoantigen-pulsed dendritic cell (DC) therapy reversed the tumor tolerance. Thus, innate resistance of tumors determines their responsiveness to neoantigens and mixed neoantigen peptides may be useful in DC therapy against innate resistance type tumor.</t>
  </si>
  <si>
    <t>Although this is an excellent paper on neoantigen identification and DC vaccine development, it fails our cancer type criterion. The primary research and validation are focused on Colorectal and Uterine cancers, not Lung Cancer (NSCLC).</t>
  </si>
  <si>
    <t>Galan-Cobo, Ana; Vokes, Natalie I.; Qian, Yu; Molkentine, David; Ramkumar, Kavya; Paula, Alvaro G.; Pisegna, Marlese; McGrail, Daniel J.; Poteete, Alissa; Cho, Sungnam; Do, Minh Truong; Karimi, Amirali; Kong, Yifan; Solanki, Anisha; Karmokar, Ankur; Floc’h, Nicolas; Hughes, Adina; Sargeant, Rebecca; Young, Lucy; Shen, Li; Kar, Gozde; Keshvani, Caezaan; Arrechedera, Claudio; Hernandez, Sharia; Schlacher, Katharina; Wang, Jing; Iyer, Sonia; Conway, James; Keddar, Mohamed Reda; Milo, Marta; Toma, Ilario de; Critchlow, Susan E.; Barrett, J. Carl; Cosaert, Jan; Lau, Alan; Valge-Archer, Viia; Byers, Lauren A.; Barry, Simon T.; Heymach, John V.</t>
  </si>
  <si>
    <t>KEAP1 and STK11/LKB1 alterations enhance vulnerability to ATR inhibition in KRAS mutant non-small cell lung cancer</t>
  </si>
  <si>
    <t>https://doi.org/10.1016/j.ccell.2025.06.011</t>
  </si>
  <si>
    <t>Summary KRAS mutations frequently co-occur with alterations in STK11/LKB1 and/or KEAP1, defining an aggressive subset of lung cancers resistant to immuno- and chemotherapy. While LKB1 loss is associated with vulnerability to DNA damage response-based therapies, the impact of KEAP1 alterations remains unknown. We demonstrate that KEAP1-NRF2 pathway drives a compensatory modulation of ATR-CHK1 signaling, enhancing vulnerability to ATR inhibitors (ATRi), particularly in the setting of increased replication stress associated with LKB1 loss. ATRi shows enhanced anti-tumor activity in LKB1 and/or KEAP1-deficient non-small cell lung cancer (NSCLC) models and synergizes with gemcitabine. ATRi also enhances antitumor immunity and mitigates the immunosuppressed phenotype of LKB1/KEAP1-deficient tumors. In the HUDSON trial, LKB1/KEAP1-deficient NSCLC patients demonstrate enhanced benefits to the ATRi ceralasertib plus durvalumab. These findings suggest that alterations in the KEAP1-NRF2 pathway and/or LKB1 are associated with enhanced sensitivity to ATRi and could serve as biomarkers for predicting response to ATRi combination regimens.</t>
  </si>
  <si>
    <t>While the study is highly relevant to NSCLC treatment (specifically combining ATR inhibitors with immunotherapy), it does not utilize or discuss the identification, prediction, or application of neoantigens.</t>
  </si>
  <si>
    <t>Tailor, Arun; Estephan, Hala; Parker, Robert; Woodhouse, Isaac; Abdulghani, Majd; Nicastri, Annalisa; Jones, Keaton; Salatino, Silvia; Muschel, Ruth; Humphrey, Timothy; Giaccia, Amato; Ternette, Nicola</t>
  </si>
  <si>
    <t>Ionizing Radiation Drives Key Regulators of Antigen Presentation and a Global Expansion of the Immunopeptidome</t>
  </si>
  <si>
    <t>Molecular &amp; Cellular Proteomics</t>
  </si>
  <si>
    <t>https://doi.org/10.1016/j.mcpro.2022.100410</t>
  </si>
  <si>
    <t>Little is known about the pathways regulating MHC antigen presentation and the identity of treatment-specific T cell antigens induced by ionizing radiation. For this reason, we investigated the radiation-specific changes in the colorectal tumor cell proteome. We found an increase in DDX58 and ZBP1 protein expression, two nucleic acid sensing molecules likely involved in induction of the dominant interferon response signature observed after genotoxic insult. We further observed treatment-induced changes in key regulators and effector proteins of the antigen processing and presentation machinery. Differential regulation of MHC allele expression was further driving the presentation of a significantly broader MHC-associated peptidome postirradiation, defining a radiation-specific peptide repertoire. Interestingly, treatment-induced peptides originated predominantly from proteins involved in catecholamine synthesis and metabolic pathways. A nuanced relationship between protein expression and antigen presentation was observed where radiation-induced changes in proteins do not correlate with increased presentation of associated peptides. Finally, we detected an increase in the presentation of a tumor-specific neoantigen derived from Mtch1. This study provides new insights into how radiation enhances antigen processing and presentation that could be suitable for the development of combinatorial therapies. Data are available via ProteomeXchange with identifier PXD032003.</t>
  </si>
  <si>
    <t>murine colorectal cell lines, CT26 and MC38</t>
  </si>
  <si>
    <t>Nabet, Barzin Y.; Esfahani, Mohammad S.; Moding, Everett J.; Hamilton, Emily G.; Chabon, Jacob J.; Rizvi, Hira; Steen, Chloe B.; Chaudhuri, Aadel A.; Liu, Chih Long; Hui, Angela B.; Almanza, Diego; Stehr, Henning; Gojenola, Linda; Bonilla, Rene F.; Jin, Michael C.; Jeon, Young-Jun; Tseng, Diane; Liu, Cailian; Merghoub, Taha; Neal, Joel W.; Wakelee, Heather A.; Padda, Sukhmani K.; Ramchandran, Kavitha J.; Das, Millie; Plodkowski, Andrew J.; Yoo, Christopher; Chen, Emily L.; Ko, Ryan B.; Newman, Aaron M.; Hellmann, Matthew D.; Alizadeh, Ash A.; Diehn, Maximilian</t>
  </si>
  <si>
    <t>Noninvasive Early Identification of Therapeutic Benefit from Immune Checkpoint Inhibition</t>
  </si>
  <si>
    <t>https://doi.org/10.1016/j.cell.2020.09.001</t>
  </si>
  <si>
    <t>Summary Although treatment of non-small cell lung cancer (NSCLC) with immune checkpoint inhibitors (ICIs) can produce remarkably durable responses, most patients develop early disease progression. Furthermore, initial response assessment by conventional imaging is often unable to identify which patients will achieve durable clinical benefit (DCB). Here, we demonstrate that pre-treatment circulating tumor DNA (ctDNA) and peripheral CD8 T cell levels are independently associated with DCB. We further show that ctDNA dynamics after a single infusion can aid in identification of patients who will achieve DCB. Integrating these determinants, we developed and validated an entirely noninvasive multiparameter assay (DIREct-On, Durable Immunotherapy Response Estimation by immune profiling and ctDNA-On-treatment) that robustly predicts which patients will achieve DCB with higher accuracy than any individual feature. Taken together, these results demonstrate that integrated ctDNA and circulating immune cell profiling can provide accurate, noninvasive, and early forecasting of ultimate outcomes for NSCLC patients receiving ICIs.</t>
  </si>
  <si>
    <t>Zheng, Chunhong; Fass, Joseph N.; Shih, Yi-Ping; Gunderson, Andrew J.; Silva, Nelson Sanjuan; Huang, Huayu; Bernard, Brady M.; Rajamanickam, Venkatesh; Slagel, Joseph; Bifulco, Carlo B.; Piening, Brian; Newell, Pippa H. A.; Hansen, Paul D.; Tran, Eric</t>
  </si>
  <si>
    <t>Transcriptomic profiles of neoantigen-reactive T cells in human gastrointestinal cancers</t>
  </si>
  <si>
    <t>https://doi.org/10.1016/j.ccell.2022.03.005</t>
  </si>
  <si>
    <t>Summary Tumor-infiltrating neoantigen-reactive T cells can mediate regression of metastatic gastrointestinal cancers yet remain poorly characterized. We performed immunological screening against personalized neoantigens in combination with single-cell RNA sequencing on tumor-infiltrating lymphocytes from bile duct and pancreatic cancer patients to characterize the transcriptomic landscape of neoantigen-reactive T cells. We found that most neoantigen-reactive CD8+ T cells displayed an exhausted state with significant CXCL13 and GZMA co-expression compared with non-neoantigen-reactive bystander cells. Most neoantigen-reactive CD4+ T cells from a patient with bile duct cancer also exhibited an exhausted phenotype but with overexpression of HOPX or ADGRG1 while lacking IL7R expression. Thus, neoantigen-reactive T cells infiltrating gastrointestinal cancers harbor distinct transcriptomic signatures, which may provide new opportunities for harnessing these cells for therapy.</t>
  </si>
  <si>
    <t>While the article mentions NSCLC in the introduction and discussion to compare results, the original research and data are centered on GI cancers.</t>
  </si>
  <si>
    <t>Lu, Sydney X.; Neef, Emma De; Thomas, James D.; Sabio, Erich; Rousseau, Benoit; Gigoux, Mathieu; Knorr, David A.; Greenbaum, Benjamin; Elhanati, Yuval; Hogg, Simon J.; Chow, Andrew; Ghosh, Arnab; Xie, Abigail; Zamarin, Dmitriy; Cui, Daniel; Erickson, Caroline; Singer, Michael; Cho, Hana; Wang, Eric; Lu, Bin; Durham, Benjamin H.; Shah, Harshal; Chowell, Diego; Gabel, Austin M.; Shen, Yudao; Liu, Jing; Jin, Jian; Rhodes, Matthew C.; Taylor, Richard E.; Molina, Henrik; Wolchok, Jedd D.; Merghoub, Taha; Diaz, Luis A.; Abdel-Wahab, Omar; Bradley, Robert K.</t>
  </si>
  <si>
    <t>Pharmacologic modulation of RNA splicing enhances anti-tumor immunity</t>
  </si>
  <si>
    <t>https://doi.org/10.1016/j.cell.2021.05.038</t>
  </si>
  <si>
    <t>Summary Although mutations in DNA are the best-studied source of neoantigens that determine response to immune checkpoint blockade, alterations in RNA splicing within cancer cells could similarly result in neoepitope production. However, the endogenous antigenicity and clinical potential of such splicing-derived epitopes have not been tested. Here, we demonstrate that pharmacologic modulation of splicing via specific drug classes generates bona fide neoantigens and elicits anti-tumor immunity, augmenting checkpoint immunotherapy. Splicing modulation inhibited tumor growth and enhanced checkpoint blockade in a manner dependent on host T cells and peptides presented on tumor MHC class I. Splicing modulation induced stereotyped splicing changes across tumor types, altering the MHC I-bound immunopeptidome to yield splicing-derived neoepitopes that trigger an anti-tumor T cell response in vivo. These data definitively identify splicing modulation as an untapped source of immunogenic peptides and provide a means to enhance response to checkpoint blockade that is readily translatable to the clinic.</t>
  </si>
  <si>
    <t>Although the primary mouse models are B16 (melanoma) and MC38 (colon), the study discusses human NSCLC in the context of improving immunotherapy responses, and the "stereotyped" nature of the splicing changes makes the findings directly applicable to NSCLC research.</t>
  </si>
  <si>
    <t>Vyasamneni, Rohit; Kohler, Victoria; Karki, Binisha; Mahimkar, Gauri; Esaulova, Ekaterina; McGee, Jonathan; Kallin, Daniel; Sheen, Joong Hyuk; Harjanto, Dewi; Kirsch, Miles; Poran, Asaf; Dong, Jesse; Srinivasan, Lakshmi; Gaynor, Richard B.; Bushway, Meghan E.; Srouji, John R.</t>
  </si>
  <si>
    <t>A universal MHCII technology platform to characterize antigen-specific CD4+ T cells</t>
  </si>
  <si>
    <t>https://doi.org/10.1016/j.crmeth.2022.100388</t>
  </si>
  <si>
    <t>Summary CD4+ T cells are critical to the immune system and perform multiple functions; therefore, their identification and characterization are crucial to better understanding the immune system in both health and disease states. However, current methods rarely preserve their ex vivo phenotype, thus limiting our understanding of their in vivo functions. Here we introduce a flexible, rapid, and robust platform for ex vivo CD4+ T cell identification. By combining MHCII allele purification, allele-independent peptide loading, and multiplexed flow cytometry technologies, we can enable high-throughput personalized CD4+ T cell identification, immunophenotyping, and sorting. Using this platform in combination with single-cell sorting and multimodal analyses, we identified and characterized antigen-specific CD4+ T cells relevant to COVID-19 and cancer neoantigen immunotherapy. Overall, our platform can be used to detect and characterize CD4+ T cells across multiple diseases, with potential to guide CD4+ T cell epitope design for any disease-specific immunization strategy.</t>
  </si>
  <si>
    <t>The primary focus of the clinical data and the application shown in this paper is Melanoma.</t>
  </si>
  <si>
    <t>Lu, Haonan; Lou, Hantao; Wengert, Georg; Paudel, Reema; Patel, Naina; Desai, Saral; Crum, Bill; Linton-Reid, Kristofer; Chen, Mitchell; Li, Dongyang; Ip, Jacey; Mauri, Francesco; Pinato, David J.; Rockall, Andrea; Copley, Susan J.; Ghaem-Maghami, Sadaf; Aboagye, Eric O.</t>
  </si>
  <si>
    <t>Tumor and local lymphoid tissue interaction determines prognosis in high-grade serous ovarian cancer</t>
  </si>
  <si>
    <t>https://doi.org/10.1016/j.xcrm.2023.101092</t>
  </si>
  <si>
    <t>Summary Tertiary lymphoid structure (TLS) is associated with prognosis in copy-number-driven tumors, including high-grade serous ovarian cancer (HGSOC), although the function of TLS and its interaction with copy-number alterations in HGSOC are not fully understood. In the current study, we confirm that TLS-high HGSOC patients show significantly better progression-free survival (PFS). We show that the presence of TLS in HGSOC tumors is associated with B cell maturation and cytotoxic tumor-specific T cell activation and proliferation. In addition, the copy-number loss of IL15 and CXCL10 may limit TLS formation in HGSOC; a list of genes that may dysregulate TLS function is also proposed. Last, a radiomics-based signature is developed to predict the presence of TLS, which independently predicts PFS in both HGSOC patients and immune checkpoint inhibitor (ICI)-treated non-small cell lung cancer (NSCLC) patients. Overall, we reveal that TLS coordinates intratumoral B cell and T cell response to HGSOC tumor, while the cancer genome evolves to counteract TLS formation and function.</t>
  </si>
  <si>
    <t>Although the authors mention NSCLC in their validation step, the core research and the "mapping of methodologies" provided by this study are for Ovarian Cancer.</t>
  </si>
  <si>
    <t>Weeden, Clare E.; Gayevskiy, Velimir; Marceaux, Claire; Batey, Daniel; Tan, Tania; Yokote, Kenta; Ribera, Nina Tubau; Clatch, Allison; Christo, Susan; Teh, Charis E.; Mitchell, Andrew J.; Trussart, Marie; Rankin, Lucille; Obers, Andreas; McDonald, Jackson A.; Sutherland, Kate D.; Sharma, Varun J.; Starkey, Graham; D’Costa, Rohit; Antippa, Phillip; Leong, Tracy; Steinfort, Daniel; Irving, Louis; Swanton, Charles; Gordon, Claire L.; Mackay, Laura K.; Speed, Terence P.; Gray, Daniel H. D.; Asselin-Labat, Marie-Liesse</t>
  </si>
  <si>
    <t>Early immune pressure initiated by tissue-resident memory T cells sculpts tumor evolution in non-small cell lung cancer</t>
  </si>
  <si>
    <t>https://doi.org/10.1016/j.ccell.2023.03.019</t>
  </si>
  <si>
    <t>Summary Tissue-resident memory T (TRM) cells provide immune defense against local infection and can inhibit cancer progression. However, it is unclear to what extent chronic inflammation impacts TRM activation and whether TRM cells existing in tissues before tumor onset influence cancer evolution in humans. We performed deep profiling of healthy lungs and lung cancers in never-smokers (NSs) and ever-smokers (ESs), finding evidence of enhanced immunosurveillance by cells with a TRM-like phenotype in ES lungs. In preclinical models, tumor-specific or bystander TRM-like cells present prior to tumor onset boosted immune cell recruitment, causing tumor immune evasion through loss of MHC class I protein expression and resistance to immune checkpoint inhibitors. In humans, only tumors arising in ES patients underwent clonal immune evasion, unrelated to tobacco-associated mutagenic signatures or oncogenic drivers. These data demonstrate that enhanced TRM-like activity prior to tumor development shapes the evolution of tumor immunogenicity and can impact immunotherapy outcomes.</t>
  </si>
  <si>
    <t>This study focuses on Tissue-Resident Memory T (TRM) cells and how they exert immune pressure before and during tumor onset. While the study mentions that TRM cells "recognize tumor antigens," it focuses on the consequences of this recognition (e.g., immunoediting, loss of MHC Class I, and clonal immune evasion) rather than the identification or therapeutic use of specific neoantigens. It does not provide a pipeline for neoantigen prediction.</t>
  </si>
  <si>
    <t>Niizuma, Kouta; Nishimura, Toshinobu; Villanueva, Jonathan; Amaya, Laura; Fowler, Jonas L.; Isobe, Taichi; Nakauchi, Yusuke; Saavedra, Brandon; Xu, Haojun; Nakanishi, Mahito; Wilkinson, Adam C.; Loh, Kyle M.; Shrager, Joseph B.; Nakauchi, Hiromitsu</t>
  </si>
  <si>
    <t>Development of iPSC-derived T cells targeting EGFR neoantigens in non-small cell lung cancer</t>
  </si>
  <si>
    <t>Molecular Therapy Methods &amp; Clinical Development</t>
  </si>
  <si>
    <t>https://doi.org/10.1016/j.omtm.2025.101517</t>
  </si>
  <si>
    <t>A long-sought goal of cancer immunotherapy is to mass-produce T cells that specifically target tumor neoantigens. One decisive challenge is the identification of neoantigens derived from cancer driver genes. Here, we identify T cells that recognize the NSCLC-associated EGFR C797S mutation, which confers resistance to current inhibitors and is linked to poor prognosis. To overcome limitations in T cell availability, we reprogrammed EGFR C797S-specific T cells into induced pluripotent stem cells (iPSCs) and re-differentiated them into CD8+ T cells. These iPSC-derived T cells specifically recognized the EGFR C797S mutation and effectively killed cancer cells expressing this mutation. Our findings underscore the potential of targeting driver mutation-derived neoantigens for immunotherapy and demonstrate that iPSC-derived T cells can mediate antitumor effects. Collectively, this approach combining neoantigen identification with T cell reprogramming may offer a promising strategy for targeting drug-resistant tumors.</t>
  </si>
  <si>
    <t>Strongly relevant</t>
  </si>
  <si>
    <t>Leader, Andrew M.; Grout, John A.; Maier, Barbara B.; Nabet, Barzin Y.; Park, Matthew D.; Tabachnikova, Alexandra; Chang, Christie; Walker, Laura; Lansky, Alona; Berichel, Jessica Le; Troncoso, Leanna; Malissen, Nausicaa; Davila, Melanie; Martin, Jerome C.; Magri, Giuliana; Tuballes, Kevin; Zhao, Zhen; Petralia, Francesca; Samstein, Robert; D’Amore, Natalie Roy; Thurston, Gavin; Kamphorst, Alice O.; Wolf, Andrea; Flores, Raja; Wang, Pei; Müller, Sören; Mellman, Ira; Beasley, Mary Beth; Salmon, Hélène; Rahman, Adeeb H.; Marron, Thomas U.; Kenigsberg, Ephraim; Merad, Miriam</t>
  </si>
  <si>
    <t>Single-cell analysis of human non-small cell lung cancer lesions refines tumor classification and patient stratification</t>
  </si>
  <si>
    <t>https://doi.org/10.1016/j.ccell.2021.10.009</t>
  </si>
  <si>
    <t>Summary Immunotherapy is a mainstay of non-small cell lung cancer (NSCLC) management. While tumor mutational burden (TMB) correlates with response to immunotherapy, little is known about the relationship between the baseline immune response and tumor genotype. Using single-cell RNA sequencing, we profiled 361,929 cells from 35 early-stage NSCLC lesions. We identified a cellular module consisting of PDCD1+CXCL13+ activated T cells, IgG+ plasma cells, and SPP1+ macrophages, referred to as the lung cancer activation module (LCAMhi). We confirmed LCAMhi enrichment in multiple NSCLC cohorts, and paired CITE-seq established an antibody panel to identify LCAMhi lesions. LCAM presence was found to be independent of overall immune cell content and correlated with TMB, cancer testis antigens, and TP53 mutations. High baseline LCAM scores correlated with enhanced NSCLC response to immunotherapy even in patients with above median TMB, suggesting that immune cell composition, while correlated with TMB, may be a nonredundant biomarker of response to immunotherapy.</t>
  </si>
  <si>
    <t>While the study profiles the immune microenvironment in depth (identifying a "lung cancer activation module" or LCAM), its focus is on cell state classification and the interaction between immune and tumor cells. It does not describe a pipeline for neoantigen prediction, tool benchmarking, or vaccine-specific antigen identification.</t>
  </si>
  <si>
    <t>Awad, Mark M.; Govindan, Ramaswamy; Balogh, Kristen N.; Spigel, David R.; Garon, Edward B.; Bushway, Meghan E.; Poran, Asaf; Sheen, Joong Hyuk; Kohler, Victoria; Esaulova, Ekaterina; Srouji, John; Ramesh, Suchitra; Vyasamneni, Rohit; Karki, Binisha; Sciuto, Tracey E.; Sethi, Himanshu; Dong, Jesse Z.; Moles, Melissa A.; Manson, Kelledy; Rooney, Michael S.; Khondker, Zakaria S.; DeMario, Mark; Gaynor, Richard B.; Srinivasan, Lakshmi</t>
  </si>
  <si>
    <t>Personalized neoantigen vaccine NEO-PV-01 with chemotherapy and anti-PD-1 as first-line treatment for non-squamous non-small cell lung cancer</t>
  </si>
  <si>
    <t>https://doi.org/10.1016/j.ccell.2022.08.003</t>
  </si>
  <si>
    <t>Summary Neoantigens arising from mutations in tumor DNA provide targets for immune-based therapy. Here, we report the clinical and immune data from a Phase Ib clinical trial of a personalized neoantigen-vaccine NEO-PV-01 in combination with pemetrexed, carboplatin, and pembrolizumab as first-line therapy for advanced non-squamous non-small cell lung cancer (NSCLC). This analysis of 38 patients treated with the regimen demonstrated no treatment-related serious adverse events. Multiple parameters including baseline tumor immune infiltration and on-treatment circulating tumor DNA levels were highly correlated with clinical response. De novo neoantigen-specific CD4+ and CD8+ T cell responses were observed post-vaccination. Epitope spread to non-vaccinating neoantigens, including responses to KRAS G12C and G12V mutations, were detected post-vaccination. Neoantigen-specific CD4+ T cells generated post-vaccination revealed effector and cytotoxic phenotypes with increased CD4+ T cell infiltration in the post-vaccine tumor biopsy. Collectively, these data support the safety and immunogenicity of this regimen in advanced non-squamous NSCLC.</t>
  </si>
  <si>
    <t>Lee, Dongyup; Park, Jonghanne; Choi, Horyun; Gim, Gahyun; Cho, Sukjoo; Kim, Leeseul; Oh, Youjin; Kang, Cyra Y.; Kim, Yeseul; Tan, Dean; Viveiros, Pedro Antonio Hermida de; Chae, Young Kwang</t>
  </si>
  <si>
    <t>Association of HLA class I homozygosity with unfavorable clinical outcomes in patients with non-small cell lung cancer treated with chemo-immunotherapy or immunotherapy as first-line therapy</t>
  </si>
  <si>
    <t>Heliyon</t>
  </si>
  <si>
    <t>https://doi.org/10.1016/j.heliyon.2021.e07916</t>
  </si>
  <si>
    <t>Background Homozygosity at HLA-I locus has been reported to be an unfavorable predictive biomarker of second-line or beyond immunotherapy in patients with different types of cancer. The linkage between HLA-I zygosity and survival in NSCLC patients treated with first-line immunotherapy with or without chemotherapy has not been reported. Methods Next generation sequencing with HLA genotyping was performed on patients with advanced NSCLC treated with immune checkpoint inhibitors with or without chemotherapy as first-line (N = 29). Progression free survival was compared between HLA-I homozygous (defined as homozygosity in at least one locus A, B, or C) and heterozygous patients. Kaplan-Meier curves were built, and log-rank test was used. Results Among 29 enrollees, 25 patients (86.2%) were HLA-I heterozygous and four patients (13.8%) were HLA-I homozygous. Treatment response was not available in five patients with HLA-I heterozygosity. Among 20 patients with HLA-I heterozygosity, five patients (20.0%) had partial response, 10 patients (50.0%) had stable disease, two patients (8.0%) had non-complete response/non-progressive disease, and three patients (12.0%) had progressive disease. Among four patients with HLA-I heterozygosity, one patient (25.0%) had partial response, one patient (25.0%) had stable disease, and two patients (50.0%) had progressive disease. The median progression free survival was not reached in heterozygous group and was 2.97 months in homozygous group (Log-rank p = 0.68). Conclusions We observed a trend toward an inverse association between HLA-I homozygosity and survival outcomes in patients with NSCLC treated with first-line therapy in conjunction with immunotherapy. Further prospective studies to validate aforementioned relationship are warranted.</t>
  </si>
  <si>
    <t>The study does not describe or utilize a methodology, tool, or pipeline for neoantigen identification or vaccine application. It treats "neoantigen presentation" as a background concept to explain why HLA homozygosity might lead to poorer outcomes, rather than mapping or using tools to find the neoantigens themselves</t>
  </si>
  <si>
    <t>Ghorani, E.; Rosenthal, R.; McGranahan, N.; Reading, J. L.; Lynch, M.; Peggs, K. S.; Swanton, C.; Quezada, S. A.</t>
  </si>
  <si>
    <t>Differential binding affinity of mutated peptides for MHC class I is a predictor of survival in advanced lung cancer and melanoma</t>
  </si>
  <si>
    <t>https://doi.org/10.1093/annonc/mdx687</t>
  </si>
  <si>
    <t>ABSTRACT Background Cancer mutations generate novel (neo-)peptides recognised by T cells, but the determinants of recognition are not well characterised. The difference in predicted class I major histocompatibility complex (MHC-I) binding affinity between wild-type and corresponding mutant peptides (differential agretopicity index; DAI) may reflect clinically relevant cancer peptide immunogenicity. Our aim was to explore the relationship between DAI, measures of immune infiltration and patient outcomes in advanced cancer. Patients and methods Cohorts of patients with advanced non-small-cell lung cancer (NSCLC; LUAD, n = 66) and melanoma (SKCM, n = 72) were obtained from The Cancer Genome Atlas. Three additional cohorts of immunotherapy treated patients with advanced melanoma (total n = 131) and NSCLC (n = 31) were analysed. Neopeptides and their clonal status were defined using genomic data. MHC-I binding affinity was predicted for each neopeptide and DAI values summarised as the sample mean DAI. Correlations between mean DAI and markers of immune activity were evaluated using measures of lymphocyte infiltration and immune gene expression. Results In univariate and multivariate analyses, mean DAI significantly correlated with overall survival in 3/5 cohorts, with evidence of superiority over nonsynonymous mutational and neoantigen burden. In these cohorts, the effect was seen for mean DAI of clonal but not subclonal peptides. In SKCM, the association between mean DAI and survival bordered significance (P = 0.068), reaching significance in an immunotherapy-treated melanoma cohort (P = 0.003). Mean DAI but not mutational nor neoantigen burden was positively correlated with independently derived markers of immune infiltration in both SKCM (P = 0.027) and LUAD (P = 0.024). Conclusions The association between mean DAI, survival and measures of immune activity support the hypothesis that DAI is a determinant of cancer peptide immunogenicity. Investigation of DAI as a marker of immunologically relevant peptides in further datasets and future clinical studies of neoantigen based immunotherapies is warranted.</t>
  </si>
  <si>
    <t>Goldberger, Zoe; Hauert, Sylvie; Chang, Kevin; Kurtanich, Trevin; Alpar, Aaron T.; Repond, Grégoire; Wang, Yue; Gomes, Suzana; Krishnakumar, Raga; Siddarth, Prabha; Swartz, Melody A.; Hubbell, Jeffrey A.; Briquez, Priscilla S.</t>
  </si>
  <si>
    <t>Membrane-localized neoantigens predict the efficacy of cancer immunotherapy</t>
  </si>
  <si>
    <t>https://doi.org/10.1016/j.xcrm.2023.101145</t>
  </si>
  <si>
    <t>Summary Immune checkpoint immunotherapy (ICI) can re-activate immune reactions against neoantigens, leading to remarkable remission in cancer patients. Nevertheless, only a minority of patients are responsive to ICI, and approaches for prediction of responsiveness are needed to improve the success of cancer treatments. While the tumor mutational burden (TMB) correlates positively with responsiveness and survival of patients undergoing ICI, the influence of the subcellular localizations of the neoantigens remains unclear. Here, we demonstrate in both a mouse melanoma model and human clinical datasets of 1,722 ICI-treated patients that a high proportion of membrane-localized neoantigens, particularly at the plasma membrane, correlate with responsiveness to ICI therapy and improved overall survival across multiple cancer types. We further show that combining membrane localization and TMB analyses can enhance the predictability of cancer patient response to ICI. Our results may have important implications for establishing future clinical guidelines to direct the choice of treatment toward ICI.</t>
  </si>
  <si>
    <t>Dijkstra, Krijn K.; Vendramin, Roberto; Karagianni, Despoina; Witsen, Maartje; Gálvez-Cancino, Felipe; Hill, Mark S.; Foster, Kane A.; Barbè, Vittorio; Angelova, Mihaela; Hynds, Robert E.; Pearce, David R.; Martínez-Ruiz, Carlos; Black, James R. M.; Huebner, Ariana; Pich, Oriol; Rowan, Andrew; Augustine, Marcellus; Puttick, Clare; Moore, David A.; Liu, Lydia L.; Saghafinia, Sadegh; Haar, Joris van de; Veeriah, Selvaraju; Naceur-Lombardelli, Cristina; Toncheva, Antonia; Bola, Supreet Kaur; Hiley, Crispin T.; Jamal-Hanjani, Mariam; McGranahan, Nicholas; Litchfield, Kevin; Reading, James L.; Chain, Benny; Bunkum, Abigail; Atkin, Adam; Alzetani, Aiman; Patel, Akshay J.; Kirk, Alan; Procter, Alexander James; Frankell, Alexander M.; Rice, Alexandra; Hackshaw, Allan; Bajaj, Amrita; Devaraj, Anand; Grapa, Anca; Nicholson, Andrew G.; Kidd, Andrew; Rowan, Andrew; Dwornik, Angela; Leek, Angela; Karamani, Angeliki; Hacker, Anne-Marie; Chaturvedi, Anshuman; Paiva-Correia, Antonio; Walker, Aoife; Nakas, Apostolos; Huebner, Ariana; Nair, Arjun; Ahmed, Asia; Osman, Aya; Sodha-Ramdeen, Azmina; Naidu, Babu; Chain, Benny; Pilotti, Camilla; Castignani, Carla; Martínez-Ruiz, Carlos; Dive, Caroline; Veiga, Catarina; Swanton, Charles; Collins-Fekete, Charles-Antoine; Proli, Chiara; Bailey, Chris; Murphy, Cian; Wilson, Claire; Weeden, Clare E.; Puttick, Clare; Lee, Claudia; Lindsay, Colin R.; Richard, Corentin; Dick, Craig; Hiley, Crispin T.; Naceur-Lombardelli, Cristina; Kaniu, Daniel; Moore, David A.; Chuter, David; Lawrence, David; Pearce, David R.; Patrini, Davide; Fennell, Dean A.; Karagianni, Despoina; Papadatos-Pastos, Dionysis; Boleti, Ekaterini; Borg, Elaine; Keene, Elizabeth; Lim, Emilia L.; Hoogenboom, Emilie Martinoni; Colliver, Emma; Nye, Emma; Lim, Eric; Sahai, Erik; Fontaine, Eustace; Grönroos, Eva; Granato, Felice; Blackhall, Fiona H.; Monk, Fleur; Fraioli, Francesco; Gimeno-Valiente, Francisco; Wilson, Gareth A.; Middleton, Gary; Royle, Gary; Kassiotis, George; Moth, Georgia; Stavrou, Georgia; Langman, Gerald; Mastrokalos, Gerasimos-Theodoros; Price, Gillian; Matharu, Gurdeep; Zhang, Hanyun; Bhayani, Harshil; Cheyne, Heather; Lowe, Helen L.; Shackleford, Helen; Chavan, Hemangi; Raubenheimer, Hilgardt; Aerts, Hugo JWL; Usaite, Ieva; Noorani, Imran; Hodgkinson, Jack Davies; French, Jack; Goldman, Jacki; Shaw, Jacqui A.; Reading, James L.; Black, James R. M.; Holding, James W.; Wilson, James; Lester, Jason F.; Rane, Jayant K.; Kittel, Jeanette; Whiteley, Jennifer; Nicod, Jerome; Hartley, John A.; Quesne, John Le; Demeulemeester, Jonas; Tugwood, Jonathan; Cave, Judith; Novasio, Juliette; Choudhary, Junaid; Grimes, Karen; Peggs, Karl S.; Enfield, Katey S. S.; Brown, Katherine D.; Selvaraju, Kayalvizhi; Gilbert, Kayleigh; Kerr, Keith M.; Rammohan, Kendadai; Haase, Kerstin; Thol, Kerstin; Blyth, Kevin G.; Koh, Kexin; AbdulJabbar, Khalid; Grigoriadis, Kristiana; Thakkar, Krupa; Bhakhri, Kunal; Ensell, Leah; Joseph, Leena; Robinson, Lily; Patruno, Lucrezia; Ambrose, Lyn; Djearaman, Madava; Hewish, Madeleine; Taylor, Magali N.; MacKenzie, Mairead; Bakir, Maise Al; Sangha, Mandeesh; Shah, Mansi; Pisciella, Maria Chiara; Litovchenko, Maria; Zagorulya, Maria; Jamal-Hanjani, Mariam; Forster, Martin D.; Falzon, Mary; Carter, Mathew; Thomas, Mathew; Krebs, Matthew G.; Shackcloth, Michael J.; Magala, Michalina; Leung, Michelle M.; Escudero, Mickael; Angelova, Mihaela; Diossy, Miklos; Asif, Mo; Tufail, Mohamad; Khalil, Mohammed; Scotland, Molly; Sivakumar, Monica; Malima, Mpho; Fernandes, Nadia; Navani, Neal; McGranahan, Nicholas; Totton, Nicola; Birkbak, Nicolai J.; Kostoulas, Nikos; Kanu, Nnennaya; Lucas, Olivia; Pich, Oriol; Gorman, Pat; Georg, Patricia; Ashford, Paul; Bishop, Paul; Sousa, Paulo De; Oliveira, Pedro; Russell, Peter; Loo, Peter Van; Crosbie, Philip; Hobson, Philip; Pawlik, Piotr; Shah, Pratibha; Rosenthal, Rachel; Boyles, Rebecca; Khiroya, Reena; Stone, Richard Kevin; Thakrar, Ricky M.; Zaidi, Rija; Bentham, Robert; Stephens, Robert C. M.; Salgado, Roberto; Vendramin, Roberto; Bilancia, Rocco; Schwarz, Roland F.; Saghafinia, Sadegh; Kellet, Salomey; Janes, Sam M.; Gamble, Samuel; Waplington, Sara; Benafif, Sarah; Booth, Sarah; Danson, Sarah; Dulloo, Sean; Veeriah, Selvaraju; Ung, Seng Kuong Anakin; Chee, Serena; Quezada, Sergio A.; Vanloo, Sharon; Richardson, Shirley; Harries, Sian; Buderi, Silviu I.; Jordan, Simon; Zaccaria, Simone; Lee, Siow Ming; Begum, Sofina; Hessey, Sonya; Ward, Sophia; Rathinam, Sridhar; Boeing, Stefan; Beck, Stephan; Bandula, Steve; Bola, Supreet Kaur; Karasaki, Takahiro; Denner, Tamara; Ahmad, Tanya; Marafioti, Teresa; Visakan, Theepan; Watkins, Thomas B. K.; Jones, Thomas Patrick; Kaufmann, Tom L.; Cruickshank, Tracey; Spanswick, Victoria; Joshi, Vijay; Barbè, Vittorio; Lu, Wei-Ting; Hill, William; Liu, Wing Kin; Pan, Xiaoxi; Wong, Yien Ning Sophia; Wu, Yin; Yuan, Yinyin; Naito, Yutaka; Summers, Yvonne; Kalokoh, Zainab; Ramsden, Zoe; Kaplar, Zoltan; Szallasi, Zoltan; Quezada, Sergio A.; Voest, Emile E.; Swanton, Charles</t>
  </si>
  <si>
    <t>Subclonal immune evasion in non-small cell lung cancer</t>
  </si>
  <si>
    <t>https://doi.org/10.1016/j.ccell.2025.06.012</t>
  </si>
  <si>
    <t>Summary Cancers rarely respond completely to immunotherapy. While tumors consist of multiple genetically distinct clones, whether this affects the potential for immune escape remains unclear due to an inability to isolate and propagate individual subclones from human cancers. Here, we leverage the multi-region TRACERx lung cancer evolution study to generate a patient-derived organoid – T cell co-culture platform that allows the functional analysis of subclonal immune escape at single clone resolution. We establish organoid lines from 11 separate tumor regions from three patients, followed by isolation of 81 individual clonal sublines. Co-culture with tumor infiltrating lymphocytes (TIL) or natural killer (NK) cells reveals cancer-intrinsic and subclonal immune escape in all 3 patients. Immune evading subclones represent genetically distinct lineages with a unique evolutionary history. This indicates that immune evading and non-evading subclones can be isolated from the same tumor, suggesting that subclonal tumor evolution directly affects immune escape.</t>
  </si>
  <si>
    <t>Ylösmäki, Erkko; Ylösmäki, Leena; Fusciello, Manlio; Martins, Beatriz; Ahokas, Petra; Cojoc, Hanne; Uoti, Arttu; Feola, Sara; Kreutzman, Anna; Ranki, Tuuli; Karbach, Julia; Viitala, Tapani; Priha, Petri; Jäger, Elke; Pesonen, Sari; Cerullo, Vincenzo</t>
  </si>
  <si>
    <t>Characterization of a novel OX40 ligand and CD40 ligand-expressing oncolytic adenovirus used in the PeptiCRAd cancer vaccine platform</t>
  </si>
  <si>
    <t>https://doi.org/10.1016/j.omto.2021.02.006</t>
  </si>
  <si>
    <t>Oncolytic viruses (OVs) have been shown to induce anti-cancer immunity and enhance cancer immunotherapies, such as immune checkpoint inhibitor therapies. OV therapies can be further improved by arming OVs with immunostimulatory molecules, including various cytokines or chemokines. Here, we have developed a novel adenovirus encoding two immunostimulatory molecules: cluster of differentiation 40 ligand (CD40L) and tumor necrosis factor receptor superfamily member 4 ligand (OX40L). This novel virus, designated VALO-D102, is designed to activate both innate and adaptive immune responses against tumors. CD40L affects the innate side by licensing antigen-presenting cells to drive CD8+ T cell responses, and OX40L increases clonal expansion and survival of CD8+ T cells and formation of a larger pool of memory T cells. VALO-D102 and its murine surrogate VALO-mD901, expressing murine OX40L and CD40L, were used in our previously developed PeptiCRAd cancer vaccine platform. Intratumoral administration of PeptiCRAd significantly increased tumor-specific T cell responses, reduced tumor growth, and induced systemic anti-cancer immunity in two mouse models of melanoma. In addition, PeptiCRAd therapy, in combination with anti-PD-1 immune checkpoint inhibitor therapy, significantly improved tumor growth control as compared to either monotherapy alone.</t>
  </si>
  <si>
    <t>While it touches on neoantigen use in a cancer vaccine platform (aligning with vaccine applications), it does not focus on NSCLC/lung cancer as the primary cancer type, nor on methodologies/prediction tools for neoantigen identification in lung cancer. It is more about oncolytic virus enhancement for peptide-based vaccines broadly, not a targeted NSCLC neoantigen study or trial.</t>
  </si>
  <si>
    <t>Turajlic, Samra; Litchfield, Kevin; Xu, Hang; Rosenthal, Rachel; McGranahan, Nicholas; Reading, James L.; Wong, Yien Ning S.; Rowan, Andrew; Kanu, Nnennaya; Bakir, Maise Al; Chambers, Tim; Salgado, Roberto; Savas, Peter; Loi, Sherene; Birkbak, Nicolai J.; Sansregret, Laurent; Gore, Martin; Larkin, James; Quezada, Sergio A.; Swanton, Charles</t>
  </si>
  <si>
    <t>Insertion-and-deletion-derived tumour-specific neoantigens and the immunogenic phenotype: a pan-cancer analysis</t>
  </si>
  <si>
    <t>The Lancet Oncology</t>
  </si>
  <si>
    <r>
      <rPr>
        <rFont val="&quot;Aptos Narrow&quot;, sans-serif"/>
        <color rgb="FF1155CC"/>
        <sz val="11.0"/>
        <u/>
      </rPr>
      <t>https://doi.org/10.1016/S1470-2045(17)30516-8</t>
    </r>
  </si>
  <si>
    <t>Summary Background The focus of tumour-specific antigen analyses has been on single nucleotide variants (SNVs), with the contribution of small insertions and deletions (indels) less well characterised. We investigated whether the frameshift nature of indel mutations, which create novel open reading frames and a large quantity of mutagenic peptides highly distinct from self, might contribute to the immunogenic phenotype. Methods We analysed whole-exome sequencing data from 5777 solid tumours, spanning 19 cancer types from The Cancer Genome Atlas. We compared the proportion and number of indels across the cohort, with a subset of results replicated in two independent datasets. We assessed in-silico tumour-specific neoantigen predictions by mutation type with pan-cancer analysis, together with RNAseq profiling in renal clear cell carcinoma cases (n=392), to compare immune gene expression across patient subgroups. Associations between indel burden and treatment response were assessed across four checkpoint inhibitor datasets. Findings We observed renal cell carcinomas to have the highest proportion (0·12) and number of indel mutations across the pan-cancer cohort (p&lt;2·2 × 10−16), more than double the median proportion of indel mutations in all other cancer types examined. Analysis of tumour-specific neoantigens showed that enrichment of indel mutations for high-affinity binders was three times that of non-synonymous SNV mutations. Furthermore, neoantigens derived from indel mutations were nine times enriched for mutant specific binding, as compared with non-synonymous SNV derived neoantigens. Immune gene expression analysis in the renal clear cell carcinoma cohort showed that the presence of mutant-specific neoantigens was associated with upregulation of antigen presentation genes, which correlated (r=0·78) with T-cell activation as measured by CD8-positive expression. Finally, analysis of checkpoint inhibitor response data revealed frameshift indel count to be significantly associated with checkpoint inhibitor response across three separate melanoma cohorts (p=4·7 × 10−4). Interpretation Renal cell carcinomas have the highest pan-cancer proportion and number of indel mutations. Evidence suggests indels are a highly immunogenic mutational class, which can trigger an increased abundance of neoantigens and greater mutant-binding specificity. Funding Cancer Research UK, UK National Institute for Health Research (NIHR) at the Royal Marsden Hospital National Health Service Foundation Trust, Institute of Cancer Research and University College London Hospitals Biomedical Research Centres, the UK Medical Research Council, the Rosetrees Trust, Novo Nordisk Foundation, the Prostate Cancer Foundation, the Breast Cancer Research Foundation, the European Research Council.</t>
  </si>
  <si>
    <t>Liu, Zedao; Yang, Zhenlin; Wu, Junqi; Zhang, Wenjie; Sun, Yuxuan; Zhang, Chao; Bai, Guangyu; Yang, Li; Fan, Hongtao; Chen, Yawen; Zhang, Lei; Jiang, Benyuan; Liu, Xiaoyan; Ma, Xiaoshi; Tang, Wei; Liu, Chang; Qu, Yang; Yan, Lixu; Zhao, Deping; Wu, Yilong; He, Shun; Xu, Long; Peng, Lishan; Chen, Xiaowei; Zhou, Bolun; Zhao, Liang; Zhao, Zhangyi; Tan, Fengwei; Zhang, Wanting; Yi, Dingcheng; Li, Xiangjie; Gao, Qianqian; Zhang, Guangjian; Wang, Yongjie; Yang, Minglei; Fu, Honghao; Guo, Yongjun; Hu, Xueda; Cai, Qingyuan; Qi, Lu; Bo, Yufei; Peng, Hui; Tian, Zhigang; She, Yunlang; Zou, Chang; Zhu, Linnan; Cheng, Sijin; Zhang, Yi; Zhong, Wenzhao; Chen, Chang; Gao, Shugeng; Zhang, Zemin</t>
  </si>
  <si>
    <t>A single-cell atlas reveals immune heterogeneity in anti-PD-1-treated non-small cell lung cancer</t>
  </si>
  <si>
    <t>https://doi.org/10.1016/j.cell.2025.03.018</t>
  </si>
  <si>
    <t>Summary Anti-PD-(L)1 treatment is standard for non-small cell lung cancer (NSCLC), but patients show variable responses to the same regimen. The tumor immune microenvironment (TIME) is associated with immunotherapy response, yet the heterogeneous underlying therapeutic outcomes remain underexplored. We applied single-cell RNA and TCR sequencing (scRNA/TCR-seq) to analyze surgical tumor samples from 234 NSCLC patients post-neoadjuvant chemo-immunotherapy. Analyses revealed five distinct TIME subtypes with varying major pathological response (MPR) rates. MPR patients had elevated levels of FGFBP2+ NK/NK-like T cells, memory B cells, or effector T cells, while non-MPR patients showed higher CCR8+ Tregs. T cell clonal expansion analyses unveiled heterogeneity in non-MPR patients, marked by varying expansions of Tex-relevant cells and CCR8+ Tregs. Precursor exhausted T cells (Texp cells) correlated with recurrence-free survival, identifying a patient subgroup with reduced recurrence risk despite lack of MPR. Our study dissects TIME heterogeneity in response to chemoimmunotherapy, offering insights for NSCLC management.</t>
  </si>
  <si>
    <t>Takada, K.; Takamori, S.; Shimokawa, M.; Toyokawa, G.; Shimamatsu, S.; Hirai, F.; Tagawa, T.; Okamoto, T.; Hamatake, M.; Tsuchiya-Kawano, Y.; Otsubo, K.; Inoue, K.; Yoneshima, Y.; Tanaka, K.; Okamoto, I.; Nakanishi, Y.; Mori, M.</t>
  </si>
  <si>
    <t>Assessment of the albumin-bilirubin grade as a prognostic factor in patients with non-small-cell lung cancer receiving anti-PD-1-based therapy</t>
  </si>
  <si>
    <r>
      <rPr>
        <rFont val="&quot;Aptos Narrow&quot;, sans-serif"/>
        <color rgb="FF1155CC"/>
        <sz val="11.0"/>
        <u/>
      </rPr>
      <t>https://doi.org/10.1016/j.esmoop.2021.100348</t>
    </r>
  </si>
  <si>
    <t>Introduction The albumin-bilirubin (ALBI) grade is a novel indicator of the liver function. Some studies showed that the ALBI grade was a prognostic and predictive biomarker for the efficacy of chemotherapy in cancer patients. The association between the ALBI grade and outcomes in patients with non-small-cell lung cancer (NSCLC) treated with cancer immunotherapy, however, is poorly understood. Methods We retrospectively enrolled 452 patients with advanced or recurrent NSCLC who received anti-programmed cell death protein 1 (PD-1)-based therapy between 2016 and 2019 at three medical centers in Japan. The ALBI score was calculated from albumin and bilirubin measured at the time of treatment initiation and was stratified into three categories, ALBI grade 1-3, with reference to previous reports. We examined the clinical impact of the ALBI grade on the outcomes of NSCLC patients receiving anti-PD-1-based therapy using Kaplan–Meier survival curve analysis with log-rank test and Cox proportional hazards regression analysis. Results The classifications of the 452 patients were as follows: grade 1, n = 158 (35.0%); grade 2, n = 271 (60.0%); and grade 3, n = 23 (5.0%). Kaplan–Meier survival curve analysis showed that the ALBI grade was significantly associated with progression-free survival and overall survival. Moreover, Cox regression analysis revealed that the ALBI grade was an independent prognostic factor for progression-free survival and overall survival. Conclusion The ALBI grade was an independent prognostic factor for survival in patients with advanced or recurrent NSCLC who receive anti-PD-1-based therapy. These findings should be validated in a prospective study with a larger sample size.</t>
  </si>
  <si>
    <t>The objective is the prognostic stratification of patients receiving anti-PD-1 therapy based on liver function.</t>
  </si>
  <si>
    <t>Clarke, Jeffrey M.; Patel, Jyoti D.; Robert, Francisco; Kio, Ebenezer A.; Thara, Eddie; Camidge, D. Ross; Dunbar, Martin; Nuthalapati, Silpa; Dinh, Minh H.; Bach, Bruce A.</t>
  </si>
  <si>
    <t>Veliparib and nivolumab in combination with platinum doublet chemotherapy in patients with metastatic or advanced non-small cell lung cancer: A phase 1 dose escalation study</t>
  </si>
  <si>
    <t>Lung Cancer</t>
  </si>
  <si>
    <t>https://doi.org/10.1016/j.lungcan.2021.09.004</t>
  </si>
  <si>
    <t>Objectives Both combinations of the PARP inhibitor veliparib plus platinum doublet chemotherapy (CT), and the programmed death receptor-1 (PD-1) inhibitor nivolumab plus CT have demonstrated encouraging efficacy for treatment of non-small cell lung cancer (NSCLC). This phase 1 dose-escalation study (NCT02944396) evaluated the quadruple combination of veliparib with nivolumab and doublet CT in patients with unresectable advanced/metastatic NSCLC. Materials and methods Patients were enrolled into five dosing cohorts: patients received veliparib 120 mg twice daily (BID) combined with nivolumab 360 mg, carboplatin AUC 6 mg/mL∙min, and paclitaxel 200 mg/m2 (C/PAC) or veliparib 80/120/200/240 mg BID in combination with nivolumab 360 mg, carboplatin AUC 6 mg/mL∙min, and pemetrexed 500 mg/m2 (C/PEM). Primary objective was to identify the recommended phase 2 dose (RP2D) of veliparib + nivolumab + CT. Safety, tolerability, and efficacy of this combination were also assessed. Results Twenty-five patients were enrolled: 6 patients received veliparib 120 mg BID + nivolumab + C/PAC and 19 received veliparib (80–240 mg BID) + nivolumab + C/PEM. No dose-limiting toxicities were reported, and the RP2Ds were veliparib 120 mg BID + nivolumab + C/PAC, and veliparib 240 mg BID + nivolumab + C/PEM. The most common any-grade adverse events (AEs) were fatigue (56%), nausea (52%), and anemia (48%). Grade 3/4 AEs included anemia (32%) and neutropenia (24%), and the most frequent serious AE was malignant neoplasm progression (12%). Veliparib exhibited approximately dose proportional kinetics in the dose range 80–240 mg BID combined with nivolumab and C/PEM, with no effects on pemetrexed pharmacokinetics. Overall, the confirmed objective response rate was 40%, and best overall response was 64%. Conclusion Veliparib combined with nivolumab and platinum doublet CT was tolerated in patients with advanced/metastatic NSCLC, and no evidence of drug–drug interaction was observed. Although preliminary, this quadruple therapy may have promising antitumor activity.</t>
  </si>
  <si>
    <t>The study evaluates drug-drug interactions, safety, and dosing for a quadruple combination of standard therapies.</t>
  </si>
  <si>
    <t>Giacomo, Anna Maria Di; Subudhi, Sumit; Vos, Wim; Andreatta, Massimo; Carmona, Santiago; McTavish, Will; Seliger, Barbara; Ibrahim, Ramy; Lahn, Michael; Smith, Michael; Eggermont, Alexander; Fox, Bernard A.; Maio, Michele</t>
  </si>
  <si>
    <t>Perspectives on the role of “-Omics” in predicting response to immunotherapy</t>
  </si>
  <si>
    <t>European Journal of Cancer</t>
  </si>
  <si>
    <r>
      <rPr>
        <rFont val="&quot;Aptos Narrow&quot;, sans-serif"/>
        <color rgb="FF1155CC"/>
        <sz val="11.0"/>
        <u/>
      </rPr>
      <t>https://doi.org/10.1016/j.ejca.2025.115393</t>
    </r>
  </si>
  <si>
    <t>The annual Immuno-Oncology “Think Tank” held in October 2023 in Siena reviewed the rapidly evolving systems-biological approaches which are now providing a deeper understanding of tumor and tumor microenvironment heterogeneity. Based on this understanding opportunities for novel therapies may be identified to overcome resistance to immunotherapy. There is increasing evidence that malignant disease processes are not limited to purely intracellular or genetic events but constitute a dynamic interaction between the host and disease. Tumor responses are influenced by many host tissue determinants across different cellular compartments, which can now be investigated by high-throughput molecular profiling technologies, often labelled with a suffix “-omics”. “Omics” together with ever increasing computational power, fast developments in machine learning, and high-resolution detection tools offer an unrivalled opportunity to connect high-dimensional data and create a holistic view of disease processes in cancer. This review describes advances in several state-of-the-art “-omics” approaches with perspectives on how these can be applied to the clinical development of new immunotherapeutic strategies and ultimately adopted in clinical practice.</t>
  </si>
  <si>
    <t xml:space="preserve"> The objective is to provide a holistic overview of high-throughput technologies (Omics) and their role in understanding tumor heterogeneity.</t>
  </si>
  <si>
    <t>Müller, Markus; Huber, Florian; Arnaud, Marion; Kraemer, Anne I.; Altimiras, Emma Ricart; Michaux, Justine; Taillandier-Coindard, Marie; Chiffelle, Johanna; Murgues, Baptiste; Gehret, Talita; Auger, Aymeric; Stevenson, Brian J.; Coukos, George; Harari, Alexandre; Bassani-Sternberg, Michal</t>
  </si>
  <si>
    <t>Machine learning methods and harmonized datasets improve immunogenic neoantigen prediction</t>
  </si>
  <si>
    <t>Immunity</t>
  </si>
  <si>
    <t>https://doi.org/10.1016/j.immuni.2023.09.002</t>
  </si>
  <si>
    <t>Summary The accurate selection of neoantigens that bind to class I human leukocyte antigen (HLA) and are recognized by autologous T cells is a crucial step in many cancer immunotherapy pipelines. We reprocessed whole-exome sequencing and RNA sequencing (RNA-seq) data from 120 cancer patients from two external large-scale neoantigen immunogenicity screening assays combined with an in-house dataset of 11 patients and identified 46,017 somatic single-nucleotide variant mutations and 1,781,445 neo-peptides, of which 212 mutations and 178 neo-peptides were immunogenic. Beyond features commonly used for neoantigen prioritization, factors such as the location of neo-peptides within protein HLA presentation hotspots, binding promiscuity, and the role of the mutated gene in oncogenicity were predictive for immunogenicity. The classifiers accurately predicted neoantigen immunogenicity across datasets and improved their ranking by up to 30%. Besides insights into machine learning methods for neoantigen ranking, we have provided homogenized datasets valuable for developing and benchmarking companion algorithms for neoantigen-based immunotherapies.</t>
  </si>
  <si>
    <t>Dimou, Anastasios; Nasarre, Cecile; Peterson, Yuri K.; Pagano, Rose; Gooz, Monika; Nasarre, Patrick; Drabkin, Harry A.; Armeson, Kent E.; Gibney, Barry C.; Gemmill, Robert M.; Denlinger, Chadrick E.</t>
  </si>
  <si>
    <t>Neuropilin-2b facilitates resistance to tyrosine kinase inhibitors in non–small cell lung cancer</t>
  </si>
  <si>
    <t>The Journal of Thoracic and Cardiovascular Surgery</t>
  </si>
  <si>
    <t>https://doi.org/10.1016/j.jtcvs.2020.03.166</t>
  </si>
  <si>
    <t>Objective Innate and acquired resistance is the principle factor limiting the efficacy of tyrosine kinase inhibitors in lung cancer. We have observed a dramatic upregulation of the cell surface co-receptor neuropilin-2b in lung cancers clinically treated with tyrosine kinase inhibitors correlating with acquired resistance. We hypothesize that neuropilin-2b plays a functional role in acquired tyrosine kinase inhibitor resistance. Methods Non–small cell lung cancer proliferation and survival were determined during chronic tyrosine kinase inhibitor exposure in the presence or absence of neuropilin-2b knock-down. Interactions of neuropilin-2a and neuropilin-2b isoforms with PTEN and GSK3β were assessed by immunoprecipitation. Neuropilin-2a and neuropilin-2b mutants deleted for their cytoplasmic domains were used to identify regions responsible for neuropilin-2b–GSK3β interaction. Because GSK3β is known to phosphorylate and degrade PTEN, phospho-PTEN and total PTEN levels were assessed after transfection of neuropilin-2a and neuropilin-2b wild-type and mutant constructs. Results Non–small cell lung cancer cells chronically treated with gefitinib or osimertinib developed drug resistance and exhibited logarithmic growth in the presence of endothelial growth factor receptor tyrosine kinase inhibitors. However, neuropilin-2b knockdown cells remained sensitive to gefitinib. Likewise, neuropilin-2b knockdown suppressed and neuropilin-2a knockdown enhanced cellular migration. Acquired drug resistance and cell migration correlated with neuropilin-2b-dependent AKT activation with the intermediate step of GSK3β-dependent PTEN degradation. A specific binding site for GSK3β on the cytoplasmic domain of neuropilin-2b was identified with truncated protein constructs and computer modeling. Conclusions Neuropilin-2b facilitates non–small cell lung cancer resistance to tyrosine kinase inhibitors, and this biological effect relates to AKT activation. Neuropilin-2b GSK3β interactions appear to be essential for PTEN degradation and AKT activation in lung cancer cells. Disruption of the neuropilin-2b GSK3β interaction may represent a novel treatment strategy to preserve sensitivity to tyrosine kinase inhibitors in non–small cell lung cancer.</t>
  </si>
  <si>
    <t>Targets wild-type signaling proteins (NRP2b), not mutation-derived neoantigens</t>
  </si>
  <si>
    <t>Zhang, Yang; Zuo, Bingfeng; Yu, Zezhen; Zhao, Kangjie; Zhang, Yali; He, Kai; Seow, Yiqi; Yin, HaiFang</t>
  </si>
  <si>
    <t>Complete remission of tumors in mice with neoantigen-painted exosomes and anti-PD-1 therapy</t>
  </si>
  <si>
    <t>Molecular Therapy</t>
  </si>
  <si>
    <r>
      <rPr>
        <rFont val="&quot;Aptos Narrow&quot;, sans-serif"/>
        <color rgb="FF1155CC"/>
        <sz val="11.0"/>
        <u/>
      </rPr>
      <t>https://doi.org/10.1016/j.ymthe.2023.10.021</t>
    </r>
  </si>
  <si>
    <t>Neoantigen-based cancer vaccines are emerging as promising tumor therapies, but enhancement of immunogenicity can further improve therapeutic outcomes. Here, we demonstrate that anchoring different peptide neoantigens on subcutaneously administered serum exosomes promote lymph node homing and dendritic cell uptake, resulting in significantly enhanced antigenicity in vitro and in vivo. Exosomes anchoring of melanoma peptide neoantigens augmented the magnitude and breadth of T cell response in vitro and in vivo, to a greater extent with CD8+ T cell responses. Simultaneous decoration of different peptide neoantigens on serum exosomes induced potent tumor suppression and neoantigen-specific immune responses in mice with melanoma and colon cancer. Complete tumor eradication and sustainable immunological memory were achieved with neoantigen-painted serum exosome vaccines in combination with programmed cell death protein 1 (PD-1) antibodies in mice with colon cancer. Importantly, human serum exosomes loaded with peptide neoantigens elicited significant tumor growth retardation and immune responses in human colon cancer 3-dimensional (3D) multicellular spheroids. Our study demonstrates that serum exosomes direct in vivo localization, increase dendritic cell uptake, and enhance the immunogenicity of antigenic peptides and thus provides a general delivery tool for peptide antigen-based personalized immunotherapy.</t>
  </si>
  <si>
    <t>Jackutė, Jurgita; Žemaitis, Marius; Pranys, Darius; Šitkauskienė, Brigita; Miliauskas, Skaidrius; Bajoriūnas, Vytis; Sakalauskas, Raimundas</t>
  </si>
  <si>
    <t>Distribution of CD4+ and CD8+ T cells in tumor islets and stroma from patients with non-small cell lung cancer in association with COPD and smoking</t>
  </si>
  <si>
    <t>Medicina</t>
  </si>
  <si>
    <t>https://doi.org/10.1016/j.medici.2015.08.002</t>
  </si>
  <si>
    <t>Background and objective The immune system plays an important role in non-small cell lung cancer (NSCLC) and chronic obstructive pulmonary disease (COPD). The aim of this study was to evaluate the infiltration patterns of CD4+ and CD8+ T cells in NSCLC and to analyze their relation to COPD, smoking status and other clinicopathologic variables. Materials and methods Lung tissue specimens from 50 patients who underwent surgery for NSCLC (stages I–III) and 10 control group subjects were analyzed immunohistochemically. Results NSCLC patients had a greater number of CD4+ and CD8+ T cells infiltrating the lung tissue than the control group (P=0.001) with predominant infiltration in the tumor stroma. We found a significant association between the number of total and tumor stroma-infiltrating CD4+ and CD8+ T cells, and smoking status (P&lt;0.05). There were more CD8+ T cells in the tumor stroma and fewer in the tumor islets in NSCLC patients with COPD as compared to NSCLC patients without COPD (P&lt;0.05). However, there was no such association between CD4+ T cells and COPD status. A high level of CD8+ T cell infiltration in the tumor stroma was independently associated with the coexistence of COPD in multivariate analysis (P&lt;0.05). Conclusions According to our data, COPD but not smoking seems to be associated with higher infiltration of CD8+ T cells in the tumor stroma of patients with NSCLC. It allows us to hypothesize that NSCLC patients with coexisting COPD may have a more favorable outcome due to anticancer properties of stromal CD8+ T cells.</t>
  </si>
  <si>
    <t>The study investigates bulk T-cell infiltration patterns (CD4+ and CD8+).</t>
  </si>
  <si>
    <t>Deng, Yulan; Xia, Liang; Zhang, Jian; Deng, Senyi; Wang, Mengyao; Wei, Shiyou; Li, Kaixiu; Lai, Hongjin; Yang, Yunhao; Bai, Yuquan; Liu, Yongcheng; Luo, Lanzhi; Yang, Zhenyu; Chen, Yaohui; Kang, Ran; Gan, Fanyi; Pu, Qiang; Mei, Jiandong; Ma, Lin; Lin, Feng; Guo, Chenglin; Liao, Hu; Zhu, Yunke; Liu, Zheng; Liu, Chengwu; Hu, Yang; Yuan, Yong; Zha, Zhengyu; Yuan, Gang; Zhang, Gao; Chen, Luonan; Cheng, Qing; Shen, Shensi; Liu, Lunxu</t>
  </si>
  <si>
    <t>Multicellular ecotypes shape progression of lung adenocarcinoma from ground-glass opacity toward advanced stages</t>
  </si>
  <si>
    <t>https://doi.org/10.1016/j.xcrm.2024.101489</t>
  </si>
  <si>
    <t>Summary Lung adenocarcinoma is a type of cancer that exhibits a wide range of clinical radiological manifestations, from ground-glass opacity (GGO) to pure solid nodules, which vary greatly in terms of their biological characteristics. Our current understanding of this heterogeneity is limited. To address this gap, we analyze 58 lung adenocarcinoma patients via machine learning, single-cell RNA sequencing (scRNA-seq), and whole-exome sequencing, and we identify six lung multicellular ecotypes (LMEs) correlating with distinct radiological patterns and cancer cell states. Notably, GGO-associated neoantigens in early-stage cancers are recognized by CD8+ T cells, indicating an immune-active environment, while solid nodules feature an immune-suppressive LME with exhausted CD8+ T cells, driven by specific stromal cells such as CTHCR1+ fibroblasts. This study also highlights EGFR(L858R) neoantigens in GGO samples, suggesting potential CD8+ T cell activation. Our findings offer valuable insights into lung adenocarcinoma heterogeneity, suggesting avenues for targeted therapies in early-stage disease.</t>
  </si>
  <si>
    <t>Panya, Aussara; Thepmalee, Chutamas; Sawasdee, Nunghathai; Saengmuang, Sasithorn; Luangwattananun, Piriya; Yenchitsomanus, Pa-thai</t>
  </si>
  <si>
    <t>Enhancing cholangiocarcinoma immunotherapy with adoptive T cells targeting HLA-restricted neoantigen peptides derived from driver gene mutations</t>
  </si>
  <si>
    <t>Biomedicine &amp; Pharmacotherapy</t>
  </si>
  <si>
    <t>https://doi.org/10.1016/j.biopha.2023.115827</t>
  </si>
  <si>
    <t>Precision immunotherapy, driven by genomic and bioinformatic advancements, has emerged as a promising and viable approach to combat cancer. Targeting neoantigens offers the advantage of specific immune responses with minimal off-tumor toxicity. In this study, we investigated the potential of adoptive T cells activated by HLA-restricted neoantigen peptides from driver gene mutations for treating cholangiocarcinoma (CCA), a highly aggressive cancer with poor prognosis and high mortality rates. Through whole exome sequencing of CCA cell lines, KKU-213A and KKU-100, we identified mutations in common driver genes and predicted corresponding HLA-restricted peptides. Peptides from KRAS, RNF43, and TP53 mutations exhibited strong binding affinity to HLA-A11, as validated through molecular docking and T2-cell binding assays. Dendritic cells (DCs) from healthy donors expressing HLA-A* 11:01, pulsed with individual or pooled peptides, showed comparable levels of costimulatory molecules (CD11c, CD40, CD86, and HLA-DR) to conventional DCs but higher expression of maturation markers, CD80 and CD86. Autologous HLA-A* 11:01-restricted T cells, activated by peptide-pulsed DCs, effectively lysed KKU-213A (HLA-A*11:01) cells, outperforming conventional tumor lysate-pulsed DCs. This effect was specific to HLA-A* 11:01-restricted T cells and not observed in KKU-100 (HLA-A*33:03) cells. Moreover, HLA-A* 11:01-restricted T cells exhibited elevated levels of IFN-gamma, granulysin, and granzyme B, indicating their potent anti-tumor capabilities. These findings underscore the specificity and efficiency of HLA-A* 11:01-restricted T cells targeting KRAS, RNF43, TP53 mutated CCA cells, and offer valuable insights for developing immunotherapeutic strategies and therapeutic peptide-vaccines for CCA treatment.</t>
  </si>
  <si>
    <t>Yu, Rui; Zhao, Fangmin; Xu, Zeting; Zhang, Gaochenxi; Du, Bingqing; Shu, Qijin</t>
  </si>
  <si>
    <t>Current status and future of cancer vaccines: A bibliographic study</t>
  </si>
  <si>
    <t>https://doi.org/10.1016/j.heliyon.2024.e24404</t>
  </si>
  <si>
    <t>Background Cancer vaccines are an important component of tumour immunotherapy. An increasing number of studies have shown that cancer vaccines have considerable clinical benefits. With the development of tumour precision medicine, cancer vaccines have become important because of their individualised targeting effects. However, few bibliometric studies have conducted comprehensive systematic reviews in this field. This study aimed to assess the scientific output and trends in cancer vaccine research from a global perspective. Methods We collected publications on cancer vaccines from the Web of Science Core Collection database, which was limited to articles and reviews in English. Microsoft Excel, VOS Viewer, and CiteSpace V were used for quantitative and visual analyses. Results A total of 7807 articles were included. From 1991 to 2022, the number of publications increased annually. The United States had the highest number of articles published in this field (48.28 %), the highest citation frequency (183,964 times), and the highest H-index (182). The National Institutes of Health topped the list with 476 articles. Schlom J had the highest number of published articles (128) and was the main investigator in this field. The journal, Cancer Immunology Immunotherapy, had published the highest number of articles in related fields. In recent years, tumour microenvironment, immune checkpoint inhibitors, particle vaccines, tumour antigens, and dendritic cells have become research hotspots related to cancer vaccines. Conclusion Cancer vaccines are a popular research topic in the field of tumour immunotherapy. Related research and publications will enter a boom stage. “Immune checkpoint inhibitors”, “tumour microenvironment” and “dendritic cells” may become future research hotspots, while “T-cell suppressor” is a potential puzzle to be solved.</t>
  </si>
  <si>
    <t>its a review article about Current status and future of cancer vaccines</t>
  </si>
  <si>
    <t>Vitiello, Pietro Paolo; Rousseau, Benoit; Chilà, Rosaria; Battuello, Paolo; Amodio, Vito; Battaglieri, Vittorio; Grasso, Gaia; Scardellato, Sharon; Anselmo, Achille; Clemente, Francesca; Rospo, Giuseppe; Lamba, Simona; Bartolini, Alice; Pisati, Federica; Tripodo, Claudio; Congiusta, Noemi; Russo, Mariangela; Crisafulli, Giovanni; Nicolantonio, Federica Di; Germano, Giovanni; Diaz, Luis A.; Bardelli, Alberto</t>
  </si>
  <si>
    <t>Cisplatin and temozolomide combinatorial treatment triggers hypermutability and immune surveillance in experimental cancer models</t>
  </si>
  <si>
    <t>https://doi.org/10.1016/j.ccell.2025.05.014</t>
  </si>
  <si>
    <t>Summary Hypermutation induced by mismatch repair (MMR) inactivation leads to immune surveillance in colorectal cancer (CRC) and in several other malignancies. We investigated the impact of a rationally designed chemotherapy combination on the generation of hypermutation and immunogenicity in otherwise immune-refractory CRC and breast cancer mouse models. Combinatorial treatment with cisplatin (CDDP) and temozolomide (TMZ) induces an adaptive downregulation of MMR, resulting in chemotherapy-dependent hypermutability and increase in predicted neoantigens. This combination specifically alters the immune fitness of the tumors, ultimately leading to CD8+ T cell-mediated immune surveillance, immunoediting of chemotherapy-induced neoantigens, and durable immunological memory. Treatment with CDDP and TMZ also remodels the innate immune microenvironment and induces long-lasting responses and complete rejections when combined with anti-PD-1 therapy in mice. The same effects are not observed using the clinically approved combination of 5-fluorouracil, oxaliplatin, and irinotecan (FOLFOXIRI). Treatment-induced hypermutation can enhance anti-tumor immune responses, offering additional avenues for cancer treatment.</t>
  </si>
  <si>
    <t>Chu, Tian-Qing; Ding, Hao; Garfield, David H.; Gu, Ai-Qin; Pei, Jun; Du, Wei-Dong; Han, Bao-Hui</t>
  </si>
  <si>
    <t>Can Determination of Circulating Endothelial Cells and Serum Caspase-Cleaved CK18 Predict for Response and Survival in Patients with Advanced Non–Small-Cell Lung Cancer Receiving Endostatin and Paclitaxel–Carboplatin Chemotherapy? A Retrospective Study</t>
  </si>
  <si>
    <t>Journal of Thoracic Oncology</t>
  </si>
  <si>
    <t>https://doi.org/10.1097/JTO.0b013e3182725fe0</t>
  </si>
  <si>
    <t>Introduction: Early prediction of the efficacy of a combination of an antiangiogenic drug with cytotoxic chemotherapy is a significant challenge. In that regard, circulating endothelial cells (CECs) and cytokeratins (CKs) seem to reflect their roles in both tumor angiogenesis and tumor cell death. Methods: Patients with advanced, previously untreated non–small-cell lung cancer were randomly assigned to an endostatin treatment group (paclitaxel + carboplatin + endostatin) and a control group (paclitaxel + carboplatin + placebo). A total of 122 patients were evaluated, of whom 107 had measurements of blood CECs, CK8, caspase-cleaved CK18 (ccCK18), and uncleaved CK18 (CK18) before and at weeks 3 and 6 of treatment, respectively. Results: Higher baseline CECs in patients with a tumor response (partial remission + stable disease, p = 0.002 for the entire group; p = 0.000 for the treatment group) were observed. The number of CECs decreased significantly after endostatin treatment (p = 0.000), whereas CK levels increased. Increased levels of ccCK18 and CK18, but not CK8, reached significance (p = 0.001 and p = 0.048, respectively) when compared with the baseline. Tumor response showed a strong correlation with reduction of CECs (p = 0.000) and increase of ccCK18 (p = 0.040) after endostatin therapy. Cutoff values of changes of CECs and ccCK18 for prediction of survival were 0.58/μl and 19.6 ng/ml, respectively. Reduction of CECs and increase of ccCK18 significantly correlated with longer median survival (p = 0.013 and p = 0.016 for progression-free survival; p = 0.009 and p = 0.012 for overall survival, respectively). Conclusions: CECs and CKs could be biomarkers for selecting patients with non–small-cell lung cancer who will benefit from treatment with endostatin in combination with paclitaxel plus carboplatin.</t>
  </si>
  <si>
    <t>The study focuses exclusively on Colorectal Cancer (CRC) and Breast Cancer mouse models.</t>
  </si>
  <si>
    <t>Qi, Ying; Huang, Xiaoming; Ji, Chunxia; Wang, Chaojun; Yao, Yu</t>
  </si>
  <si>
    <t>The co-inhibitory immune checkpoint proteins B7-H1(PD-L1) and B7-H4 in high grade glioma: From bench to bedside</t>
  </si>
  <si>
    <t>Translational Oncology</t>
  </si>
  <si>
    <t>https://doi.org/10.1016/j.tranon.2023.101793</t>
  </si>
  <si>
    <t>Co-inhibitory immune checkpoints play a crucial role in tumor progression, and PD-1/PD-L1 inhibitor has been a breakthrough for treating multiple refractory tumors in last decade. Nevertheless, results of several phase III clinical trials of PD-1/PD-L1 inhibitor are unsatisfactory in high grade gliomas recently. This article reviews the promising biomarkers which can predict the efficacy of PD-1/PD-L1 blockade immunotherapy and current status of emerging strategies involving PD-1/PD-L1 inhibitors, especially the combination treatment and neoadjuvant PD-1 therapy in gliomas. In addition, B7-H4, one of the most promising immune checkpoints, is also briefly reviewed here for its clinical significance, regulatory mechanism and developing immunotherapeutic strategies in pre-clinical glioma models.</t>
  </si>
  <si>
    <t>the study is review in gliomas</t>
  </si>
  <si>
    <t>Wang, Mingshuang; Pang, Liwei; Sun, Yingjie; Han, Jingjing; Fan, Jiani; Shen, Wenhui; Hu, Xiaonan; Yang, Bingqian; Ning, Haoming; Kong, Yanan; Li, Duo; Zhao, Wenshan; Shi, Ranran; Ran, Ling; Qi, Yuanming; Wu, Yahong</t>
  </si>
  <si>
    <t>Screening and identification of HLA-A2-restricted neoepitopes for immunotherapy in endocrine therapy-resistant breast cancer</t>
  </si>
  <si>
    <t>Neoplasia</t>
  </si>
  <si>
    <t>https://doi.org/10.1016/j.neo.2025.101200</t>
  </si>
  <si>
    <t>Endocrine therapy has shown significant clinical efficacy in estrogen receptor alpha (ERα)-positive breast cancer management, but the emergence of therapy-resistant mutations significantly undermines treatment outcomes, frequently leading to disease progression and metastasis. Among these resistance mechanisms, mutations in the ESR1 gene are particularly prevalent, detectable in 76% of endocrine therapy-resistant tumor specimens. The identification of immunogenic neoepitopes derived from mutant ESR1 offers a promising therapeutic avenue for patients with endocrine therapy-resistant breast cancer. In this study, we systematically investigated the mutational landscape of ESR1 across various cancer types, with particular emphasis on mutation frequency and spectrum analysis. Our findings revealed that non-synonymous ESR1 mutations predominantly occurred in breast cancer, clustering at four distinct hotspot sites: K303, E380, Y537 and D538. We further characterized the mutation prevalence at these hotspots across different breast cancer subtypes. Through comprehensive screening, we identified eight human leukocyte antigen (HLA)-A*0201 restricted immunogenic neoepitopes derived from ESR1 hotspot mutations. These neoepitopes demonstrated the capacity to elicit specific cytotoxic T lymphocytes (CTLs) responses both in vitro and in vivo. The induced CTLs exhibited specific recognition and cytotoxic activity against both T2A2 cells loaded with mutant neoepitopes and HLA-A*0201-positive breast cancer cells transfected with minigene encoding mutant neoepitopes. Notably, adoptive transfer of T cells primed with a peptide pool containing these eight neoepitopes significantly suppressed tumor growth and enhanced CD8+ T cells infiltration within tumor tissue. These findings suggest that the identified neoepitopes represent promising candidates for the development of tumor shared neoantigen vaccines.</t>
  </si>
  <si>
    <t>The study focuses exclusively on Breast Cancer cell lines and patient specimens. Your protocol is strictly limited to Human Non-Small Cell Lung Cancer (NSCLC).</t>
  </si>
  <si>
    <t>Zhou, Shurong; Liang, Yuqing; Hao, Yu; Wang, Qiyan; Xu, You; Su, Ting; Cheng, Furong; Zhu, Guizhi</t>
  </si>
  <si>
    <t>Combined cancer immunotherapy with lipid nanoparticle delivery of oligo-based cGAS-agonistic adjuvant and peptide or mRNA vaccines</t>
  </si>
  <si>
    <t>Molecular Therapy Nucleic Acids</t>
  </si>
  <si>
    <t>https://doi.org/10.1016/j.omtn.2025.102623</t>
  </si>
  <si>
    <t>Therapeutic vaccines are promising for cancer immunotherapy in combination with immune checkpoint blockade (ICB). Though lipid nanoparticles (LNPs) hold great potential to deliver cancer therapeutic vaccines, LNPs delivering peptide or mRNA vaccines often induce suboptimal T cell responses. Type I interferon (IFN-I) responses can enhance antigen presentation and potentiate T cell responses. Here, we report LNP codelivery of peptide or mRNA vaccines with a cyclic GMP-AMP synthase (cGAS) agonist that can specifically induce IFN-I responses to potentiate anticancer T cell responses for robust ICB combination immunotherapy of tumors. Svg3, an oligonucleotide-based cGAS agonist, can be efficiently coloaded with antigenic peptides or antigen-encoding mRNAs into LNPs and codelivered to mouse draining lymph nodes and antigen-presenting cells (APCs). Svg3 promoted the antigen presentation and antigen-specific CD8+ T cell responses in mice. The combination of LNP-delivered Svg3 with peptide or mRNA encoding antigens promotes anti-tumor responses, reduces immune suppression, and enhances tumor therapeutic efficacy when combined with ICB.</t>
  </si>
  <si>
    <t>The study primary cohort consists of mouse models (syngeneic C57BL/6 and BALB/c mice) for Colorectal Cancer (MC38) and HPV-associated tumors (TC-1).</t>
  </si>
  <si>
    <t>Rahman, Md Mijanur; Masum, Md Habib Ullah; Talukder, Asma; Akter, Rekha</t>
  </si>
  <si>
    <t>An in silico reverse vaccinology approach to design a novel multiepitope peptide vaccine for non-small cell lung cancers</t>
  </si>
  <si>
    <t>Informatics in Medicine Unlocked</t>
  </si>
  <si>
    <t>https://doi.org/10.1016/j.imu.2023.101169</t>
  </si>
  <si>
    <t>Non-small cell lung cancer (NSCLC) is the most prevalent and fatal lung cancer. The multiepitope vaccine is one of the immunotherapies successfully applied to treat NSCLC. We designed a multiepitope vaccine with MHC-I, MHC-II, CTL, and linear B cell epitopes of MAGE-A3, EGF, and MUC-1 oncoproteins employing in silico immunoinformatics approach. The structural assessment of the vaccine showed it as a well-stable protein (Z score of −7.53). The molecular docking between the vaccine and human receptors (TLR-2, TLR-4, MHC-I and MHC-II alleles) implied a high affinity of the vaccine to the receptors. The codon optimization and in silico cloning of the vaccine into the pET-28a (+) plasmid of the E. coli K12 strain revealed its potentiality upon expression (CAI value of 0.9607). Furthermore, immune simulation of the vaccine depicted its ability to stimulate immune responses (B cell, T cell, antibody, and cytokines) against NSCLC. Almost all developed NSCLC vaccines cannot treat or prevent NSCLC satisfactorily, and there is still no multiepitope vaccine available that contains all three significant oncoproteins; therefore, our designed vaccine could be a significant weapon against NSCLC. This novel multiepitope vaccine could be developed upon considering its safety, efficacy, and adverse effects on humans through further studies.</t>
  </si>
  <si>
    <t>Targets shared TAAs (MAGE-A3, EGF, MUC-1), not neoantigens and Does not meet the "experimental validation" or "neoantigen-specific" requirements.</t>
  </si>
  <si>
    <t>Lau, Tammy T. Y.; Dashti, Zahra J. Sefid; Titmuss, Emma; Pender, Alexandra; Topham, James T.; Bridgers, Joshua; Loree, Jonathan M.; Feng, Xiaolan; Pleasance, Erin D.; Renouf, Daniel J.; Schrader, Kasmintan A.; Sun, Sophie; Ho, Cheryl; Marra, Marco A.; Laskin, Janessa; Karsan, Aly</t>
  </si>
  <si>
    <t>The Neoantigen Landscape of the Coding and Noncoding Cancer Genome Space</t>
  </si>
  <si>
    <t>The Journal of Molecular Diagnostics</t>
  </si>
  <si>
    <t>https://doi.org/10.1016/j.jmoldx.2022.02.004</t>
  </si>
  <si>
    <t>Tumor mutation burden (TMB) is a measure to predict patient responsiveness to immune checkpoint immunotherapy because with increased mutation frequency, the likelihood of a greater neoantigen burden is increased. Although neoantigen prediction tools exist, tumor neoantigen burden has not been adopted as a measure to predict immunotherapy response. With both measures, current guidelines are limited to the coding regions, but ectopic expression of sequences in the noncoding space may potentially be a source of neoantigens. A pan-cancer cohort of 574 advanced disease stage patients with whole genome and transcriptome sequencing was analyzed to report mutation burden and neoantigen counts within the coding and noncoding regions. The efficacy of tumor neoantigen burden, reported as tumor neoantigen count (TNC), including neoantigens derived from the expression of noncoding regions, compared with TMB as a predictor of response to immunotherapy for 80 patients who had received treatment, was evaluated. TMB was found to be the best predictor of response to immunotherapy, whereas expression-derived TNC from the noncoding regions did not improve prediction of response. Therefore, there is minimal benefit in extending the calculation of TNC to the noncoding space for the purposes of predicting response. However, it is likely that there is a wealth of neoantigens derived from the noncoding space that may impact patient outcomes and treatments.</t>
  </si>
  <si>
    <t>Nicholas, Ben; Bailey, Alistair; McCann, Katy J.; Johnson, Peter; Elliott, Tim; Ottensmeier, Christian; Skipp, Paul</t>
  </si>
  <si>
    <t>Comparative Analysis of Transcriptomic and Proteomic Expression between Two Non-Small Cell Lung Cancer Subtypes</t>
  </si>
  <si>
    <t>Journal of Proteome Research</t>
  </si>
  <si>
    <t>https://doi.org/10.1021/acs.jproteome.4c00773</t>
  </si>
  <si>
    <t>Non-small cell lung cancer (NSCLC) is frequently diagnosed late and has poor survival. The two predominant subtypes of NSCLC, adenocarcinoma (LUAD) and squamous cell carcinoma (LUSC), are currently differentially diagnosed using immunohistochemical markers; however, they are increasingly recognized as very different cancer types suggestive of potential for new, more targeted therapies. There are extensive efforts to find more precise and noninvasive differential diagnostic tools. Here, we examined these two NSCLC subtypes for differences that may inform treatment and identify potential novel therapeutic pathways. We presented a comparative analysis of transcriptomic and proteomic expression in tumors from a cohort of 22 NSCLC patients: 8 LUSC and 14 LUAD. Comparing NSCLC subtypes, we found differential gene expression related to cell differentiation for LUSC and cellular structure and immune response regulation for LUAD. Differential protein expression between NSCLC subtypes was related to extracellular structure for LUSC and metabolic processes, including glucose metabolism for LUAD. This direct comparison was more informative about subtype-specific pathways than between each subtype and control (nontumor) tissues. Many of our observations between NSCLC subtypes support and inform existing observations and reveal differences that may aid research seeking to identify and validate novel subtype biomarkers or druggable targets.</t>
  </si>
  <si>
    <t>The study investigates differential gene and protein expression patterns between LUAD and LUSC subtypes.</t>
  </si>
  <si>
    <t>Kahles, André; Lehmann, Kjong-Van; Toussaint, Nora C.; Hüser, Matthias; Stark, Stefan G.; Sachsenberg, Timo; Stegle, Oliver; Kohlbacher, Oliver; Sander, Chris; Caesar-Johnson, Samantha J.; Demchok, John A.; Felau, Ina; Kasapi, Melpomeni; Ferguson, Martin L.; Hutter, Carolyn M.; Sofia, Heidi J.; Tarnuzzer, Roy; Wang, Zhining; Yang, Liming; Zenklusen, Jean C.; Zhang, Jiashan (Julia); Chudamani, Sudha; Liu, Jia; Lolla, Laxmi; Naresh, Rashi; Pihl, Todd; Sun, Qiang; Wan, Yunhu; Wu, Ye; Cho, Juok; DeFreitas, Timothy; Frazer, Scott; Gehlenborg, Nils; Getz, Gad; Heiman, David I.; Kim, Jaegil; Lawrence, Michael S.; Lin, Pei; Meier, Sam; Noble, Michael S.; Saksena, Gordon; Voet, Doug; Zhang, Hailei; Bernard, Brady; Chambwe, Nyasha; Dhankani, Varsha; Knijnenburg, Theo; Kramer, Roger; Leinonen, Kalle; Liu, Yuexin; Miller, Michael; Reynolds, Sheila; Shmulevich, Ilya; Thorsson, Vesteinn; Zhang, Wei; Akbani, Rehan; Broom, Bradley M.; Hegde, Apurva M.; Ju, Zhenlin; Kanchi, Rupa S.; Korkut, Anil; Li, Jun; Liang, Han; Ling, Shiyun; Liu, Wenbin; Lu, Yiling; Mills, Gordon B.; Ng, Kwok-Shing; Rao, Arvind; Ryan, Michael; Wang, Jing; Weinstein, John N.; Zhang, Jiexin; Abeshouse, Adam; Armenia, Joshua; Chakravarty, Debyani; Chatila, Walid K.; Bruijn, Ino de; Gao, Jianjiong; Gross, Benjamin E.; Heins, Zachary J.; Kundra, Ritika; La, Konnor; Ladanyi, Marc; Luna, Augustin; Nissan, Moriah G.; Ochoa, Angelica; Phillips, Sarah M.; Reznik, Ed; Sanchez-Vega, Francisco; Sander, Chris; Schultz, Nikolaus; Sheridan, Robert; Sumer, S. Onur; Sun, Yichao; Taylor, Barry S.; Wang, Jioajiao; Zhang, Hongxin; Anur, Pavana; Peto, Myron; Spellman, Paul; Benz, Christopher; Stuart, Joshua M.; Wong, Christopher K.; Yau, Christina; Hayes, D. Neil; Parker, Joel S.; Wilkerson, Matthew D.; Ally, Adrian; Balasundaram, Miruna; Bowlby, Reanne; Brooks, Denise; Carlsen, Rebecca; Chuah, Eric; Dhalla, Noreen; Holt, Robert; Jones, Steven J. M.; Kasaian, Katayoon; Lee, Darlene; Ma, Yussanne; Marra, Marco A.; Mayo, Michael; Moore, Richard A.; Mungall, Andrew J.; Mungall, Karen; Robertson, A. Gordon; Sadeghi, Sara; Schein, Jacqueline E.; Sipahimalani, Payal; Tam, Angela; Thiessen, Nina; Tse, Kane; Wong, Tina; Berger, Ashton C.; Beroukhim, Rameen; Cherniack, Andrew D.; Cibulskis, Carrie; Gabriel, Stacey B.; Gao, Galen F.; Ha, Gavin; Meyerson, Matthew; Schumacher, Steven E.; Shih, Juliann; Kucherlapati, Melanie H.; Kucherlapati, Raju S.; Baylin, Stephen; Cope, Leslie; Danilova, Ludmila; Bootwalla, Moiz S.; Lai, Phillip H.; Maglinte, Dennis T.; Berg, David J. Van Den; Weisenberger, Daniel J.; Auman, J. Todd; Balu, Saianand; Bodenheimer, Tom; Fan, Cheng; Hoadley, Katherine A.; Hoyle, Alan P.; Jefferys, Stuart R.; Jones, Corbin D.; Meng, Shaowu; Mieczkowski, Piotr A.; Mose, Lisle E.; Perou, Amy H.; Perou, Charles M.; Roach, Jeffrey; Shi, Yan; Simons, Janae V.; Skelly, Tara; Soloway, Matthew G.; Tan, Donghui; Veluvolu, Umadevi; Fan, Huihui; Hinoue, Toshinori; Laird, Peter W.; Shen, Hui; Zhou, Wanding; Bellair, Michelle; Chang, Kyle; Covington, Kyle; Creighton, Chad J.; Dinh, Huyen; Doddapaneni, HarshaVardhan; Donehower, Lawrence A.; Drummond, Jennifer; Gibbs, Richard A.; Glenn, Robert; Hale, Walker; Han, Yi; Hu, Jianhong; Korchina, Viktoriya; Lee, Sandra; Lewis, Lora; Li, Wei; Liu, Xiuping; Morgan, Margaret; Morton, Donna; Muzny, Donna; Santibanez, Jireh; Sheth, Margi; Shinbrot, Eve; Wang, Linghua; Wang, Min; Wheeler, David A.; Xi, Liu; Zhao, Fengmei; Hess, Julian; Appelbaum, Elizabeth L.; Bailey, Matthew; Cordes, Matthew G.; Ding, Li; Fronick, Catrina C.; Fulton, Lucinda A.; Fulton, Robert S.; Kandoth, Cyriac; Mardis, Elaine R.; McLellan, Michael D.; Miller, Christopher A.; Schmidt, Heather K.; Wilson, Richard K.; Crain, Daniel; Curley, Erin; Gardner, Johanna; Lau, Kevin; Mallery, David; Morris, Scott; Paulauskis, Joseph; Penny, Robert; Shelton, Candace; Shelton, Troy; Sherman, Mark; Thompson, Eric; Yena, Peggy; Bowen, Jay; Gastier-Foster, Julie M.; Gerken, Mark; Leraas, Kristen M.; Lichtenberg, Tara M.; Ramirez, Nilsa C.; Wise, Lisa; Zmuda, Erik; Corcoran, Niall; Costello, Tony; Hovens, Christopher; Carvalho, Andre L.; Carvalho, Ana C. de; Fregnani, José H.; Longatto-Filho, Adhemar; Reis, Rui M.; Scapulatempo-Neto, Cristovam; Silveira, Henrique C. S.; Vidal, Daniel O.; Burnette, Andrew; Eschbacher, Jennifer; Hermes, Beth; Noss, Ardene; Singh, Rosy; Anderson, Matthew L.; Castro, Patricia D.; Ittmann, Michael; Huntsman, David; Kohl, Bernard; Le, Xuan; Thorp, Richard; Andry, Chris; Duffy, Elizabeth R.; Lyadov, Vladimir; Paklina, Oxana; Setdikova, Galiya; Shabunin, Alexey; Tavobilov, Mikhail; McPherson, Christopher; Warnick, Ronald; Berkowitz, Ross; Cramer, Daniel; Feltmate, Colleen; Horowitz, Neil; Kibel, Adam; Muto, Michael; Raut, Chandrajit P.; Malykh, Andrei; Barnholtz-Sloan, Jill S.; Barrett, Wendi; Devine, Karen; Fulop, Jordonna; Ostrom, Quinn T.; Shimmel, Kristen; Wolinsky, Yingli; Sloan, Andrew E.; Rose, Agostino De; Giuliante, Felice; Goodman, Marc; Karlan, Beth Y.; Hagedorn, Curt H.; Eckman, John; Harr, Jodi; Myers, Jerome; Tucker, Kelinda; Zach, Leigh Anne; Deyarmin, Brenda; Hu, Hai; Kvecher, Leonid; Larson, Caroline; Mural, Richard J.; Somiari, Stella; Vicha, Ales; Zelinka, Tomas; Bennett, Joseph; Iacocca, Mary; Rabeno, Brenda; Swanson, Patricia; Latour, Mathieu; Lacombe, Louis; Têtu, Bernard; Bergeron, Alain; McGraw, Mary; Staugaitis, Susan M.; Chabot, John; Hibshoosh, Hanina; Sepulveda, Antonia; Su, Tao; Wang, Timothy; Potapova, Olga; Voronina, Olga; Desjardins, Laurence; Mariani, Odette; Roman-Roman, Sergio; Sastre, Xavier; Stern, Marc-Henri; Cheng, Feixiong; Signoretti, Sabina; Berchuck, Andrew; Bigner, Darell; Lipp, Eric; Marks, Jeffrey; McCall, Shannon; McLendon, Roger; Secord, Angeles; Sharp, Alexis; Behera, Madhusmita; Brat, Daniel J.; Chen, Amy; Delman, Keith; Force, Seth; Khuri, Fadlo; Magliocca, Kelly; Maithel, Shishir; Olson, Jeffrey J.; Owonikoko, Taofeek; Pickens, Alan; Ramalingam, Suresh; Shin, Dong M.; Sica, Gabriel; Meir, Erwin G. Van; Zhang, Hongzheng; Eijckenboom, Wil; Gillis, Ad; Korpershoek, Esther; Looijenga, Leendert; Oosterhuis, Wolter; Stoop, Hans; Kessel, Kim E. van; Zwarthoff, Ellen C.; Calatozzolo, Chiara; Cuppini, Lucia; Cuzzubbo, Stefania; DiMeco, Francesco; Finocchiaro, Gaetano; Mattei, Luca; Perin, Alessandro; Pollo, Bianca; Chen, Chu; Houck, John; Lohavanichbutr, Pawadee; Hartmann, Arndt; Stoehr, Christine; Stoehr, Robert; Taubert, Helge; Wach, Sven; Wullich, Bernd; Kycler, Witold; Murawa, Dawid; Wiznerowicz, Maciej; Chung, Ki; Edenfield, W. Jeffrey; Martin, Julie; Baudin, Eric; Bubley, Glenn; Bueno, Raphael; Rienzo, Assunta De; Richards, William G.; Kalkanis, Steven; Mikkelsen, Tom; Noushmehr, Houtan; Scarpace, Lisa; Girard, Nicolas; Aymerich, Marta; Campo, Elias; Giné, Eva; Guillermo, Armando López; Bang, Nguyen Van; Hanh, Phan Thi; Phu, Bui Duc; Tang, Yufang; Colman, Howard; Evason, Kimberley; Dottino, Peter R.; Martignetti, John A.; Gabra, Hani; Juhl, Hartmut; Akeredolu, Teniola; Stepa, Serghei; Hoon, Dave; Ahn, Keunsoo; Kang, Koo Jeong; Beuschlein, Felix; Breggia, Anne; Birrer, Michael; Bell, Debra; Borad, Mitesh; Bryce, Alan H.; Castle, Erik; Chandan, Vishal; Cheville, John; Copland, John A.; Farnell, Michael; Flotte, Thomas; Giama, Nasra; Ho, Thai; Kendrick, Michael; Kocher, Jean-Pierre; Kopp, Karla; Moser, Catherine; Nagorney, David; O'Brien, Daniel; O'Neill, Brian Patrick; Patel, Tushar; Petersen, Gloria; Que, Florencia; Rivera, Michael; Roberts, Lewis; Smallridge, Robert; Smyrk, Thomas; Stanton, Melissa; Thompson, R. Houston; Torbenson, Michael; Yang, Ju Dong; Zhang, Lizhi; Brimo, Fadi; Ajani, Jaffer A.; Gonzalez, Ana Maria Angulo; Behrens, Carmen; Bondaruk, Jolanta; Broaddus, Russell; Czerniak, Bogdan; Esmaeli, Bita; Fujimoto, Junya; Gershenwald, Jeffrey; Guo, Charles; Lazar, Alexander J.; Logothetis, Christopher; Meric-Bernstam, Funda; Moran, Cesar; Ramondetta, Lois; Rice, David; Sood, Anil; Tamboli, Pheroze; Thompson, Timothy; Troncoso, Patricia; Tsao, Anne; Wistuba, Ignacio; Carter, Candace; Haydu, Lauren; Hersey, Peter; Jakrot, Valerie; Kakavand, Hojabr; Kefford, Richard; Lee, Kenneth; Long, Georgina; Mann, Graham; Quinn, Michael; Saw, Robyn; Scolyer, Richard; Shannon, Kerwin; Spillane, Andrew; Stretch, Jonathan; Synott, Maria; Thompson, John; Wilmott, James; Al-Ahmadie, Hikmat; Chan, Timothy A.; Ghossein, Ronald; Gopalan, Anuradha; Levine, Douglas A.; Reuter, Victor; Singer, Samuel; Singh, Bhuvanesh; Tien, Nguyen Viet; Broudy, Thomas; Mirsaidi, Cyrus; Nair, Praveen; Drwiega, Paul; Miller, Judy; Smith, Jennifer; Zaren, Howard; Park, Joong-Won; Hung, Nguyen Phi; Kebebew, Electron; Linehan, W. Marston; Metwalli, Adam R.; Pacak, Karel; Pinto, Peter A.; Schiffman, Mark; Schmidt, Laura S.; Vocke, Cathy D.; Wentzensen, Nicolas; Worrell, Robert; Yang, Hannah; Moncrieff, Marc; Goparaju, Chandra; Melamed, Jonathan; Pass, Harvey; Botnariuc, Natalia; Caraman, Irina; Cernat, Mircea; Chemencedji, Inga; Clipca, Adrian; Doruc, Serghei; Gorincioi, Ghenadie; Mura, Sergiu; Pirtac, Maria; Stancul, Irina; Tcaciuc, Diana; Albert, Monique; Alexopoulou, Iakovina; Arnaout, Angel; Bartlett, John; Engel, Jay; Gilbert, Sebastien; Parfitt, Jeremy; Sekhon, Harman; Thomas, George; Rassl, Doris M.; Rintoul, Robert C.; Bifulco, Carlo; Tamakawa, Raina; Urba, Walter; Hayward, Nicholas; Timmers, Henri; Antenucci, Anna; Facciolo, Francesco; Grazi, Gianluca; Marino, Mirella; Merola, Roberta; Krijger, Ronald de; Gimenez-Roqueplo, Anne-Paule; Piché, Alain; Chevalier, Simone; McKercher, Ginette; Birsoy, Kivanc; Barnett, Gene; Brewer, Cathy; Farver, Carol; Naska, Theresa; Pennell, Nathan A.; Raymond, Daniel; Schilero, Cathy; Smolenski, Kathy; Williams, Felicia; Morrison, Carl; Borgia, Jeffrey A.; Liptay, Michael J.; Pool, Mark; Seder, Christopher W.; Junker, Kerstin; Omberg, Larsson; Dinkin, Mikhail; Manikhas, George; Alvaro, Domenico; Bragazzi, Maria Consiglia; Cardinale, Vincenzo; Carpino, Guido; Gaudio, Eugenio; Chesla, David; Cottingham, Sandra; Dubina, Michael; Moiseenko, Fedor; Dhanasekaran, Renumathy; Becker, Karl-Friedrich; Janssen, Klaus-Peter; Slotta-Huspenina, Julia; Abdel-Rahman, Mohamed H.; Aziz, Dina; Bell, Sue; Cebulla, Colleen M.; Davis, Amy; Duell, Rebecca; Elder, J. Bradley; Hilty, Joe; Kumar, Bahavna; Lang, James; Lehman, Norman L.; Mandt, Randy; Nguyen, Phuong; Pilarski, Robert; Rai, Karan; Schoenfield, Lynn; Senecal, Kelly; Wakely, Paul; Hansen, Paul; Lechan, Ronald; Powers, James; Tischler, Arthur; Grizzle, William E.; Sexton, Katherine C.; Kastl, Alison; Henderson, Joel; Porten, Sima; Waldmann, Jens; Fassnacht, Martin; Asa, Sylvia L.; Schadendorf, Dirk; Couce, Marta; Graefen, Markus; Huland, Hartwig; Sauter, Guido; Schlomm, Thorsten; Simon, Ronald; Tennstedt, Pierre; Olabode, Oluwole; Nelson, Mark; Bathe, Oliver; Carroll, Peter R.; Chan, June M.; Disaia, Philip; Glenn, Pat; Kelley, Robin K.; Landen, Charles N.; Phillips, Joanna; Prados, Michael; Simko, Jeffry; Smith-McCune, Karen; VandenBerg, Scott; Roggin, Kevin; Fehrenbach, Ashley; Kendler, Ady; Sifri, Suzanne; Steele, Ruth; Jimeno, Antonio; Carey, Francis; Forgie, Ian; Mannelli, Massimo; Carney, Michael; Hernandez, Brenda; Campos, Benito; Herold-Mende, Christel; Jungk, Christin; Unterberg, Andreas; Deimling, Andreas von; Bossler, Aaron; Galbraith, Joseph; Jacobus, Laura; Knudson, Michael; Knutson, Tina; Ma, Deqin; Milhem, Mohammed; Sigmund, Rita; Godwin, Andrew K.; Madan, Rashna; Rosenthal, Howard G.; Adebamowo, Clement; Adebamowo, Sally N.; Boussioutas, Alex; Beer, David; Giordano, Thomas; Mes-Masson, Anne-Marie; Saad, Fred; Bocklage, Therese; Landrum, Lisa; Mannel, Robert; Moore, Kathleen; Moxley, Katherine; Postier, Russel; Walker, Joan; Zuna, Rosemary; Feldman, Michael; Valdivieso, Federico; Dhir, Rajiv; Luketich, James; Pinero, Edna M. Mora; Quintero-Aguilo, Mario; Carlotti, Carlos Gilberto; Santos, Jose Sebastião Dos; Kemp, Rafael; Sankarankuty, Ajith; Tirapelli, Daniela; Catto, James; Agnew, Kathy; Swisher, Elizabeth; Creaney, Jenette; Robinson, Bruce; Shelley, Carl Simon; Godwin, Eryn M.; Kendall, Sara; Shipman, Cassaundra; Bradford, Carol; Carey, Thomas; Haddad, Andrea; Moyer, Jeffey; Peterson, Lisa; Prince, Mark; Rozek, Laura; Wolf, Gregory; Bowman, Rayleen; Fong, Kwun M.; Yang, Ian; Korst, Robert; Rathmell, W. Kimryn; Fantacone-Campbell, J. Leigh; Hooke, Jeffrey A.; Kovatich, Albert J.; Shriver, Craig D.; DiPersio, John; Drake, Bettina; Govindan, Ramaswamy; Heath, Sharon; Ley, Timothy; Tine, Brian Van; Westervelt, Peter; Rubin, Mark A.; Lee, Jung Il; Aredes, Natália D.; Mariamidze, Armaz; Rätsch, Gunnar</t>
  </si>
  <si>
    <t>Comprehensive Analysis of Alternative Splicing Across Tumors from 8,705 Patients</t>
  </si>
  <si>
    <t>https://doi.org/10.1016/j.ccell.2018.07.001</t>
  </si>
  <si>
    <t>Summary Our comprehensive analysis of alternative splicing across 32 The Cancer Genome Atlas cancer types from 8,705 patients detects alternative splicing events and tumor variants by reanalyzing RNA and whole-exome sequencing data. Tumors have up to 30% more alternative splicing events than normal samples. Association analysis of somatic variants with alternative splicing events confirmed known trans associations with variants in SF3B1 and U2AF1 and identified additional trans-acting variants (e.g., TADA1, PPP2R1A). Many tumors have thousands of alternative splicing events not detectable in normal samples; on average, we identified ≈930 exon-exon junctions (“neojunctions”) in tumors not typically found in GTEx normals. From Clinical Proteomic Tumor Analysis Consortium data available for breast and ovarian tumor samples, we confirmed ≈1.7 neojunction- and ≈0.6 single nucleotide variant-derived peptides per tumor sample that are also predicted major histocompatibility complex-I binders (“putative neoantigens”).</t>
  </si>
  <si>
    <t>Litchfield, Kevin; Reading, James L.; Puttick, Clare; Thakkar, Krupa; Abbosh, Chris; Bentham, Robert; Watkins, Thomas B. K.; Rosenthal, Rachel; Biswas, Dhruva; Rowan, Andrew; Lim, Emilia; Bakir, Maise Al; Turati, Virginia; Guerra-Assunção, José Afonso; Conde, Lucia; Furness, Andrew J. S.; Saini, Sunil Kumar; Hadrup, Sine R.; Herrero, Javier; Lee, Se-Hoon; Loo, Peter Van; Enver, Tariq; Larkin, James; Hellmann, Matthew D.; Turajlic, Samra; Quezada, Sergio A.; McGranahan, Nicholas; Swanton, Charles</t>
  </si>
  <si>
    <t>Meta-analysis of tumor- and T cell-intrinsic mechanisms of sensitization to checkpoint inhibition</t>
  </si>
  <si>
    <t>https://doi.org/10.1016/j.cell.2021.01.002</t>
  </si>
  <si>
    <t>Summary Checkpoint inhibitors (CPIs) augment adaptive immunity. Systematic pan-tumor analyses may reveal the relative importance of tumor-cell-intrinsic and microenvironmental features underpinning CPI sensitization. Here, we collated whole-exome and transcriptomic data for &gt;1,000 CPI-treated patients across seven tumor types, utilizing standardized bioinformatics workflows and clinical outcome criteria to validate multivariable predictors of CPI sensitization. Clonal tumor mutation burden (TMB) was the strongest predictor of CPI response, followed by total TMB and CXCL9 expression. Subclonal TMB, somatic copy alteration burden, and histocompatibility leukocyte antigen (HLA) evolutionary divergence failed to attain pan-cancer significance. Dinucleotide variants were identified as a source of immunogenic epitopes associated with radical amino acid substitutions and enhanced peptide hydrophobicity/immunogenicity. Copy-number analysis revealed two additional determinants of CPI outcome supported by prior functional evidence: 9q34 (TRAF2) loss associated with response and CCND1 amplification associated with resistance. Finally, single-cell RNA sequencing (RNA-seq) of clonal neoantigen-reactive CD8 tumor-infiltrating lymphocytes (TILs), combined with bulk RNA-seq analysis of CPI-responding tumors, identified CCR5 and CXCL13 as T-cell-intrinsic markers of CPI sensitivity.</t>
  </si>
  <si>
    <t>Haratani, Koji; Nakamura, Atsushi; Mamesaya, Nobuaki; Mitsuoka, Shigeki; Yoneshima, Yasuto; Saito, Ryota; Tanizaki, Junko; Fujisaka, Yasuhito; Hata, Akito; Tsuruno, Kosuke; Sakamoto, Tomohiro; Teraoka, Shunsuke; Oki, Masahide; Watanabe, Hiroshi; Sato, Yuki; Nakano, Yusuke; Otani, Tomoyuki; Sakai, Kazuko; Tomida, Shuta; Chiba, Yasutaka; Ito, Akihiko; Nishio, Kazuto; Yamamoto, Nobuyuki; Nakagawa, Kazuhiko; Hayashi, Hidetoshi</t>
  </si>
  <si>
    <t>Tumor Microenvironment Landscape of NSCLC Reveals Resistance Mechanisms for Programmed Death-Ligand 1 Blockade After Chemoradiotherapy: A Multicenter Prospective Biomarker Study (WJOG11518L:SUBMARINE)</t>
  </si>
  <si>
    <t>https://doi.org/10.1016/j.jtho.2023.06.012</t>
  </si>
  <si>
    <t>Introduction The PACIFIC regimen of consolidation therapy with the programmed cell death-ligand 1 inhibitor durvalumab after definitive concurrent chemoradiation therapy has become a standard of care for individuals with unresectable stage III NSCLC. Nevertheless, approximately half of the treated patients experience disease progression within 1 year, with the mechanisms of treatment resistance being poorly understood. We here performed a nationwide prospective biomarker study to explore the resistance mechanisms (WJOG11518L:SUBMARINE). Methods A total of 135 patients with unresectable stage III NSCLC who received the PACIFIC regimen were included for comprehensive profiling of the tumor microenvironment by immunohistochemistry, transcriptome analysis, and genomic sequencing of pretreatment tumor tissue and flow cytometric analysis of circulating immune cells. Progression-free survival was compared on the basis of these biomarkers. Results The importance of preexisting effective adaptive immunity in tumors was revealed for treatment benefit regardless of genomic features. We also identified CD73 expression by cancer cells as a mechanism of resistance to the PACIFIC regimen. Multivariable analysis of immunohistochemistry data with key clinical factors as covariables indicated that low CD8+ tumor-infiltrating lymphocyte density and the high CD73+ cancer cells were independently associated with poor durvalumab outcome (hazard ratios = 4.05 [95% confidence interval: 1.17–14.04] for CD8+ tumor-infiltrating lymphocytes; 4.79 [95% confidence interval: 1.12–20.58] for CD73). In addition, whole-exome sequencing of paired tumor samples suggested that cancer cells eventually escaped immune pressure as a result of neoantigen plasticity. Conclusions Our study emphasizes the importance of functional adaptive immunity in stage III NSCLC and implicates CD73 as a promising treatment target, thus providing insight forming a basis for development of a new treatment approach in NSCLC.</t>
  </si>
  <si>
    <t>Leeming, D. J.; Willumsen, N.; Sand, J. M. B.; Nielsen, S. Holm; Dasgupta, B.; Brodmerkel, C.; Curran, M.; Bager, C. L.; Karsdal, MA</t>
  </si>
  <si>
    <t>A serological marker of the N-terminal neoepitope generated during LOXL2 maturation is elevated in patients with cancer or idiopathic pulmonary fibrosis</t>
  </si>
  <si>
    <t>Biochemistry and Biophysics Reports</t>
  </si>
  <si>
    <t>https://doi.org/10.1016/j.bbrep.2018.11.002</t>
  </si>
  <si>
    <t>Objectives Lysyl oxidase like 2 (LOXL2) is associated with poor prognosis in idiopathic pulmonary disease (IPF) and cancer. We developed an Enzyme-linked immunosorbent assay (ELISA) targeting the LOXL2 neo-epitope generated through the release of the signal peptide during LOXL2 maturation. Design and methods An ELISA targeting the N-terminal site of the human LOXL2 was developed including technical optimization and validation steps. Serum LOXL2 was measured in patients with breast, colorectal, lung, ovarian, pancreatic and prostate cancer, melanoma, IPF and in healthy controls (n = 16). Results A technically robust and specific assay was developed. LOXL2 was detectable in serum from healthy controls and showed reactivity towards recombinant LOXL2. Compared to controls, LOXL2 levels were significantly (p &lt; 0.001–0.05) elevated in serum from patients with breast, colerectal, lung, ovarian and pancreatic cancer (mean range: 49–84 ng/mL), but not in prostate cancer (mean: 36 ng/mL) and malignant melanoma patients (41 ng/mL). Serum LOXL2 was elevated in IPF patients compared to healthy controls (mean: 76.5 vs 46.8 ng/mL; p &gt; 0.001) Conclusions A specific ELISA towards the N-terminal neo-epitope site in LOXL2 was developed which detected significantly elevated serum levels from patients with above-mentioned cancer types or IPF compared to healthy controls.</t>
  </si>
  <si>
    <t>While the study uses the term "neo-epitope," it refers to a protein processing site (the N-terminal site generated by signal peptide cleavage during normal protein maturation), not a mutation-derived neoantigen.</t>
  </si>
  <si>
    <t>Barros, Luciana; Pretti, Marco Antonio; Chicaybam, Leonardo; Abdo, Luiza; Boroni, Mariana; Bonamino, Martin Hernán</t>
  </si>
  <si>
    <t>Immunological-based approaches for cancer therapy</t>
  </si>
  <si>
    <t>Clinics</t>
  </si>
  <si>
    <t>https://doi.org/10.6061/clinics/2018/e429s</t>
  </si>
  <si>
    <t>The immunologic landscape of tumors has been continuously unveiled, providing a new look at the interactions between cancer cells and the immune system. Emerging tumor cells are constantly eliminated by the immune system, but some cells establish a long-term equilibrium phase leading to tumor immunoediting and, eventually, evasion. During this process, tumor cells tend to acquire more mutations. Bearing a high mutation burden leads to a greater number of neoantigens with the potential to initiate an immune response. Although many tumors evoke an immune response, tumor clearance by the immune system does not occur due to a suppressive tumor microenvironment. The mechanisms by which tumors achieve the ability to evade immunologic control vary. Understanding these differences is crucial for the improvement and application of new immune-based therapies. Much effort has been placed in developing in silico algorithms to predict tumor immunogenicity and to characterize the microenvironment via high-throughput sequencing and gene expression techniques. Each sequencing source, transcriptomics, and genomics yields a distinct level of data, helping to elucidate the tumor-based immune responses and guiding the fine-tuning of current and upcoming immune-based therapies. In this review, we explore some of the immunological concepts behind the new immunotherapies and the bioinformatic tools to study the immunological aspects of tumors, focusing on neoantigen determination and microenvironment deconvolution. We further discuss the immune-based therapies already in clinical use, those underway for future clinical application, the next steps in immunotherapy, and how the characterization of the tumor immune contexture can impact therapies aiming to promote or unleash immune-based tumor elimination.</t>
  </si>
  <si>
    <t>its a review paper that summarizes immunotherapy approaches</t>
  </si>
  <si>
    <t>Negrao, Marcelo V.; Lam, Vincent K.; Reuben, Alexandre; Rubin, Maria Laura; Landry, Lara Lacerda; Roarty, Emily B.; Rinsurongkawong, Waree; Lewis, Jeff; Roth, Jack A.; Swisher, Stephen G.; Gibbons, Don L.; Wistuba, Ignacio I.; Papadimitrakopoulou, Vassiliki; Glisson, Bonnie S.; Blumenschein, George R.; Lee, J. Jack; Heymach, John V.; Zhang, Jianjun</t>
  </si>
  <si>
    <t>PD-L1 Expression, Tumor Mutational Burden, and Cancer Gene Mutations Are Stronger Predictors of Benefit from Immune Checkpoint Blockade than HLA Class I Genotype in Non–Small Cell Lung Cancer</t>
  </si>
  <si>
    <t>https://doi.org/10.1016/j.jtho.2019.02.008</t>
  </si>
  <si>
    <t>Introduction Immune checkpoint blockade (ICB) has revolutionized the treatment of NSCLC, but only approximately 15% of patients achieve durable benefit. Understanding mechanisms of resistance to ICB is pivotal in developing more effective treatment strategies. Recent studies showed that human leukocyte antigen (HLA) class I heterozygosity might be important in mediating benefit from ICB. We aimed to investigate the impact of HLA class I genotype on outcomes of patients with NSCLC treated with ICB. Methods We collected HLA typing, genomic, and clinical data from patients with advanced NSCLC treated with ICB at M. D. Anderson Cancer Center. We compared HLA class I–heterozygous and HLA class I–homozygous patients for progression-free survival (PFS) and overall survival (OS). HLA I supertype/alleles were also analyzed. To validate our findings, we also analyzed two previously published independent cohorts of patients with NSCLC (the CheckMate-012 and Chowell cohorts). Results No significant correlations were observed for HLA class I zygosity and PFS or OS in the M. D. Anderson Cancer Center (n = 200), CheckMate-012 (n = 75), or Chowell (n = 371) cohorts. No HLA class I supertype/allele was consistently shown to be correlated with PFS or OS. Predictors of worse outcome across the three cohorts included presence of targetable driver mutation, serine/threonine kinase 11 gene (STK11) mutation, negative programmed death ligand 1 expression, and low tumor mutational burden. Conclusions HLA class I genotype is not correlated with survival in advanced NSCLC treated with ICB. This suggests that the impact of HLA class I diversity may be disease specific and that tumor genomic and immune markers are more impactful in predicting benefit from ICB in NSCLC.</t>
  </si>
  <si>
    <t>Yang, Wei; Cao, Jianwei; Cheng, Hui; Chen, Liang; Yu, Meihua; Chen, Yu; Cui, Xingang</t>
  </si>
  <si>
    <t>Nanoformulations targeting immune cells for cancer therapy: mRNA therapeutics</t>
  </si>
  <si>
    <t>Bioactive Materials</t>
  </si>
  <si>
    <t>https://doi.org/10.1016/j.bioactmat.2022.11.014</t>
  </si>
  <si>
    <t>The approved worldwide use of two messenger RNA (mRNA) vaccines (BNT162b2 and mRNA-1273) in late 2020 has proven the remarkable success of mRNA therapeutics together with lipid nanoformulation technology in protecting people against coronaviruses during COVID-19 pandemic. This unprecedented and exciting dual strategy with nanoformulations and mRNA therapeutics in play is believed to be a promising paradigm in targeted cancer immunotherapy in future. Recent advances in nanoformulation technologies play a prominent role in adapting mRNA platform in cancer treatment. In this review, we introduce the biologic principles and advancements of mRNA technology, and chemistry fundamentals of intriguing mRNA delivery nanoformulations. We discuss the latest promising nano-mRNA therapeutics for enhanced cancer immunotherapy by modulation of targeted specific subtypes of immune cells, such as dendritic cells (DCs) at peripheral lymphoid organs for initiating mRNA cancer vaccine-mediated antigen specific immunotherapy, and DCs, natural killer (NK) cells, cytotoxic T cells, or multiple immunosuppressive immune cells at tumor microenvironment (TME) for reversing immune evasion. We highlight the clinical progress of advanced nano-mRNA therapeutics in targeted cancer therapy and provide our perspectives on future directions of this transformative integrated technology toward clinical implementation.</t>
  </si>
  <si>
    <t>The objective is to provide a broad overview of mRNA technology and lipid nanoformulation (LNP) chemistry, drawing parallels between COVID-19 vaccines and cancer immunotherapy</t>
  </si>
  <si>
    <t>Hanada, Ken-ichi; Zhao, Chihao; Gil-Hoyos, Raul; Gartner, Jared J.; Chow-Parmer, Christopher; Lowery, Frank J.; Krishna, Sri; Prickett, Todd D.; Kivitz, Scott; Parkhurst, Maria R.; Wong, Nathan; Rae, Zachary; Kelly, Michael C.; Goff, Stephanie L.; Robbins, Paul F.; Rosenberg, Steven A.; Yang, James C.</t>
  </si>
  <si>
    <t>A phenotypic signature that identifies neoantigen-reactive T cells in fresh human lung cancers</t>
  </si>
  <si>
    <t>https://doi.org/10.1016/j.ccell.2022.03.012</t>
  </si>
  <si>
    <t>Summary A common theme across multiple successful immunotherapies for cancer is the recognition of tumor-specific mutations (neoantigens) by T cells. The rapid discovery of such antigen responses could lead to improved therapies through the adoptive transfer of T cells engineered to express neoantigen-reactive T cell receptors (TCRs). Here, through CITE-seq (cellular indexing of transcriptomes and epitopes by sequencing) and TCR-seq of non-small cell lung cancer (NSCLC) tumor-infiltrating lymphocytes (TILs), we develop a neoantigen-reactive T cell signature based on clonotype frequency and CD39 protein and CXCL13 mRNA expression. Screening of TCRs selected by the signature allows us to identify neoantigen-reactive TCRs with a success rate of 45% for CD8+ and 66% for CD4+ T cells. Because of the small number of samples analyzed (4 patients), generalizability remains to be tested. However, this approach can enable the quick identification of neoantigen-reactive TCRs and expedite the engineering of personalized neoantigen-reactive T cells for therapy.</t>
  </si>
  <si>
    <t>Odunsi, K.</t>
  </si>
  <si>
    <t>Immunotherapy in ovarian cancer</t>
  </si>
  <si>
    <t>https://doi.org/10.1093/annonc/mdx444</t>
  </si>
  <si>
    <t>Immunological destruction of tumors is a multistep, coordinated process that can be modulated or targeted at several critical points to elicit tumor rejection. These steps in the cancer immunity cycle include: (i) generation of sufficient numbers of effector T cells with high avidity recognition of tumor antigens in vivo; (ii) trafficking and infiltration into the tumor; (iii) overcoming inhibitory networks in the tumor microenvironment; (iv) direct recognition of tumor antigens and generation of an effector anti-tumor response; and (v) persistence of the anti-tumor T cells. In an effort to understand whether the immune system plays a role in controlling ovarian cancer, our group and others demonstrated that the presence of tumor infiltrating lymphocytes (TILs) is associated with improved clinical outcome in ovarian cancer patients. Recently, we hypothesized that the quality of infiltrating T cells could also be a critical determinant of outcome in ovarian cancer patients. In the past decade, several immune-based interventions have gained regulatory approval in many solid tumors and hematologic malignancies. These interventions include immune checkpoint blockade, cancer vaccines, and adoptive cell therapy. There are currently no approved immune therapies for ovarian cancer. Immunotherapy in ovarian cancer will have to consider the immune suppressive networks within the ovarian tumor microenvironment; therefore, a major direction is to develop biomarkers that would predict responsiveness to different types of immunotherapies, and allow for treatment selection based on the results. Moreover, such biomarkers would allow rational combination of immunotherapies, while minimizing toxicities. In this review, the current understanding of the host immune response in ovarian cancer patients will be briefly reviewed, progress in immune therapies, and future directions for exploiting immune based strategies for long lasting durable cure.</t>
  </si>
  <si>
    <t>The study focuses exclusively on Ovarian Cancer.</t>
  </si>
  <si>
    <t>Xu, Jiachen; Yang, Zhenlin; Xie, Wenchuan; Wan, Rui; Li, Chengcheng; Fei, Kailun; Sun, Boyang; Yang, Xu; Chen, Ping; Meng, Fanqi; Wang, Guoqiang; Zhao, Jing; Han, Yusheng; Cai, Shangli; Wang, Jie; Wang, Zhijie</t>
  </si>
  <si>
    <t>A prognostic and immunotherapeutic predictive model based on the cell-originated characterization of tumor microenvironment in lung adenocarcinoma</t>
  </si>
  <si>
    <t>https://doi.org/10.1016/j.isci.2023.106616</t>
  </si>
  <si>
    <t>Summary Tumor microenvironment (TME) plays a crucial role in predicting prognosis and response to therapy in lung cancer. Our study established a prognostic and immunotherapeutic predictive model, the tumor immune cell score (TICS), by differentiating cell origins in lung adenocarcinoma (LUAD) based on the transcriptomic data of 2,510 patients in 14 independent cohorts, including 12 public datasets and two in-house cohorts. The high TICS was associated with prolonged overall survival (OS), especially in the early-stage LUAD. For the advanced-stage LUAD, high TICS predicted a superior OS in patients who were treated with immunotherapy instead of chemotherapy or TKI. The result suggested that TICS could serve as an indicator for the prognostic stratification management of patients in the early-stage LUAD, and as a potential guide for therapeutic decision-marking in the advanced-stage LUAD. Our findings provided an insight into prognosis stratification and potential guidance for treatment strategy selection.</t>
  </si>
  <si>
    <t>Karasaki, Takahiro; Nagayama, Kazuhiro; Kawashima, Mitsuaki; Hiyama, Noriko; Murayama, Tomonori; Kuwano, Hideki; Nitadori, Jun-ichi; Anraku, Masaki; Sato, Masaaki; Miyai, Manami; Hosoi, Akihiro; Matsushita, Hirokazu; Kikugawa, Shingo; Matoba, Ryo; Ohara, Osamu; Kakimi, Kazuhiro; Nakajima, Jun</t>
  </si>
  <si>
    <t>Identification of Individual Cancer-Specific Somatic Mutations for Neoantigen-Based Immunotherapy of Lung Cancer</t>
  </si>
  <si>
    <t>https://doi.org/10.1016/j.jtho.2015.11.006</t>
  </si>
  <si>
    <t>Introduction Two strategies for selecting neoantigens as targets for non–small cell lung cancer vaccines were compared: (1) an “off-the-shelf” approach starting with shared mutations extracted from global databases and (2) a personalized pipeline using whole-exome sequencing data on each patient’s tumor. Methods The Catalogue of Somatic Mutations in Cancer database was used to create a list of shared missense mutations occurring in more than 1% of patients. These mutations were then assessed for predicted binding affinity to HLA alleles of 15 lung cancer patients, and potential neoantigens (pNeoAgs) for each patient were selected on this basis. In the personalized approach, pNeoAgs were selected from missense mutations detected by whole-exome sequencing of the patient’s own samples. Results The list of shared mutations included 22 missense mutations for adenocarcinoma and 18 for squamous cell carcinoma (SCC), resulting in a median of 10 off-the-shelf pNeoAgs for each adenocarcinoma (range 5–13) and 9 (range 5–12) for each SCC. In contrast, a median of 59 missense mutations were identified by whole-exome sequencing (range 33–899) in adenocarcinoma and 164.5 (range 26–232) in SCC. This resulted in a median of 46 pNeoAgs (range 13–659) for adenocarcinoma and 95.5 (range 10–145) for SCC in the personalized set. We found that only one or two off-the-shelf pNeoAgs were included in the set of personalized pNeoAgs—and then in only three patients, with no overlap seen in the remaining 12 patients. Conclusions Use of an off-the-shelf pipeline is feasible but may not be satisfactory for most patients with non–small cell lung cancer. We recommend identifying personal mutations by comprehensive genome sequencing for developing neoantigen-targeted cancer immunotherapies.</t>
  </si>
  <si>
    <t>Palomero, J.; Galvao, V.; Creus, I.; Lostes, J.; Aylagas, M.; Marín-Bayo, A.; Rotxés, M.; Sanz, M.; Lozano-Rabella, M.; Garcia-Garijo, A.; Yuste-Estevanez, A.; Grases, D.; Díaz-Gómez, J.; González, J.; Navarro, J. F.; Gartner, J. J.; Braña, I.; Villalobos, X.; Bayó-Puxan, N.; Jiménez, J.; Palazón, A. N.; Muñoz, S.; Villacampa, G.; Piris-Giménez, A.; Barba, P.; Codinach, M.; Rodríguez, L.; Querol, S.; Muñoz-Couselo, E.; Tabernero, J.; Martín-Lluesma, S.; Gros, A.; Garralda, E.</t>
  </si>
  <si>
    <t>Preclinical data and design of a phase I clinical trial of neoantigen-reactive TILs for advanced epithelial or ICB-resistant solid cancers</t>
  </si>
  <si>
    <t>Immuno-Oncology and Technology</t>
  </si>
  <si>
    <t>https://doi.org/10.1016/j.iotech.2024.101030</t>
  </si>
  <si>
    <t>Background Adoptive cell therapy (ACT) of ex vivo expanded tumor-infiltrating lymphocytes (TILs) can mediate objective tumor regression in 28%-49% of metastatic melanoma patients. However, the efficacy of TIL therapy in most epithelial cancers remains limited. We present the design of a phase I clinical study that aims to assess the safety and efficacy of NEXTGEN-TIL, a TIL product selected based on ex vivo neoantigen recognition, in patients with advanced epithelial tumors and immune checkpoint blockade (ICB)-resistant solid tumors. Materials and methods Pre-rapid expansion protocol (REP) TIL cultures expanded in high-dose interleukin 2 (HD-IL-2) from patients with metastatic solid tumors were screened for recognition of autologous tumor cell lines (TCLs) and/or neoantigens. Six good manufacturing practice (GMP)-grade validations of pre-REP TIL expansion were carried out and TIL cultures from these six intermediate products were selected to carry out the clinical-scale GMP validation of the REP. Results TILs expanded in 82% of patient-derived tumor biopsies across different cancer types and these frequently contained tumor- and neoantigen-reactive T cells. During GMP validations, a variable number of TIL cultures expanded, constituting the intermediate products (pre-REP). Three finished products were manufactured using a REP which reached cell doses ranging from 4.3e9 to 1.1e11 and met the established specifications. The NEXTGEN-TIL clinical trial entails a first expansion of TILs from tumor fragments in HD-IL-2 followed by TIL screening for neoantigen recognition and REP of selected neoantigen-reactive TIL cultures. Treatment involves a classical non-myeloablative lymphodepleting chemotherapy followed by NEXTGEN-TIL product administration together with HD-IL-2. Conclusions NEXTGEN-TIL exploits ex vivo expanded neoantigen-reactive TIL to potentially improve efficacy in patients with epithelial and ICB-resistant tumors, with a safety profile like traditional TILs.</t>
  </si>
  <si>
    <t>Lin, Qianyi; Zhang, Ming; Kong, Ying; Huang, Ziyuan; Zou, Zhuoheng; Xiong, Zhuolong; Xie, Xiaolin; Cao, Zitong; Situ, Wanyi; Dong, Jiaxin; Li, Shufang; Zhu, Xiao; Huang, Yongmei</t>
  </si>
  <si>
    <t>Risk score = LncRNAs associated with doxorubicin metabolism can be used as molecular markers for immune microenvironment and immunotherapy in non-small cell lung cancer</t>
  </si>
  <si>
    <t>https://doi.org/10.1016/j.heliyon.2023.e13811</t>
  </si>
  <si>
    <t>Doxorubicin is the most effective anthracycline chemotherapy drug in the treatment of cancer, and it is an effective single agent in the treatment of non-small cell lung cancer (NSCLC). There is a lack of studies on the differentially expressed doxorubicin metabolism-related lncRNAs in NSCLC. In this study, we extracted related genes from the TCGA database and matched them with lncRNAs. Doxorubicin metabolism-related lncRNA-based gene signatures (DMLncSig) were gradually screened from univariate regression, LASSO regression, and multivariate regression analysis, and the risk score model was constructed. These DMLncSig were subjected to a GO/KEGG analysis. We then used the risk model to construct the TME model and analyze drug sensitivity. The IMvigor 210 immunotherapy model was cited for validation. Eventually, we performed tumor stemness index differences, survival, and clinical correlation analyses.</t>
  </si>
  <si>
    <t>Targets metabolic lncRNAs, not mutation-derived neoantigens.</t>
  </si>
  <si>
    <t>Ott, Patrick A.; Hu-Lieskovan, Siwen; Chmielowski, Bartosz; Govindan, Ramaswamy; Naing, Aung; Bhardwaj, Nina; Margolin, Kim; Awad, Mark M.; Hellmann, Matthew D.; Lin, Jessica J.; Friedlander, Terence; Bushway, Meghan E.; Balogh, Kristen N.; Sciuto, Tracey E.; Kohler, Victoria; Turnbull, Samantha J.; Besada, Rana; Curran, Riley R.; Trapp, Benjamin; Scherer, Julian; Poran, Asaf; Harjanto, Dewi; Barthelme, Dominik; Ting, Ying Sonia; Dong, Jesse Z.; Ware, Yvonne; Huang, Yuting; Huang, Zhengping; Wanamaker, Amy; Cleary, Lisa D.; Moles, Melissa A.; Manson, Kelledy; Greshock, Joel; Khondker, Zakaria S.; Fritsch, Ed; Rooney, Michael S.; DeMario, Mark; Gaynor, Richard B.; Srinivasan, Lakshmi</t>
  </si>
  <si>
    <t>A Phase Ib Trial of Personalized Neoantigen Therapy Plus Anti-PD-1 in Patients with Advanced Melanoma, Non-small Cell Lung Cancer, or Bladder Cancer</t>
  </si>
  <si>
    <t>https://doi.org/10.1016/j.cell.2020.08.053</t>
  </si>
  <si>
    <t>Summary Neoantigens arise from mutations in cancer cells and are important targets of T cell-mediated anti-tumor immunity. Here, we report the first open-label, phase Ib clinical trial of a personalized neoantigen-based vaccine, NEO-PV-01, in combination with PD-1 blockade in patients with advanced melanoma, non-small cell lung cancer, or bladder cancer. This analysis of 82 patients demonstrated that the regimen was safe, with no treatment-related serious adverse events observed. De novo neoantigen-specific CD4+ and CD8+ T cell responses were observed post-vaccination in all of the patients. The vaccine-induced T cells had a cytotoxic phenotype and were capable of trafficking to the tumor and mediating cell killing. In addition, epitope spread to neoantigens not included in the vaccine was detected post-vaccination. These data support the safety and immunogenicity of this regimen in patients with advanced solid tumors (Clinicaltrials.gov: NCT02897765).</t>
  </si>
  <si>
    <t>Zhang, Yuhan; Hu, Junyi; Ji, Kai; Jiang, Shengpeng; Dong, Yang; Sun, Lin; Wang, Jun; Hu, Guangyuan; Chen, Dawei; Chen, Ke; Tao, Zhen</t>
  </si>
  <si>
    <t>CD39 inhibition and VISTA blockade may overcome radiotherapy resistance by targeting exhausted CD8+ T cells and immunosuppressive myeloid cells</t>
  </si>
  <si>
    <t>https://doi.org/10.1016/j.xcrm.2023.101151</t>
  </si>
  <si>
    <t>Summary Although radiotherapy (RT) has achieved great success in the treatment of non-small cell lung cancer (NSCLC), local relapses still occur and abscopal effects are rarely seen even when it is combined with immune checkpoint blockers (ICBs). Here, we characterize the dynamic changes of tumor-infiltrating immune cells after RT in a therapy-resistant murine tumor model using single-cell transcriptomes and T cell receptor sequencing. At the early stage, the innate and adaptive immune systems are activated. At the late stage, however, the tumor immune microenvironment (TIME) shifts into immunosuppressive properties. Our study reveals that inhibition of CD39 combined with RT preferentially decreases the percentage of exhausted CD8+ T cells. Moreover, we find that the combination of V-domain immunoglobulin suppressor of T cell activation (VISTA) blockade and RT synergistically reduces immunosuppressive myeloid cells. Clinically, high VISTA expression is associated with poor prognosis in patients with NSCLC. Altogether, our data provide deep insight into acquired resistance to RT from an immune perspective and present rational combination strategies.</t>
  </si>
  <si>
    <t>The study investigates immune checkpoint molecules (CD39 and VISTA).</t>
  </si>
  <si>
    <t>Norton, Thomas D.; Tada, Takuya; Leibowitz, Rebecca; Heide, Verena van der; Homann, Dirk; Landau, Nathaniel R.</t>
  </si>
  <si>
    <t>Lentiviral-Vector-Based Dendritic Cell Vaccine Synergizes with Checkpoint Blockade to Clear Chronic Viral Infection</t>
  </si>
  <si>
    <t>https://doi.org/10.1016/j.ymthe.2020.05.018</t>
  </si>
  <si>
    <t>Dendritic cell vaccines are a promising strategy for the treatment of cancer and infectious diseases but have met with mixed success. We report on a lentiviral vector-based dendritic cell vaccine strategy that generates a cluster of differentiation 8 (CD8) T cell response that is much stronger than that achieved by standard peptide-pulsing approaches. The strategy was tested in the mouse lymphocytic choriomeningitis virus (LCMV) model. Bone marrow-derived dendritic cells from SAMHD1 knockout mice were transduced with a lentiviral vector expressing the GP33 major-histocompatibility-complex (MHC)-class-I-restricted peptide epitope and CD40 ligand (CD40L) and injected into wild-type mice. The mice were highly protected against acute and chronic variant CL-13 LCMVs, resulting in a 100-fold greater decrease than that achieved with peptide epitope-pulsed dendritic cells. Inclusion of an MHC-class-II-restricted epitope in the lentiviral vector further increased the CD8 T cell response and resulted in antigen-specific CD8 T cells that exhibited a phenotype associated with functional cytotoxic T cells. The vaccination synergized with checkpoint blockade to reduce the viral load of mice chronically infected with CL-13 to an undetectable level. The strategy improves upon current dendritic cell vaccine strategies; is applicable to the treatment of disease, including AIDS and cancer; and supports the utility of Vpx-containing vectors.</t>
  </si>
  <si>
    <t>The primary objective is the technical optimization of a lentiviral vector-based Dendritic Cell (DC) vaccine for infectious diseases (specifically LCMV/AIDS models).</t>
  </si>
  <si>
    <t>Cui, Can; Wang, Jiawei; Fagerberg, Eric; Chen, Ping-Min; Connolly, Kelli A.; Damo, Martina; Cheung, Julie F.; Mao, Tianyang; Askari, Adnan S.; Chen, Shuting; Fitzgerald, Brittany; Foster, Gena G.; Eisenbarth, Stephanie C.; Zhao, Hongyu; Craft, Joseph; Joshi, Nikhil S.</t>
  </si>
  <si>
    <t>Neoantigen-driven B cell and CD4 T follicular helper cell collaboration promotes anti-tumor CD8 T cell responses</t>
  </si>
  <si>
    <t>https://doi.org/10.1016/j.cell.2021.11.007</t>
  </si>
  <si>
    <t>Summary CD4 T follicular helper (TFH) cells support B cells, which are critical for germinal center (GC) formation, but the importance of TFH-B cell interactions in cancer is unclear. We found enrichment of TFH cell transcriptional signature correlates with GC B cell signature and with prolonged survival in individuals with lung adenocarcinoma (LUAD). We further developed a murine LUAD model in which tumor cells express B cell- and T cell-recognized neoantigens. Interactions between tumor-specific TFH and GC B cells, as well as interleukin (IL)-21 primarily produced by TFH cells, are necessary for tumor control and effector CD8 T cell function. Development of TFH cells requires B cells and B cell-recognized neoantigens. Thus, tumor neoantigens can regulate the fate of tumor-specific CD4 T cells by facilitating their interactions with tumor-specific B cells, which in turn promote anti-tumor immunity by enhancing CD8 T cell effector functions.</t>
  </si>
  <si>
    <t>Laheurte, Caroline; Boullerot, Laura; Ndao, Babacar; Malfroy, Marine; Queiroz, Lise; Guillaume, Phillippe; Loyon, Romain; Seffar, Evan; Gravelin, Eleonore; Renaudin, Adeline; Jacquin, Marion; Meurisse, Aurélia; Vernerey, Dewi; Ghiringhelli, François; Godet, Yann; Genolet, Raphael; Jandus, Camilla; Borg, Christophe; Adotévi, Olivier</t>
  </si>
  <si>
    <t>UCPVax, a CD4 helper peptide vaccine, induces polyfunctional Th1 cells, antibody response, and epitope spreading to improve antitumor immunity</t>
  </si>
  <si>
    <t>https://doi.org/10.1016/j.xcrm.2025.102196</t>
  </si>
  <si>
    <t>Summary The induction of an antitumor CD4+ T helper response is essential for the efficacy of therapeutic cancer vaccines. However, few vaccines are specifically designed to target CD4+ T cells in human cancers. Here, we characterize the immune mechanisms of UCPVax, a helper peptide vaccine derived from telomerase. Ex vivo immune profiling of peripheral blood from 60 patients with advanced lung cancer reveals that UCPVax selectively activates CD4+ T cells in vivo across a broad HLA-DR restriction. The vaccine elicits a synergistic immune triad, including cytokine polyfunctional CD4+ Th1 cells, epitope spreading, and antibody response, contributing to effective tumor control. Single-cell analysis further demonstrates that UCPVax drives CD4+ T cells toward effector memory and cytolytic differentiation. Thus, vaccine-induced CD4+ T cells trigger broad and durable antitumor immunity. These findings highlight UCPVax as an off-the-shelf helper platform to enhance therapeutic cancer vaccine efficacy. This study was registered at ClinicalTrials.gov: NCT02818426.</t>
  </si>
  <si>
    <t>Elliott, Andrew; Zhang, Jian; Zhang, Qing; Swensen, Jeffrey; Martin, Daniel; Xiu, Joanne; Geynisman, Daniel M.; Vaena, Daniel; Herzog, Thomas J.; Holloway, Robert W.; El-Deiry, Wafik S.; Spetzler, David; Heath, Elisabeth; Stafford, Phillip; Korn, W. Michael</t>
  </si>
  <si>
    <t>Predicted Immunogenicity of CDK12 Biallelic Loss-of-Function Tumors Varies across Cancer Types</t>
  </si>
  <si>
    <t>https://doi.org/10.1016/j.jmoldx.2021.08.010</t>
  </si>
  <si>
    <t>CDK12 biallelic inactivation is associated with a distinct genomic signature of focal tandem duplications (FTDs). Gene fusions resulting from FTDs increase neoantigen load, raising interest in CDK12 as a biomarker of response to immune checkpoint inhibitors. Despite evidence of FTDs in multiple CDK12-altered cancer types, notably prostate and ovarian, report of fusion-associated neoantigen load is limited to prostate cancer. Molecular profiles were retrospectively reviewed for CDK12-biallelic (CDK12-biLOF) and -monoallelic loss-of-function (CDK12-monoLOF) in a primary cohort of &gt;9000 tumors, representing 39 cancer types, and immune epitopes were predicted from fusions detected by whole transcriptome sequencing. CDK12-biLOF was identified for 0.3% tumors overall, most frequently in prostate cancer (4.7%). CDK12-biLOF tumors had higher mean fusion rates and fusion-associated neoantigen load than CDK12-monoLOF and CDK12-WT tumors (P &lt; 0.01). However, concurrent mismatch repair deficiency/microsatellite instability with CDK12-biLOF associated with low fusion rates. Among CDK12-biLOF tumors, fusion-associated neoantigen load was highest in prostate and ovarian cancers, which correlated with distinct immune profiles. In a validation cohort, CDK12-biLOF tumors (0.4%) exhibited high mean fusion rates, particularly for prostate and ovarian tumors. Low fusion rates in other CDK12-biLOF tumor types warrant further investigation and highlight the value of quantitative biomarkers. Fusion rate and fusion-associated neoantigen load are linked to CDK12-biLOF in select cancers and may help to identify responders of immune checkpoint inhibitor therapy.</t>
  </si>
  <si>
    <t>Fritah, Hajer; Graciotti, Michele; Chiang, Cheryl Lai-Lai; Bergenat, Anne-Laure Huguenin-; Petremand, Rémy; Ahmed, Ritaparna; Guillaume, Philippe; Schmidt, Julien; Stevenson, Brian J.; Gfeller, David; Harari, Alexandre; Kandalaft, Lana E.</t>
  </si>
  <si>
    <t>Cancer vaccines based on whole-tumor lysate or neoepitopes with validated HLA binding outperform those with predicted HLA-binding affinity</t>
  </si>
  <si>
    <t>https://doi.org/10.1016/j.isci.2023.106288</t>
  </si>
  <si>
    <t>Summary Antigen selection and prioritization represent crucial determinants of vaccines’ efficacy. Here, we compare two personalized dendritic cell-based vaccination strategies using whole-tumor lysate or neoantigens. Data in mouse and in cancer patients demonstrate that peptide vaccines using neoantigens predicted on the sole basis of in silico peptide-major histocompatibility complex (MHC) binding affinity underperform relative to whole-tumor-lysate vaccines. In contrast, effective in vitro peptide-MHC binding affinity and peptide immunogenicity significantly improve the prioritization of tumor-rejecting neoepitopes and result in more efficacious vaccines.</t>
  </si>
  <si>
    <t>Yang, Lu; Zhang, Jing; Song, Yane; Yang, Guangjian; Xu, Haiyan; Li, Junling; Guo, Lei; Li, Xin; Shi, Xinying; Mao, Beibei; Yang, Ying; Wu, Lijia; Wei, Jiyu; Zhang, Henghui; Ying, Jianming; Wang, Yan</t>
  </si>
  <si>
    <t>Genomic profile and immune microenvironment in patients with relapsed stage IA lung adenocarcinoma</t>
  </si>
  <si>
    <t>https://doi.org/10.1016/j.tranon.2020.100942</t>
  </si>
  <si>
    <t>Patients with early-stage non-small cell lung cancer (NSCLC), even stage IA, are at substantial risk of relapse and death. We explored the distinct features of molecular alterations and immune-related gene expression in Formalin-fixed paraffin-embedded (FFPE) samples from 25 relapsed patients compared with 25 non-relapsed patients through using whole-exome sequencing and an immune oncology panel RNA sequencing platform. Results showed that the chemokine, cytolytic activity and tumour-associated antigen gene signatures exhibited significantly higher expression in non-relapsed tumours from stage IA lung adenocarcinoma (LUAD) than that in relapsed tumours. Besides, Kaplan–Meier survival analysis revealed that the gene signatures of chemokines and tumour-associated antigens were significantly associated with the patients’ disease-free survival (DFS), indicating their prognostic value in early-stage LUAD. Cytolytic activity displayed a similar trend but failed to reach statistical significance. These findings revealed a weakened immune phenotype in relapsed tumours and provide valuable information for improving the treatment management of these high-risk patients. Due to the overall small patient number in this study, these differences should be further validated in a larger cohort.</t>
  </si>
  <si>
    <t>The study investigates Tumour-Associated Antigens (TAAs) and Cancer-Testis Antigens (CTAs) (e.g., MAGE family) alongside chemokine signatures.</t>
  </si>
  <si>
    <t>Zhang, Wei-Na; Li, Xue-Ping; Wang, Peng-Fei; Zhu, Lu; Xiao, Xin-Hua; Dai, Yu-Jun</t>
  </si>
  <si>
    <t>Comprehensive analysis of the novel omicron receptor AXL in cancers</t>
  </si>
  <si>
    <t>Computational and Structural Biotechnology Journal</t>
  </si>
  <si>
    <t>https://doi.org/10.1016/j.csbj.2022.06.051</t>
  </si>
  <si>
    <t>The SARS-CoV-2 is constantly mutating, and the new coronavirus such as Omicron has spread to many countries around the world. Anexelekto (AXL) is a transmembrane protein with biological functions such as promoting cell growth, migration, aggregation, metastasis and adhesion, and plays an important role in cancers and coronavirus disease 2019 (COVID-19). Unlike angiotensin-converting enzyme 2 (ACE2), AXL was highly expressed in respiratory system cells. In this study, we verified the AXL expression in cancer and normal tissues and found AXL expression was strongly correlated with cancer prognosis, tumor mutation burden (TMB), the microsatellite instability (MSI) in most tumor types. Immune infiltration analysis also demonstrated that there was an inextricable link between AXL expression and immune scores in cancer patients, especially in BLCA, BRCA and CESC. The NK-cells, plasmacytoid dendritic cells, myeloid dendritic cells, as one of the important components of the tumor microenvironment, were highly expressed AXL. In addition, AXL-related tumor neoantigens were identified and might provide the novel potential targets for tumor vaccines or SARS-Cov-2 vaccines research in cancer patients.</t>
  </si>
  <si>
    <t>Focuses on AXL as a SARS-CoV-2 receptor and prognostic marker.</t>
  </si>
  <si>
    <t>Predina, Jarrod D.; Haas, Andrew R.; Martinez, Marina; O’Brien, Shaun; Moon, Edmund K.; Woodruff, Patrick; Stadanlick, Jason; Corbett, Christopher; Frenzel-Sulyok, Lydia; Bryski, Mitchell G.; Eruslanov, Evgeniy; Deshpande, Charuhas; Langer, Corey; Aguilar, Laura K.; Guzik, Brian W.; Manzanera, Andrea G.; Aguilar-Cordova, Estuardo; Singhal, Sunil; Albelda, Steven M.</t>
  </si>
  <si>
    <t>Neoadjuvant Gene-Mediated Cytotoxic Immunotherapy for Non-Small-Cell Lung Cancer: Safety and Immunologic Activity</t>
  </si>
  <si>
    <t>https://doi.org/10.1016/j.ymthe.2020.11.001</t>
  </si>
  <si>
    <t>Gene-mediated cytotoxic immunotherapy (GMCI) is an immuno-oncology approach involving local delivery of a replication-deficient adenovirus expressing herpes simplex thymidine kinase (AdV-tk) followed by anti-herpetic prodrug activation that promotes immunogenic tumor cell death, antigen-presenting cell activation, and T cell stimulation. This phase I dose-escalation pilot trial assessed bronchoscopic delivery of AdV-tk in patients with suspected lung cancer who were candidates for surgery. A single intra-tumoral AdV-tk injection in three dose cohorts (maximum 1012 viral particles) was performed during diagnostic staging, followed by a 14-day course of the prodrug valacyclovir, and subsequent surgery 1 week later. Twelve patients participated after appropriate informed consent. Vector-related adverse events were minimal. Immune biomarkers were evaluated in tumor and blood before and after GMCI. Significantly increased infiltration of CD8+ T cells was found in resected tumors. Expression of activation, inhibitory, and proliferation markers, such as human leukocyte antigen (HLA)-DR, CD38, Ki67, PD-1, CD39, and CTLA-4, were significantly increased in both the tumor and peripheral CD8+ T cells. Thus, intratumoral AdV-tk injection into non-small-cell lung cancer (NSCLC) proved safe and feasible, and it effectively induced CD8+ T cell activation. These data provide a foundation for additional clinical trials of GMCI for lung cancer patients with potential benefit if combined with other immune therapies.</t>
  </si>
  <si>
    <t>The study evaluates GMCI using AdV-tk (Adenovirus expressing Herpes Simplex Thymidine Kinase</t>
  </si>
  <si>
    <t>Nonomura, Chizu; Otsuka, Masaki; Kondou, Ryota; Iizuka, Akira; Miyata, Haruo; Ashizawa, Tadashi; Sakura, Naoki; Yoshikawa, Shusuke; Kiyohara, Yoshio; Ohshima, Keiichi; Urakami, Kenichi; Nagashima, Takeshi; Ohnami, Sumiko; Kusuhara, Masatoshi; Mitsuya, Koichi; Hayashi, Nakamasa; Nakasu, Yoko; Mochizuki, Tohru; Yamaguchi, Ken; Akiyama, Yasuto</t>
  </si>
  <si>
    <t>Identification of a neoantigen epitope in a melanoma patient with good response to anti-PD-1 antibody therapy</t>
  </si>
  <si>
    <t>Immunology Letters</t>
  </si>
  <si>
    <t>https://doi.org/10.1016/j.imlet.2019.02.004</t>
  </si>
  <si>
    <t>Recent advances in next-generation sequencing have enabled rapid and efficient evaluation of the mutational landscape of cancers. As a result, many cancer-specific neoantigens, which can generate antitumor cytotoxic T-cells inside tumors, have been identified. Previously, we reported a metastatic melanoma case with high tumor mutation burden, who obtained complete remission after anti-PD-1 therapy and surgical resection. The rib metastatic lesion, which was used for whole-exome sequencing and gene expression profiling in the HOPE project, showed upregulated expression of PD-L1 mRNA and a high single-nucleotide variants number of 2712. In the current study, we focused on a metastatic melanoma case and candidate epitopes among nonsynonymous mutant neoantigens of 1348 variants were investigated using a peptide-HLA binding algorithm, in vitro cytotoxic T-cell induction assay and HLA tetramer staining. Specifically, from mutant neoantigen data, a total of 21,066 9-mer mutant epitope candidates including a mutated amino acid anywhere in the sequence were applied to the NetMHC binding prediction algorithm. From in silico data, we identified the top 26 mutant epitopes with strong-binding capacity. A cytotoxic T-cell induction assay using 5 cancer patient-derived PBMCs revealed that the mutant ARMT1 peptide sequence (FYGKTILWF) with HLA-A*2402 restriction was an efficient neoantigen, which was detected at a frequency of approximately 0.04% in the HLA-A24 tetramer stain. The present success in identifying a novel mutant antigen epitope might be applied to clinical neoantigen screening in the context of an NGS-equipped medical facility for the development of the next-generation neoantigen cancer vaccines.</t>
  </si>
  <si>
    <t>The study focuses exclusively on a case of Metastatic Melanoma (HOPE project).</t>
  </si>
  <si>
    <t>Ketelaars, S. L. C.; Buuren, M. M. van; Gangaev, A.; Rooij, N. van; Patiwael, S.; Hoefakker, K.; Fanchi, L. F.; Baas, P.; Heijden, M. van der; Kok, M.; Schumacher, T. N.; Kvistborg, P.; Haanen, J. B. A. G.</t>
  </si>
  <si>
    <t>Properties of CD8 T-cell-recognized neoantigens in different tumor types</t>
  </si>
  <si>
    <t>https://doi.org/10.1016/j.iotech.2025.101062</t>
  </si>
  <si>
    <t>Background Neoantigen-based immunotherapies rely on computational tools predicting peptide immunogenicity based on properties such as its expression level, binding affinity to human leukocyte antigen (HLA), likelihood of proteasomal cleavage and dissimilarity from wild-type peptide. However, current datasets are scarce and limited to highly mutated tumor types such as melanoma and lung cancer, leaving uncertainty about the value of these properties in other tumor types. Materials and methods To investigate this, we retrospectively analyzed the properties of immunogenic neoantigens identified in CD8 T-cell recognition screens of predicted neoantigens in tumor-infiltrating lymphocytes (TILs) from 12 melanoma patients and peripheral blood mononuclear cells (PBMCs) from 14 patients with mesothelioma, triple-negative breast cancer or urothelial cancer. In both experimental settings, CD8 T-cell recognition was assessed using a combinatorial peptide-HLA (pHLA) multimer-based technology. Results CD8 T-cell responses were detected against in total 34 of the 8103 predicted neoantigens (0.4%). In both PBMCs and TILs, the eluted ligand (EL) score—the predicted likelihood of a pHLA being presented on the cell surface—was the strongest predictor of immunogenicity, followed by predicted HLA binding affinity. Moreover, in the TILs, the frequency of neoantigen-specific CD8 T cells was strongly correlated with these properties across the 12 patients. Conclusions These findings underscore the value of both EL score and HLA binding affinity as key predictors of neoantigen immunogenicity in different tumor types. Furthermore, we demonstrate for the first time an immunodominance hierarchy of neoantigen-specific CD8 T-cell responses across patients in ex vivo expanded TIL cultures.</t>
  </si>
  <si>
    <t>Primary cohorts are Melanoma, Mesothelioma, and Breast/Urothelial; no NSCLC data.</t>
  </si>
  <si>
    <t>Wang, Li; Guo, Dongbin; Shan, Yifei; Sun, Luanbiao; Wang, Rong; Wang, Bingmei; Guan, Jiyu; Liu, Quan; Li, Runze; Zhu, Changfeng; Zhao, Yicheng</t>
  </si>
  <si>
    <t>Nanoengineered polymeric RNA nanoflowers for dual-pathway modulation and effective therapy for non-small cell lung cancer</t>
  </si>
  <si>
    <t>Chemical Engineering Journal</t>
  </si>
  <si>
    <t>https://doi.org/10.1016/j.cej.2025.169906</t>
  </si>
  <si>
    <t>Non-small cell lung cancer (NSCLC) remains the leading cause of cancer-related mortality globally, with advanced stages posing a significant therapeutic challenge. In this study, we present a novel self-assembled RNA-based nanosystem that leverages rolling circle transcription (RCT) for concurrent inhibition of the long noncoding RNAs (lncRNAs) DB327252 and microRNA-21 (miR-21), two key regulators implicated in NSCLC pathogenesis. This system integrates RCT-derived siRNAs targeting DB327252 with circularized miR-21 decoys and self-assembles into cholesterol-decorated nanoparticles via hybridization of Chol-DNA anchor strands, thereby enhancing condensation, stability, and cellular uptake. The resulting nanoparticles exhibit superior bioavailability, stability, and effective intracellular delivery, facilitating the implementation of dual-pathway regulatory therapeutic strategies. Functional analyses demonstrated that the system significantly inhibited NSCLC cell proliferation, migration, and colony formation while promoting apoptosis. Mechanistically, simultaneous silencing of the lncRNA DB327252 and sequestration of miR-21 restored the expression of key tumor suppressors, including PTEN and PDCD4, at both the transcriptional and translational levels. In 3D NAC-Organ models composed of A549 cells and PBMCs, RNP-Chol treatment induced marked CD45+ immune cell infiltration, confirming its indirect immune-activating capacity. Furthermore, in vivo xenograft models validated the robust antitumor efficacy and high specificity of this nanosystem. Collectively, this RCT-enabled RNA platform provides a versatile and scalable approach for dual-pathway RNA therapeutics, with promising implications for precision medicine in NSCLC.</t>
  </si>
  <si>
    <t>targets wild-type non-coding RNAs (lncRNA/miRNA), not neoantigens.</t>
  </si>
  <si>
    <t>Jin, Chengyan; Zhang, Yan; Li, Baofeng; Gao, Tianci; Wang, Bin; Hua, Peiyan</t>
  </si>
  <si>
    <t>Robust anti-tumor immunity through the integration of targeted lipid nanoparticle-based mRNA nanovaccines with PD-1/PD-L1 blockade</t>
  </si>
  <si>
    <t>https://doi.org/10.1016/j.mtbio.2024.101136</t>
  </si>
  <si>
    <t>Tumor mRNA vaccines present a personalized approach in cancer immunotherapy, encoding distinct tumor antigens to evoke robust immune responses and offering the potential against emerging tumor variants. Despite this, the clinical advancement of tumor mRNA vaccines has been hampered by their limited delivery capacity and inefficient activation of antigen-presenting cells (APCs). Herein, we employed microfluidics technology to engineer mannose-modified lipid-based nanovaccines for specifically targeting APCs. The encapsulation process efficiently entrapped the cyclic guanosine monophosphate-adenosine monophosphate (cGAMP) agonist along with mRNA encoding antigens. The targeted nanovaccines (TNVs) exhibited a narrow particle size distribution, ensuring consistent and efficient delivery. These TNVs significantly enhanced gene expression of mRNA, facilitating antigen presentation and immune activation. When compared to non-targeted nanovaccines, TNVs outperformed in terms of antigen presentation and immune activation. Furthermore, the combination of anti-PD-L1 antibodies with TNVs elicited a synergistic anti-tumor effect. This was attributed to the anti-PD-L1 antibodies' ability to overcome the immune suppression of tumor cells. Our findings suggest that the combination treatment elicited the most robust anti-tumor immune activation and immune memory effect. These results indicate that integrating tumor mRNA vaccines with immune checkpoint inhibitors or other immunostimulatory agents may be crucial for enhancing the immune response.</t>
  </si>
  <si>
    <t>Uses model/viral antigens (OVA/Luc), not mutation-derived neoantigens.</t>
  </si>
  <si>
    <t>Shao, X. M.; Huang, J.; Niknafs, N.; Balan, A.; Cherry, C.; White, J.; Velculescu, V. E.; Anagnostou, V.; Karchin, R.</t>
  </si>
  <si>
    <t>HLA class II immunogenic mutation burden predicts response to immune checkpoint blockade</t>
  </si>
  <si>
    <t>https://doi.org/10.1016/j.annonc.2022.03.013</t>
  </si>
  <si>
    <t>Background Whereas human leukocyte antigen (HLA) class I mutation-associated neoantigen burden has been linked with response to immune checkpoint blockade (ICB), the role of HLA class II-restricted neoantigens in clinical responses to ICB is less studied. We used computational approaches to assess HLA class II immunogenic mutation (IMM) burden in patients with melanoma and lung cancer treated with ICB. Patients and methods We analyzed whole-exome sequence data from four cohorts of ICB-treated patients with melanoma (n = 110) and non-small-cell lung cancer (NSCLC) (n = 123). MHCnuggets, a neural network-based model, was applied to estimate HLA class II IMM burdens and cellular fractions of IMMs were calculated to assess mutation clonality. We evaluated the combined impact of HLA class II germline genetic variation and class II IMM burden on clinical outcomes. Correlations between HLA class II IMM burden and density of tumor-infiltrating lymphocytes were computed from expression data. Results Responding tumors harbored a significantly higher HLA class II IMM burden for both melanoma and NSCLC (P ≤ 9.6e−3). HLA class II IMM burden was correlated with longer survival, particularly in the NSCLC cohort and in the context of low intratumoral IMM heterogeneity (P &lt; 0.001). HLA class I and II IMM landscapes were largely distinct suggesting a complementary role for class II IMMs in tumor rejection. A higher HLA class II IMM burden was associated with CD4+ T-cell infiltration and programmed death-ligand 1 expression. Transcriptomic analyses revealed an inflamed tumor microenvironment for tumors harboring a high HLA class II IMM burden. Conclusions HLA class II IMM burden identified patients with NSCLC and melanoma that attained longer survival after ICB treatment. Our findings suggest that HLA class II IMMs may impact responses to ICB in a manner that is distinct and complementary to HLA class I-mediated responses.</t>
  </si>
  <si>
    <t>Pulliam, Thomas; Jani, Saumya; Jing, Lichen; Ryu, Heeju; Jojic, Ana; Shasha, Carolyn; Zhang, Jiajia; Kulikauskas, Rima; Church, Candice; Garnett-Benson, Charlie; Gooley, Ted; Chapuis, Aude; Paulson, Kelly; Smith, Kellie N.; Pardoll, Drew M.; Newell, Evan W.; Koelle, David M.; Topalian, Suzanne L.; Nghiem, Paul</t>
  </si>
  <si>
    <t>Circulating cancer-specific CD8 T cell frequency is associated with response to PD-1 blockade in Merkel cell carcinoma</t>
  </si>
  <si>
    <t>https://doi.org/10.1016/j.xcrm.2024.101412</t>
  </si>
  <si>
    <t>Summary Understanding cancer immunobiology has been hampered by difficulty identifying cancer-specific T cells. Merkel cell polyomavirus (MCPyV) causes most Merkel cell carcinomas (MCCs). All patients with virus-driven MCC express MCPyV oncoproteins, facilitating identification of virus (cancer)-specific T cells. We studied MCPyV-specific T cells from 27 patients with MCC using MCPyV peptide-HLA-I multimers, 26-color flow cytometry, single-cell transcriptomics, and T cell receptor (TCR) sequencing. In a prospective clinical trial, higher circulating MCPyV-specific CD8 T cell frequency before anti-PD-1 treatment was strongly associated with 2-year recurrence-free survival (75% if detectable, 0% if undetectable, p = 0.0018; ClinicalTrial.gov: NCT02488759). Intratumorally, such T cells were typically present, but their frequency did not significantly associate with response. Circulating MCPyV-specific CD8 T cells had increased stem/memory and decreased exhaustion signatures relative to their intratumoral counterparts. These results suggest that cancer-specific CD8 T cells in the blood may play a role in anti-PD-1 responses. Thus, strategies that augment their number or mobilize them into tumors could improve outcomes.</t>
  </si>
  <si>
    <t>The study focuses exclusively on Merkel Cell Carcinoma (MCC), a rare neuroendocrine skin cancer</t>
  </si>
  <si>
    <t>Ryu, Heeju; Bi, Timothy M.; Pulliam, Thomas H.; Sarkar, Korok; Church, Candice D.; Kumar, Nandita; Mayer-Blackwell, Koshlan; Jani, Saumya; Ramchurren, Nirasha; Hansen, Ulla K.; Hadrup, Sine R.; Fling, Steven P.; Koelle, David M.; Nghiem, Paul; Newell, Evan W.</t>
  </si>
  <si>
    <t>Merkel cell polyomavirus-specific and CD39+CLA+ CD8 T cells as blood-based predictive biomarkers for PD-1 blockade in Merkel cell carcinoma</t>
  </si>
  <si>
    <t>https://doi.org/10.1016/j.xcrm.2023.101390</t>
  </si>
  <si>
    <t>Summary Merkel cell carcinoma is a skin cancer often driven by Merkel cell polyomavirus (MCPyV) with high rates of response to anti-PD-1 therapy despite low mutational burden. MCPyV-specific CD8 T cells are implicated in anti-PD-1-associated immune responses and provide a means to directly study tumor-specific T cell responses to treatment. Using mass cytometry and combinatorial tetramer staining, we find that baseline frequencies of blood MCPyV-specific cells correlated with response and survival. Frequencies of these cells decrease markedly during response to therapy. Phenotypes of MCPyV-specific CD8 T cells have distinct expression patterns of CD39, cutaneous lymphocyte-associated antigen (CLA), and CD103. Correspondingly, overall bulk CD39+CLA+ CD8 T cell frequencies in blood correlate with MCPyV-specific cell frequencies and similarly predicted favorable clinical outcomes. Conversely, frequencies of CD39+CD103+ CD8 T cells are associated with tumor burden and worse outcomes. These cell subsets can be useful as biomarkers and to isolate blood-derived tumor-specific T cells.</t>
  </si>
  <si>
    <t>Dutta, Debasmita; Liu, Jiye; Wen, Kenneth; Ray, Arghya; Salatino, Alessandro; Liu, Xiangdong; Gulla, Annamaria; Hideshima, Teru; Song, Yan; Anderson, Kenneth C.</t>
  </si>
  <si>
    <t>A BCMA-mRNA vaccine is a promising therapeutic for multiple myeloma</t>
  </si>
  <si>
    <t>Blood</t>
  </si>
  <si>
    <t>https://doi.org/10.1182/blood.2025028597</t>
  </si>
  <si>
    <t>Abstract Cancer vaccines are emerging as promising therapies to not only prevent cancer but to treat cancer. Here, we developed a therapeutic vaccine for multiple myeloma (MM) using B-cell maturation antigen (BCMA) protein as a target. Given the remarkable efficacy of COVID-19 messenger RNA (mRNA) vaccines, we first packaged sequence- and base-optimized BCMA mRNA into lipid nanoparticles (LNPs) using next-generation ionizable lipid, enhancing their accumulation in the spleen. A toll-like receptor 3 agonist, polyinosinic:polycytidylic acid [poly(I:C)], was also encapsulated in LNPs to further elicit BCMA-specific immune response. BCMA-mRNA LNPs were internalized by dendritic cells (DCs) in vitro, triggering proliferation and activation of BCMA-specific CD8+ cytolytic T cells (CTLs). Importantly, these CTLs lysed BCMA+ U266 MM cells and CD138+ patient MM cells, without affecting BCMA-knockout U266 or CD138− patient–derived bone marrow cells. Vaccination of C57BL/6J mice with BCMA-mRNA LNPs activated splenic DCs and induced BCMA-specific CTLs, assessed by tetramer staining, which selectively killed murine 5TGM1 BCMA overexpressing MM cells. Finally, vaccination of C57BL/KaLwRijHsd mice bearing BCMA-overexpressing 5TGM1 cells inhibited tumor growth associated with BCMA-specific CD8+ T-cell responses. The combination treatment with poly(I:C) further triggered the immune response induced by BCMA-mRNA LNPs in all instances. Our findings provide the framework for clinical evaluation of BCMA-mRNA LNP vaccines to improve patient outcome in MM.</t>
  </si>
  <si>
    <t>The study focuses exclusively on Multiple Myeloma (MM) using cell lines (U266), patient-derived CD138+ bone marrow cells, and murine MM models (5TGM1</t>
  </si>
  <si>
    <t>Han, Ruoshuang; Guo, Haoyue; Shi, Jinpeng; Wang, Haowei; Zhao, Sha; Jia, Yijun; Liu, Xiaozhen; Li, Jiayu; Cheng, Lei; Zhao, Chao; Li, Xuefei; Zhou, Caicun</t>
  </si>
  <si>
    <t>Tumour microenvironment changes after osimertinib treatment resistance in non-small cell lung cancer</t>
  </si>
  <si>
    <t>https://doi.org/10.1016/j.ejca.2023.05.007</t>
  </si>
  <si>
    <t>Background Growing evidence suggests that acquired resistance to targeted therapy in non-small cell lung cancer patients is linked to the mutual domestication between the tumour and its surrounding microenvironment. Aim Our study aims to explore the remodelling of tumour microenvironment after osimertinib treatment resistance. Methods We took RNA-seq-based tumour immune infiltration analysis using the TIMER 2.0. We carried out flow cytometry assay and real-time cell analysis to explore the interaction between tumour cells and immune cells. In addition, we analysed exosomes via miRNA-seq and label-free proteomics. Results Immune infiltration estimation showed a significant decrease in the immune score (P &lt; 0.001), microenvironment score (P &lt; 0.001) and CD8+ T cells (P &lt; 0.05), but an increase in M0 macrophages (P &lt; 0.01) at osimertinib resistance compared to pre-treatment patients. It was demonstrated that exosomes from H1975OR cells could be taken up by macrophages and drove their polarisation towards the M2 phenotype, and the polarised M2 macrophages could reduce the inhibitory effect on tumour cell proliferation. Pre-activated peripheral blood mononuclear cells exhibited a more potent killing effect on H1975OR cells. We also detected a decrease in CD4+HLA-DR- T cells and an increase in CD4+PD1+ T cells after being co-cultured with H1975OR derived exosomes or conditioned medium. Further miRNA-seq and proteomics analysis of exosomes demonstrated that mir-1258–3p and miR-17–5p might participate in this interaction. Conclusions An immunosuppressive environment, characterised by decreased T cell infiltration and activation, whereas increased macrophage infiltration and M2 polarisation, was identified at osimertinib resistance. This interaction may be carried out by tumour-derived exosomes.</t>
  </si>
  <si>
    <t>The objective is the characterization of TME remodeling during acquired resistance to Osimertinib (an EGFR-TKI).</t>
  </si>
  <si>
    <t>Fu, Shuiting; Xu, Jiachen; Wang, Chunming; Zhang, Cheng; Li, Chengcheng; Xie, Wenchuan; Wang, Guoqiang; Zhu, Xin; Xu, Yuyan; Wen, Yaohong; Pei, Jingyuan; Yang, Jun; Tang, Mingyang; Tan, Hongkun; Cai, Shangli; Cai, Lei; Pan, Mingxin</t>
  </si>
  <si>
    <t>Cancer specific up-regulated lactate genes associated with immunotherapy resistance in a pan-cancer analysis</t>
  </si>
  <si>
    <t>https://doi.org/10.1016/j.heliyon.2024.e39491</t>
  </si>
  <si>
    <t>Background Although the lactate pathway has been reported to lead to immune escape through the inhibition of effector T cells, the cancer-intrinsic lactate signature has not been identified, and the immunotherapeutic efficacy and potential mechanism of the lactate signature are still unclear. Methods We defined a pan-cancer up-lactate score by comparing malignant tissues and normal tissues in the TCGA cohort. The immunotherapeutic efficacy was evaluated in non-small cell lung cancer (NSCLC), metastatic renal cancer (mRCC), bladder cancer (BLCA) and melanoma cohorts. The cancer cell-intrinsic mechanism to immune checkpoint inhibitors (ICIs) resistance was measured using single cell sequencing (scRNA-seq) data. Pathway activation was evaluated in the TCGA cohort and CPTAC cohort with transcriptomics and proteomics. The co-occurrence of up-lactate signature and mTOR signaling was determined by spatial transcriptomics of the tissue samples. Immunotherapy resistance and pathway regulation were validated in the in-house NSCLC cohort. Results Patients with the high up-lactate scores had significantly short overall survival (OS) than those with the low up-lactate scores (p &lt; 0.001) across multiple types of cancers. The up-regulated lactate signature exhibited higher expression in the malignant cells compared with stromal cells and immune cells in multiple scRNA-seq datasets. A high up-lactate score was associated with poor OS in NSCLC, mRCC, BLCA and melanoma patients who received anti-PD(L)1 antibody. The up-lactate score was higher in the responders of cancer cells, but not in immune cells and stromal cells compared with the non-responders (p &lt; 0.05). Moreover, up-lactate score was positively correlated with mTOR signaling across multiple cancers. In patients with NSCLC who received anti-PD-1 antibody, higher up-lactate scores were associated with significantly shorter PFS compared to lower up-lactate scores (p &lt; 0.001). Additionally, the up-lactate score was associated with cold tumor, and was positively correlated with mTOR signaling. Conclusion Collectively, we defined a pan-cancer up-lactate signature, which is a feature of malignant cells and is associated with ICIs resistance. This reveals a coherent program with prognostic and predictive value that may be therapeutically targeted.</t>
  </si>
  <si>
    <t>Targets wild-type metabolic signatures, not mutation-derived neoantigen</t>
  </si>
  <si>
    <t>McGranahan, Nicholas; Rosenthal, Rachel; Hiley, Crispin T.; Rowan, Andrew J.; Watkins, Thomas B. K.; Wilson, Gareth A.; Birkbak, Nicolai J.; Veeriah, Selvaraju; Loo, Peter Van; Herrero, Javier; Swanton, Charles; Swanton, Charles; Jamal-Hanjani, Mariam; Veeriah, Selvaraju; Shafi, Seema; Czyzewska-Khan, Justyna; Johnson, Diana; Laycock, Joanne; Bosshard-Carter, Leticia; Rosenthal, Rachel; Gorman, Pat; Hynds, Robert E.; Wilson, Gareth; Birkbak, Nicolai J.; Watkins, Thomas B. K.; McGranahan, Nicholas; Horswell, Stuart; Mitter, Richard; Escudero, Mickael; Stewart, Aengus; Loo, Peter Van; Rowan, Andrew; Xu, Hang; Turajlic, Samra; Hiley, Crispin; Abbosh, Christopher; Goldman, Jacki; Stone, Richard Kevin; Denner, Tamara; Matthews, Nik; Elgar, Greg; Ward, Sophia; Costa, Marta; Begum, Sharmin; Phillimore, Ben; Chambers, Tim; Nye, Emma; Graca, Sofia; Bakir, Maise Al; Joshi, Kroopa; Furness, Andrew; Aissa, Assma Ben; Wong, Yien Ning Sophia; Georgiou, Andy; Quezada, Sergio; Hartley, John A.; Lowe, Helen L.; Herrero, Javier; Lawrence, David; Hayward, Martin; Panagiotopoulos, Nikolaos; Kolvekar, Shyam; Falzon, Mary; Borg, Elaine; Marafioti, Teresa; Simeon, Celia; Hector, Gemma; Smith, Amy; Aranda, Marie; Novelli, Marco; Oukrif, Dahmane; Janes, Sam M.; Thakrar, Ricky; Forster, Martin; Ahmad, Tanya; Lee, Siow Ming; Papadatos-Pastos, Dionysis; Carnell, Dawn; Mendes, Ruheena; George, Jeremy; Navani, Neal; Ahmed, Asia; Taylor, Magali; Choudhary, Junaid; Summers, Yvonne; Califano, Raffaele; Taylor, Paul; Shah, Rajesh; Krysiak, Piotr; Rammohan, Kendadai; Fontaine, Eustace; Booton, Richard; Evison, Matthew; Crosbie, Phil; Moss, Stuart; Idries, Faiza; Joseph, Leena; Bishop, Paul; Chaturved, Anshuman; Quinn, Anne Marie; Doran, Helen; Leek, Angela; Harrison, Phil; Moore, Katrina; Waddington, Rachael; Novasio, Juliette; Blackhall, Fiona; Rogan, Jane; Smith, Elaine; Dive, Caroline; Tugwood, Jonathan; Brady, Ged; Rothwell, Dominic G.; Chemi, Francesca; Pierce, Jackie; Gulati, Sakshi; Naidu, Babu; Langman, Gerald; Trotter, Simon; Bellamy, Mary; Bancroft, Hollie; Kerr, Amy; Kadiri, Salma; Webb, Joanne; Middleton, Gary; Djearaman, Madava; Fennell, Dean; Shaw, Jacqui A.; Quesne, John Le; Moore, David; Nakas, Apostolos; Rathinam, Sridhar; Monteiro, William; Marshall, Hilary; Nelson, Louise; Bennett, Jonathan; Riley, Joan; Primrose, Lindsay; Martinson, Luke; Anand, Girija; Khan, Sajid; Amadi, Anita; Nicolson, Marianne; Kerr, Keith; Palmer, Shirley; Remmen, Hardy; Miller, Joy; Buchan, Keith; Chetty, Mahendran; Gomersall, Lesley; Lester, Jason; Edwards, Alison; Morgan, Fiona; Adams, Haydn; Davies, Helen; Kornaszewska, Malgorzata; Attanoos, Richard; Lock, Sara; Verjee, Azmina; MacKenzie, Mairead; Wilcox, Maggie; Bell, Harriet; Hackshaw, Allan; Ngai, Yenting; Smith, Sean; Gower, Nicole; Ottensmeier, Christian; Chee, Serena; Johnson, Benjamin; Alzetani, Aiman; Shaw, Emily; Lim, Eric; Sousa, Paulo De; Barbosa, Monica Tavares; Bowman, Alex; Jordan, Simon; Rice, Alexandra; Raubenheimer, Hilgardt; Proli, Chiara; Cufari, Maria Elena; Ronquillo, John Carlo; Kwayie, Angela; Bhayani, Harshil; Hamilton, Morag; Bakar, Yusura; Mensah, Natalie; Ambrose, Lyn; Devaraj, Anand; Buderi, Silviu; Finch, Jonathan; Azcarate, Leire; Chavan, Hema; Green, Sophie; Mashinga, Hillaria; Nicholson, Andrew G.; Lau, Kelvin; Sheaff, Michael; Schmid, Peter; Conibear, John; Ezhil, Veni; Ismail, Babikir; Irvin-sellers, Melanie; Prakash, Vineet; Russell, Peter; Light, Teresa; Horey, Tracey; Danson, Sarah; Bury, Jonathan; Edwards, John; Hill, Jennifer; Matthews, Sue; Kitsanta, Yota; Suvarna, Kim; Fisher, Patricia; Keerio, Allah Dino; Shackcloth, Michael; Gosney, John; Postmus, Pieter; Feeney, Sarah; Asante-Siaw, Julius; Aerts, Hugo J. W. L.; Dentro, Stefan; Dessimoz, Christophe</t>
  </si>
  <si>
    <t>Allele-Specific HLA Loss and Immune Escape in Lung Cancer Evolution</t>
  </si>
  <si>
    <t>https://doi.org/10.1016/j.cell.2017.10.001</t>
  </si>
  <si>
    <t>Summary Immune evasion is a hallmark of cancer. Losing the ability to present neoantigens through human leukocyte antigen (HLA) loss may facilitate immune evasion. However, the polymorphic nature of the locus has precluded accurate HLA copy-number analysis. Here, we present loss of heterozygosity in human leukocyte antigen (LOHHLA), a computational tool to determine HLA allele-specific copy number from sequencing data. Using LOHHLA, we find that HLA LOH occurs in 40% of non-small-cell lung cancers (NSCLCs) and is associated with a high subclonal neoantigen burden, APOBEC-mediated mutagenesis, upregulation of cytolytic activity, and PD-L1 positivity. The focal nature of HLA LOH alterations, their subclonal frequencies, enrichment in metastatic sites, and occurrence as parallel events suggests that HLA LOH is an immune escape mechanism that is subject to strong microenvironmental selection pressures later in tumor evolution. Characterizing HLA LOH with LOHHLA refines neoantigen prediction and may have implications for our understanding of resistance mechanisms and immunotherapeutic approaches targeting neoantigens. Video Abstract</t>
  </si>
  <si>
    <t>Lv, Qingqing; Zhang, Zhaoyu; Fu, Haijuan; Li, Danyang; Liu, Yihao; Sun, Yingnan; Wu, Minghua</t>
  </si>
  <si>
    <t>Predictive Panel for Immunotherapy in Low-Grade Glioma</t>
  </si>
  <si>
    <t>World Neurosurgery</t>
  </si>
  <si>
    <t>https://doi.org/10.1016/j.wneu.2024.01.039</t>
  </si>
  <si>
    <t>Background The main treatment of low-grade glioma (LGG) is still surgical resection followed by radiotherapy and/or chemotherapy, which has certain limitations, including side effects and drug resistance. Immunotherapy is a promising treatment for LGG, but it is generally hindered by the tumor microenvironment with the limited expression of tumor antigens. Methods We integrated RNA sequencing data sets and clinical information and conducted consistent cluster analysis to explore the most suitable patients for immune checkpoint therapy. Gene set enrichment analysis, UMAP analysis, mutation correlation analysis, TIMER analysis, and TIDE analysis were used to identify the immune characteristics of 3 immune subtypes and the feasibility of 5 antigens as immune checkpoint markers. Results We analyzed the isolation and mutation of homologous recombination repair genes (HRR) of the 3 immune subtypes, and the HRR genes of the 3 subtypes were obviously segregated. Among them, the IS2 subtype has a large number of HRR gene mutations, which increases the immunogenicity of tumors—this is consistent with the results of tumor mutation load analysis of 3 immune subtypes. Then we evaluated the immune cell infiltration of immune subtypes and found that IS2 and IS3 subtypes were rich in immune cells. It is worth noting that there are many Treg cells and NK cells in the IS1 subtype. In addition, when analyzing the immune checkpoint gene expression of the 3 subtypes, we found that they were upregulated most in IS2 subtypes compared with other subtypes. Then when we further confirmed the role of immune-related genes in LGG; through TIDE analysis and TISIDB analysis, we obtained 5 markers that can predict the efficacy of ICB in patients with LGG. In addition, we confirmed that they were associated with poor prognosis through survival analysis. Conclusions We obtained 3 reliable immune subtypes, and patients with the IS2 subtype are suitable for immunotherapy, in which NAMPT, SLC11A1, TNC, VIM, and SPP1 are predictive panel markers for ICB in the LGG group. Our findings provide a rationale for immunotherapy selection and prediction of patient prognosis in LGG patients.</t>
  </si>
  <si>
    <t>The study focuses exclusively on Low-Grade Glioma (LGG)</t>
  </si>
  <si>
    <t>Goodsell, David S.; Burley, Stephen K.</t>
  </si>
  <si>
    <t>RCSB Protein Data Bank resources for structure-facilitated design of mRNA vaccines for existing and emerging viral pathogens</t>
  </si>
  <si>
    <t>Structure</t>
  </si>
  <si>
    <t>https://doi.org/10.1016/j.str.2021.10.008</t>
  </si>
  <si>
    <t>Summary Structural biologists provide direct insights into the molecular bases of human health and disease. The open-access Protein Data Bank (PDB) stores and delivers three-dimensional (3D) biostructure data that facilitate discovery and development of therapeutic agents and diagnostic tools. We are in the midst of a revolution in vaccinology. Non-infectious mRNA vaccines have been proven during the coronavirus disease 2019 (COVID-19) pandemic. This new technology underpins nimble discovery and clinical development platforms that use knowledge of 3D viral protein structures for societal benefit. The RCSB PDB supports vaccine designers through expert biocuration and rigorous validation of 3D structures; open-access dissemination of structure information; and search, visualization, and analysis tools for structure-guided design efforts. This resource article examines the structural biology underpinning the success of severe acute respiratory syndrome coronavirus-2 (SARS-CoV-2) mRNA vaccines and enumerates some of the many protein structures in the PDB archive that could guide design of new countermeasures against existing and emerging viral pathogens.</t>
  </si>
  <si>
    <t>The focus is entirely on SARS-CoV-2 (COVID-19) and general viral pathogens. There is no data pertaining to Human Non-Small Cell Lung Cancer (NSCLC).</t>
  </si>
  <si>
    <t>McGrail, D. J.; Pilié, P. G.; Rashid, N. U.; Voorwerk, L.; Slagter, M.; Kok, M.; Jonasch, E.; Khasraw, M.; Heimberger, A. B.; Lim, B.; Ueno, N. T.; Litton, J. K.; Ferrarotto, R.; Chang, J. T.; Moulder, S. L.; Lin, S.-Y.</t>
  </si>
  <si>
    <t>High tumor mutation burden fails to predict immune checkpoint blockade response across all cancer types</t>
  </si>
  <si>
    <t>https://doi.org/10.1016/j.annonc.2021.02.006</t>
  </si>
  <si>
    <t>Background High tumor mutation burden (TMB-H) has been proposed as a predictive biomarker for response to immune checkpoint blockade (ICB), largely due to the potential for tumor mutations to generate immunogenic neoantigens. Despite recent pan-cancer approval of ICB treatment for any TMB-H tumor, as assessed by the targeted FoundationOne CDx assay in nine tumor types, the utility of this biomarker has not been fully demonstrated across all cancers. Patients and methods Data from over 10 000 patient tumors included in The Cancer Genome Atlas were used to compare approaches to determine TMB and identify the correlation between predicted neoantigen load and CD8 T cells. Association of TMB with ICB treatment outcomes was analyzed by both objective response rates (ORRs, N = 1551) and overall survival (OS, N = 1936). Results In cancer types where CD8 T-cell levels positively correlated with neoantigen load, such as melanoma, lung, and bladder cancers, TMB-H tumors exhibited a 39.8% ORR to ICB [95% confidence interval (CI) 34.9-44.8], which was significantly higher than that observed in low TMB (TMB-L) tumors [odds ratio (OR) = 4.1, 95% CI 2.9-5.8, P &lt; 2 × 10−16]. In cancer types that showed no relationship between CD8 T-cell levels and neoantigen load, such as breast cancer, prostate cancer, and glioma, TMB-H tumors failed to achieve a 20% ORR (ORR = 15.3%, 95% CI 9.2-23.4, P = 0.95), and exhibited a significantly lower ORR relative to TMB-L tumors (OR = 0.46, 95% CI 0.24-0.88, P = 0.02). Bulk ORRs were not significantly different between the two categories of tumors (P = 0.10) for patient cohorts assessed. Equivalent results were obtained by analyzing OS and by treating TMB as a continuous variable. Conclusions Our analysis failed to support application of TMB-H as a biomarker for treatment with ICB in all solid cancer types. Further tumor type-specific studies are warranted.</t>
  </si>
  <si>
    <t>Chiou, Shin-Heng; Tseng, Diane; Reuben, Alexandre; Mallajosyula, Vamsee; Molina, Irene S.; Conley, Stephanie; Wilhelmy, Julie; McSween, Alana M.; Yang, Xinbo; Nishimiya, Daisuke; Sinha, Rahul; Nabet, Barzin Y.; Wang, Chunlin; Shrager, Joseph B.; Berry, Mark F.; Backhus, Leah; Lui, Natalie S.; Wakelee, Heather A.; Neal, Joel W.; Padda, Sukhmani K.; Berry, Gerald J.; Delaidelli, Alberto; Sorensen, Poul H.; Sotillo, Elena; Tran, Patrick; Benson, Jalen A.; Richards, Rebecca; Labanieh, Louai; Klysz, Dorota D.; Louis, David M.; Feldman, Steven A.; Diehn, Maximilian; Weissman, Irving L.; Zhang, Jianjun; Wistuba, Ignacio I.; Futreal, P. Andrew; Heymach, John V.; Garcia, K. Christopher; Mackall, Crystal L.; Davis, Mark M.</t>
  </si>
  <si>
    <t>Global analysis of shared T cell specificities in human non-small cell lung cancer enables HLA inference and antigen discovery</t>
  </si>
  <si>
    <t>https://doi.org/10.1016/j.immuni.2021.02.014</t>
  </si>
  <si>
    <t>Summary To identify disease-relevant T cell receptors (TCRs) with shared antigen specificity, we analyzed 778,938 TCRβ chain sequences from 178 non-small cell lung cancer patients using the GLIPH2 (grouping of lymphocyte interactions with paratope hotspots 2) algorithm. We identified over 66,000 shared specificity groups, of which 435 were clonally expanded and enriched in tumors compared to adjacent lung. The antigenic epitopes of one such tumor-enriched specificity group were identified using a yeast peptide-HLA A∗02:01 display library. These included a peptide from the epithelial protein TMEM161A, which is overexpressed in tumors and cross-reactive epitopes from Epstein-Barr virus and E. coli. Our findings suggest that this cross-reactivity may underlie the presence of virus-specific T cells in tumor infiltrates and that pathogen cross-reactivity may be a feature of multiple cancers. The approach and analytical pipelines generated in this work, as well as the specificity groups defined here, present a resource for understanding the T cell response in cancer.</t>
  </si>
  <si>
    <t>Pai, Joy A.; Hellmann, Matthew D.; Sauter, Jennifer L.; Mattar, Marissa; Rizvi, Hira; Woo, Hyung Jun; Shah, Nisargbhai; Nguyen, Evelyn M.; Uddin, Fathema Z.; Quintanal-Villalonga, Alvaro; Chan, Joseph M.; Manoj, Parvathy; Allaj, Viola; Baine, Marina K.; Bhanot, Umesh K.; Jain, Mala; Linkov, Irina; Meng, Fanli; Brown, David; Chaft, Jamie E.; Plodkowski, Andrew J.; Gigoux, Mathieu; Won, Helen H.; Sen, Triparna; Wells, Daniel K.; Donoghue, Mark T. A.; Stanchina, Elisa de; Wolchok, Jedd D.; Loomis, Brian; Merghoub, Taha; Rudin, Charles M.; Chow, Andrew; Satpathy, Ansuman T.</t>
  </si>
  <si>
    <t>Lineage tracing reveals clonal progenitors and long-term persistence of tumor-specific T cells during immune checkpoint blockade</t>
  </si>
  <si>
    <t>https://doi.org/10.1016/j.ccell.2023.03.009</t>
  </si>
  <si>
    <t>Summary Paired single-cell RNA and T cell receptor sequencing (scRNA/TCR-seq) has allowed for enhanced resolution of clonal T cell dynamics in cancer. Here, we report a scRNA/TCR-seq analysis of 187,650 T cells from 31 tissue regions, including tumor, adjacent normal tissues, and lymph nodes (LN), from three patients with non-small cell lung cancer after immune checkpoint blockade (ICB). Regions with viable cancer cells are enriched for exhausted CD8+ T cells, regulatory CD4+ T cells (Treg), and follicular helper CD4+ T cells (TFH). Tracking T cell clonotypes across tissues, combined with neoantigen specificity assays, reveals that TFH and tumor-specific exhausted CD8+ T cells are clonally linked to TCF7+ SELL+ progenitors in tumor draining LNs, and progressive exhaustion trajectories of CD8+ T, Treg, and TFH cells with proximity to the tumor microenvironment. Finally, longitudinal tracking of tumor-specific CD8+ and CD4+ T cell clones reveals persistence in the peripheral blood for years after ICB therapy.</t>
  </si>
  <si>
    <t>Xu, Jiachen; Wan, Rui; Cai, Yiran; Cai, Shangli; Wu, Lin; Li, Baolan; Duan, Jianchun; Cheng, Ying; Li, Xiaoling; Wang, Xicheng; Han, Liang; Wu, Xiaohong; Fan, Yun; Yu, Yan; Lv, Dongqing; Shi, Jianhua; Huang, Jianjin; Zhou, Shaozhang; Han, Baohui; Sun, Guogui; Guo, Qisen; Ji, Youxin; Zhu, Xiaoli; Hu, Sheng; Zhang, Wei; Wang, Qiming; Jia, Yuming; Wang, Ziping; Song, Yong; Wu, Jingxun; Shi, Meiqi; Li, Xingya; Han, Zhigang; Liu, Yunpeng; Yu, Zhuang; Liu, An-Wen; Wang, Xiuwen; Zhou, Caicun; Zhong, Diansheng; Miao, Liyun; Zhang, Zhihong; Zhao, Hui; Yang, Jun; Wang, Dong; Wang, Yingyi; Li, Qiang; Zhang, Xiaodong; Ji, Mei; Yang, Zhenzhou; Cui, Jiuwei; Gao, Beili; Wang, Buhai; Liu, Hu; Nie, Lei; He, Mei; Jin, Shi; Gu, Wei; Shu, Yongqian; Zhou, Tong; Feng, Jian; Yang, Xinmei; Huang, Cheng; Zhu, Bo; Yao, Yu; Yu, Jianjun; Yao, Sheng; Shen, Runxi; Wang, Zhijie; Wang, Jie</t>
  </si>
  <si>
    <t>Circulating tumor DNA-based stratification strategy for chemotherapy plus PD-1 inhibitor in advanced non-small-cell lung cancer</t>
  </si>
  <si>
    <t>https://doi.org/10.1016/j.ccell.2024.08.013</t>
  </si>
  <si>
    <t>Summary Stratification strategies for chemotherapy plus PD-1 inhibitors in advanced non-small-cell lung cancer (NSCLC) are critically demanded. We performed high-throughput panel-based deep next-generation sequencing and low-pass whole genome sequencing on prospectively collected circulating tumor DNA (ctDNA) specimens from 460 patients in the phase 3 CHOICE-01 study at different time points. We identified predictive markers for chemotherapy plus PD-1 inhibitor, including ctDNA status and genomic features such as blood-based tumor mutational burden, intratumor heterogeneity, and chromosomal instability. Furthermore, we established an integrated ctDNA-based stratification strategy, blood-based genomic immune subtypes (bGIS) scheme, to distinguish patients who benefit from the addition of PD-1 inhibitor to first-line chemotherapy. Moreover, we demonstrated potential applications for the dynamic monitoring of ctDNA. Overall, we proposed a potential therapeutic algorithm based on the ctDNA-based stratification strategy, shedding light on the individualized management of immune-chemotherapies for patients with advanced NSCLC.</t>
  </si>
  <si>
    <t>Chen, Shaoyi; Sun, Zewen; Li, Yun; Yang, Fan; Wang, Peiyu; Chen, Kezhong; Wang, Jun; Qiu, Mantang</t>
  </si>
  <si>
    <t>Evaluation of clinical and safety outcomes of cancer vaccines in patients with advanced non-small cell lung cancer after first-line therapy: a systematic review and meta-analysis</t>
  </si>
  <si>
    <t>eClinicalMedicine</t>
  </si>
  <si>
    <t>https://doi.org/10.1016/j.eclinm.2025.103369</t>
  </si>
  <si>
    <t>Summary Background Despite numerous randomized controlled trials (RCTs) on cancer vaccines, systematic evaluations of their efficacy and safety for patients with advanced non-small cell lung cancer (NSCLC) following first-line therapy remain lacking. Methods In this systematic review and meta-analysis (PROSPERO, CRD42024568178), PubMed, Cochrane Library, and Embase databases were searched from inception up to December 27, 2024. Published phase II or III RCTs reporting survival outcomes in advanced or metastatic NSCLC patients who received vaccine therapy after first-line therapy were included. Data were independently extracted by two reviewers. The primary outcome was overall survival (OS), with progression-free survival (PFS) as secondary outcome. Treatment-related adverse events (TRAEs) was the major safety outcome. Random-effects model was employed in this meta-analysis. Risk of bias was evaluated with RoB 2. Findings Eleven RCTs comprising 3228 patients (67% male, n = 2162) were included, without high risk of bias. The included studies involved employing cancer vaccines as first-line maintenance therapy, second-line therapy, or third-line therapy. In general, Cancer vaccines associated with improved OS (HR = 0.85, 95% CI, 0.78–0.92, P &lt; 0.001) but did not significantly improve PFS (HR = 0.91, 95% CI, 0.79–1.05, P = 0.195). Subgroup analyses indicated better OS for patients with ECOG = 1, first-line chemotherapy, squamous cell carcinoma, stable disease after first-line therapy, stage IV, and smoking history. Squamous cell carcinoma (HR = 0.74, 95% CI, 0.61–0.90, P = 0.003) responded better to vaccine therapy than adenocarcinoma (HR = 0.83, 95% CI, 0.55–1.26, P = 0.377). The pooled OR for TRAEs was 1.5 (95% CI, 0.63–3.61, P = 0.361). Exploratory analysis indicated that immune response to cancer vaccines may serve as a predictive biomarker for vaccines effect. Besides, consistent efficacy and safety results were obtained when the meta-analysis was specific to first-line maintenance therapy based on seven trials. Interpretation This meta-analysis demonstrated the clinical efficacy and safety of cancer vaccines in advanced NSCLC patients after first-line therapy, especially in those with squamous cell carcinoma. Immune response was identified as a predictive biomarker for vaccines effect. This study provides the state-of-the-art evidence for the clinical application of cancer vaccines in advanced NSCLC patients after first-line therapy. Funding 20240484580, 20230484314, 2023YFF0723500, 2021RU002, 82173386, RZ2022-04.</t>
  </si>
  <si>
    <t>General vaccine efficacy review; lacks personalized neoantigen discovery data.</t>
  </si>
  <si>
    <t>Chow, Andrew; Uddin, Fathema Z.; Liu, Michael; Dobrin, Anton; Nabet, Barzin Y.; Mangarin, Levi; Lavin, Yonit; Rizvi, Hira; Tischfield, Sam E.; Quintanal-Villalonga, Alvaro; Chan, Joseph M.; Shah, Nisargbhai; Allaj, Viola; Manoj, Parvathy; Mattar, Marissa; Meneses, Maximiliano; Landau, Rebecca; Ward, Mariana; Kulick, Amanda; Kwong, Charlene; Wierzbicki, Matthew; Yavner, Jessica; Egger, Jacklynn; Chavan, Shweta S.; Farillas, Abigail; Holland, Aliya; Sridhar, Harsha; Ciampricotti, Metamia; Hirschhorn, Daniel; Guan, Xiangnan; Richards, Allison L.; Heller, Glenn; Mansilla-Soto, Jorge; Sadelain, Michel; Klebanoff, Christopher A.; Hellmann, Matthew D.; Sen, Triparna; Stanchina, Elisa de; Wolchok, Jedd D.; Merghoub, Taha; Rudin, Charles M.</t>
  </si>
  <si>
    <t>The ectonucleotidase CD39 identifies tumor-reactive CD8+ T cells predictive of immune checkpoint blockade efficacy in human lung cancer</t>
  </si>
  <si>
    <t>https://doi.org/10.1016/j.immuni.2022.12.001</t>
  </si>
  <si>
    <t>Summary Improved identification of anti-tumor T cells is needed to advance cancer immunotherapies. CD39 expression is a promising surrogate of tumor-reactive CD8+ T cells. Here, we comprehensively profiled CD39 expression in human lung cancer. CD39 expression enriched for CD8+ T cells with features of exhaustion, tumor reactivity, and clonal expansion. Flow cytometry of 440 lung cancer biospecimens revealed weak association between CD39+ CD8+ T cells and tumoral features, such as programmed death-ligand 1 (PD-L1), tumor mutation burden, and driver mutations. Immune checkpoint blockade (ICB), but not cytotoxic chemotherapy, increased intratumoral CD39+ CD8+ T cells. Higher baseline frequency of CD39+ CD8+ T cells conferred improved clinical outcomes from ICB therapy. Furthermore, a gene signature of CD39+ CD8+ T cells predicted benefit from ICB, but not chemotherapy, in a phase III clinical trial of non-small cell lung cancer. These findings highlight CD39 as a proxy of tumor-reactive CD8+ T cells in human lung cancer.</t>
  </si>
  <si>
    <t>Tang, Xiaolong; Sui, Xue; Liu, Yongshuo</t>
  </si>
  <si>
    <t>Immune checkpoint PTPN2 predicts prognosis and immunotherapy response in human cancers</t>
  </si>
  <si>
    <t>https://doi.org/10.1016/j.heliyon.2023.e12873</t>
  </si>
  <si>
    <t>Background PTPN2, a member of the non-receptor protein tyrosine phosphatases family, holds a crucial role in tumorigenesis and cancer immunotherapy. However, most studies on the role of PTPN2 in cancer are limited to specific cancer types. Therefore, this study aimed to investigate the prognostic significance of PTPN2 in human cancers and its function in the tumor microenvironment. Methods To shed light on this matter, we investigated the expression level, prognostic value, genomic alterations, molecular function, immune function, and immunotherapeutic predictive ability of PTPN2 in human cancers using the TCGA, GTEx, CGGA, GEO, cBioPortal, STRING, TISCH, TIMER2.0, ESTIMATE, and TIDE databases. Furthermore, the CCK-8 assay was utilized to detect the effect of PTPN2 on cell proliferation. Cell immunofluorescence analysis was performed to probe the cellular localization of PTPN2. Western blot was applied to examine the molecular targets downstream of PTPN2. Finally, a Nomogram model was constructed using the TCGA-LGG cohort and evaluated with calibration curves and time-dependent ROCs. Results PTPN2 was highly expressed in most cancers and was linked to poor prognosis in ACC, GBM, LGG, KICH, and PAAD, while the opposite was true in OV, SKCM, and THYM. PTPN2 knockdown promoted the proliferation of melanoma cells, while significantly inhibiting proliferation in colon cancer and glioblastoma cells. In addition, TC-PTP, encoded by the PTPN2 gene, was primarily localized in the nucleus and cytoplasm and could negatively regulate the JAK/STAT and MEK/ERK pathways. Strikingly, PTPN2 knockdown significantly enhanced the abundance of PD-L1. PTPN2 was abundantly expressed in Mono/Macro cells and positively correlated with multiple immune infiltrating cells, especially CD8+ T cells. Notably, DLBC, LAML, OV, and TGCT patients in the PTPN2-high group responded better to immunotherapy, while the opposite was true in ESCA, KIRC, KIRP, LIHC, and THCA. Finally, the construction of a Nomogram model on LGG exhibited a high prediction accuracy. Conclusion Immune checkpoint PTPN2 is a powerful biomarker for predicting prognosis and the efficacy of immunotherapy in cancers. Mechanistically, PTPN2 negatively regulates the JAK/STAT and MEK/ERK pathways and the abundance of PD-L1.</t>
  </si>
  <si>
    <t>The objective is to evaluate PTPN2 as a prognostic biomarker and a regulator of immune evasion (via PD-L1 modulation).</t>
  </si>
  <si>
    <t>Meulewaeter, Sofie; Velder, Margo De; Reckelbus, Diethard; Mwangi, Kevin; Ehouarne, Thomas; Aernout, Ilke; Engelen, Yanou; Halimi, Fellanza; herteryck, Isis Van; Bels, Lobke De; Redant, Valerie; Mane, Louise De la; Ingels, Joline; Coppens, Bo; Calenbergh, Serge Van; Cornillie, Pieter; Holtappels, Gabriële; Descamps, Benedicte; Vanrompay, Daisy; Smedt, Stefaan C. De; Broeck, Wim Van den; Vandekerckhove, Bart; Devreese, Mathias; Verbeke, Rein; Lentacker, Ine</t>
  </si>
  <si>
    <t>Preclinical toxicological assessment of an α-galactosylceramide-adjuvanted mRNA cancer vaccine in Wistar Han rats and domestic pigs</t>
  </si>
  <si>
    <t>https://doi.org/10.1016/j.omtm.2025.101493</t>
  </si>
  <si>
    <t>Galsome-NEO is a glycolipid-adjuvanted mRNA lipid nanoparticle (LNP) cancer vaccine encoding neo-epitopes for evaluation in a phase 1 study in patients with non-small cell lung cancer. To assess the safety of Galsome-NEO, a repeated-dose toxicity study was conducted in Wistar Han rats involving three intramuscular doses of 30 μg mRNA. A dose-escalation study in piglets tested three doses of 3, 15, and 100 μg mRNA. Rats showed a pronounced pro-inflammatory response, evidenced by cytokine secretion and an acute phase reaction. Clinical findings included temporary local reactions (maximum grade 3), elevated temperatures, and weight loss. In pigs, all doses were well tolerated. Blood analysis showed elevated alkaline phosphatase and decreased thrombocytes in rats, while pigs had reduced reticulocyte counts. Histology revealed hepatocyte vacuolation in rats and immune infiltration at injection sites in both species. In rats, blood and histology alterations resolved 3 weeks post dosing, except for immune infiltration in the connective tissue at injection sites in two females. Galsomes with mRNA encoding the Chlamydia trachomatis major outer membrane protein induced T cell responses in pigs. Natural killer T cell activation was observed in both species. These findings align with the safety data for the COVID-19 mRNA vaccine, Comirnaty, and demonstrate Galsomes’ potential in large animals.</t>
  </si>
  <si>
    <t>The research, which focuses on post-translational modifications of wild-type proteins, falls outside the specified scope of identifying somatic mutation-derived epitopes.</t>
  </si>
  <si>
    <t>Rajak, Prem</t>
  </si>
  <si>
    <t>Immune checkpoint inhibitors: From friend to foe</t>
  </si>
  <si>
    <t>Toxicology Reports</t>
  </si>
  <si>
    <t>https://doi.org/10.1016/j.toxrep.2025.102033</t>
  </si>
  <si>
    <t>Immune checkpoints are crucial in regulating the activation of cell-mediated and humoral immune responses. However, cancer cells hijack this mechanism to evade the immune surveillance and anti-cancer response. Typically, receptors like PD-1 and CTLA4, expressed on immune cells, prevent the activation and differentiation of T cells. They also inhibit the development of autoimmune reactions. However, ligands such as PD-L1 for the receptor PD-1 are also expressed on the surface of cancer cells that help prevent the activation of anti-cancer immune responses by blocking the signalling pathways mediated by PD-1 and CTLA4. Immune checkpoint inhibitors (ICIs) have promising therapeutic efficacy for treating several cancers by activating T cells and their differentiation into effector cells against tumours. Nonetheless, hyperactivated immune cells usually contribute to detrimental issues, also known as immune-related adverse effects (IrAE). IrAEs have been observed in multiple organs, leading to neurological issues, colitis, endocrine dysfunction, renal issues, hepatitis, pneumonitis, and dermatitis. The interplay between hyperactivated T cells and Treg cells helps in orchestrating the development of autoimmunity. Moreover, the crosstalk between proinflammatory interleukins and the development of autoantibodies also mediates the multiorgan effects of ICIs in cancer patients. IrAEs are generally managed by terminating the ICI therapy, reducing the ICI dose, and by using corticosteroids to subvert inflammation. Therefore, the present review aims to delineate the impacts of ICIs on the development of autoimmune diseases and inflammatory outcomes in cancer patients. In addition, mechanistic insight involving immune cells, cytokines, and autoantibodies for ICI-mediated IrAEs will also be discussed with updated findings in this field.</t>
  </si>
  <si>
    <t>Its a review article that Focuses on toxicity (irAEs) and autoimmunity; lacks neoantigen discovery.</t>
  </si>
  <si>
    <t>Shen, Hong-yu; Xu, Jia-lin; Zhu, Zhen; Xu, Hai-ping; Liang, Ming-xing; Xu, Di; Chen, Wen-quan; Tang, Jin-hai; Fang, Zheng; Zhang, Jian</t>
  </si>
  <si>
    <t>Integration of bioinformatics and machine learning strategies identifies APM-related gene signatures to predict clinical outcomes and therapeutic responses for breast cancer patients</t>
  </si>
  <si>
    <t>https://doi.org/10.1016/j.neo.2023.100942</t>
  </si>
  <si>
    <t>Background Tumor antigenicity and efficiency of antigen presentation jointly influence tumor immunogenicity, which largely determines the effectiveness of immune checkpoint blockade (ICB). However, the role of altered antigen processing and presentation machinery (APM) in breast cancer (BRCA) has not been fully elucidated. Methods A series of bioinformatic analyses and machine learning strategies were performed to construct APM-related gene signatures to guide personalized treatment for BRCA patients. A single-sample gene set enrichment analysis (ssGSEA) algorithm and weighted gene co-expression network analysis (WGCNA) were combined to screen for BRCA-specific APM-related genes. The non-negative matrix factorization (NMF) algorithm was used to divide the cohort into different clusters and the fgsea algorithm was applied to investigate the altered signaling pathways. Random survival forest (RSF) and the least absolute shrinkage and selection operator (Lasso) Cox regression analysis were combined to construct an APM-related risk score (APMrs) signature to predict overall survival. Furthermore, a nomogram and decision tree were generated to improve predictive accuracy and risk stratification for individual patients. Based on Tumor Immune Dysfunction and Exclusion (TIDE) method, random forest (RF) and Lasso logistic regression model were combined to establish an APM-related immunotherapeutic response score (APMis). Finally, immune infiltration, immunomodulators, mutational patterns, and potentially applicable drugs were comprehensively analyzed in different APM-related risk groups. IHC staining was used to assess the expression of APM-related genes in clinical samples. Results In this study, APMrs and APMis showed favorable performances in risk stratification and therapeutic prediction for BRCA patients. APMrs exhibited more powerful prognostic capacity and accurate survival prediction compared to conventional clinicopathological features. APMrs was closely associated with distinct mutational patterns, immune cell infiltration and immunomodulators expression. Furthermore, the two APM-related gene signatures were independently validated in external cohorts with prognosis or immunotherapeutic responses. Potential applicable drugs and targets were mined in the APMrs-high group. APM-related genes were further validated in our in-house samples. Conclusion The APM-related gene signatures established in our study could improve the personalized assessment of survival risk and guide ICB decision-making for BRCA patients.</t>
  </si>
  <si>
    <t>the study is in breast cancer cohort</t>
  </si>
  <si>
    <t>Wang, Ganping; Zhang, Ming; Cheng, Maosheng; Wang, Xiaochen; Li, Kang; Chen, Jianwen; Chen, Zhi; Chen, Shuang; Chen, Jie; Xiong, Gan; Xu, Xiuyun; Wang, Cheng; Chen, Demeng</t>
  </si>
  <si>
    <t>Tumor microenvironment in head and neck squamous cell carcinoma: Functions and regulatory mechanisms</t>
  </si>
  <si>
    <t>Cancer Letters</t>
  </si>
  <si>
    <t>https://doi.org/10.1016/j.canlet.2021.03.009</t>
  </si>
  <si>
    <t>The tumor microenvironment has been recently reported to play a pivotal role in sustaining tumor cells survival and protecting them from immunotherapy and chemotherapy-induced death. It remains largely unknown how the specific signaling pathway exerts the tumor microenvironment in head and neck squamous cell carcinoma though previous studies have elucidated the regulatory mechanisms involve in tumor immune microenvironment, stromal cells, tumor angiogenesis and cancer stem cell. These components are responsible for tumor progression as well as anti-cancer therapy resistance, leading to rapid tumor growth and treatment failure. In this review, we focus on discussing the interaction between tumor cells and the surrounding components for better understanding of anti-cancer treatment ineffectiveness and its underlying molecular mechanisms.</t>
  </si>
  <si>
    <t>ity focuses. Tumor microenvironment in head and neck squamous cell carcinoma</t>
  </si>
  <si>
    <t>Parry, Erin M.; Lemvigh, Camilla K.; Deng, Stephanie; Dangle, Nathan; Ruthen, Neil; Knisbacher, Binyamin A.; Broséus, Julien; Hergalant, Sébastien; Guièze, Romain; Li, Shuqiang; Zhang, Wandi; Johnson, Connor; Long, Jaclyn M.; Yin, Shanye; Werner, Lillian; Anandappa, Annabelle; Purroy, Noelia; Gohil, Satyen; Oliveira, Giacomo; Bachireddy, Pavan; Shukla, Sachet A.; Huang, Teddy; Khoury, Joseph D.; Thakral, Beenu; Dickinson, Michael; Tam, Constantine; Livak, Kenneth J.; Getz, Gad; Neuberg, Donna; Feugier, Pierre; Kharchenko, Peter; Wierda, William; Olsen, Lars Rønn; Jain, Nitin; Wu, Catherine J.</t>
  </si>
  <si>
    <t>ZNF683 marks a CD8+ T cell population associated with anti-tumor immunity following anti-PD-1 therapy for Richter syndrome</t>
  </si>
  <si>
    <t>https://doi.org/10.1016/j.ccell.2023.08.013</t>
  </si>
  <si>
    <t>Summary Unlike many other hematologic malignancies, Richter syndrome (RS), an aggressive B cell lymphoma originating from indolent chronic lymphocytic leukemia, is responsive to PD-1 blockade. To discover the determinants of response, we analyze single-cell transcriptome data generated from 17 bone marrow samples longitudinally collected from 6 patients with RS. Response is associated with intermediate exhausted CD8 effector/effector memory T cells marked by high expression of the transcription factor ZNF683, determined to be evolving from stem-like memory cells and divergent from terminally exhausted cells. This signature overlaps with that of tumor-infiltrating populations from anti-PD-1 responsive solid tumors. ZNF683 is found to directly target key T cell genes (TCF7, LMO2, CD69) and impact pathways of T cell cytotoxicity and activation. Analysis of pre-treatment peripheral blood from 10 independent patients with RS treated with anti-PD-1, as well as patients with solid tumors treated with anti-PD-1, supports an association of ZNF683high T cells with response.</t>
  </si>
  <si>
    <t>The primary focus and discovery cohort consists of patients with Richter Syndrome (RS) (an aggressive B-cell lymphoma)</t>
  </si>
  <si>
    <t>Angelova, Mihaela; Mlecnik, Bernhard; Vasaturo, Angela; Bindea, Gabriela; Fredriksen, Tessa; Lafontaine, Lucie; Buttard, Bénédicte; Morgand, Erwan; Bruni, Daniela; Jouret-Mourin, Anne; Hubert, Catherine; Kartheuser, Alex; Humblet, Yves; Ceccarelli, Michele; Syed, Najeeb; Marincola, Francesco M.; Bedognetti, Davide; Eynde, Marc Van den; Galon, Jérôme</t>
  </si>
  <si>
    <t>Evolution of Metastases in Space and Time under Immune Selection</t>
  </si>
  <si>
    <t>https://doi.org/10.1016/j.cell.2018.09.018</t>
  </si>
  <si>
    <t>Summary We examined how the immune microenvironment molds tumor evolution at different metastatic organs in a longitudinal dataset of colorectal cancer. Through multiplexed analyses, we showed that clonal evolution patterns during metastatic progression depend on the immune contexture at the metastatic site. Genetic evidence of neoantigen depletion was observed in the sites with high Immunoscore and spatial proximity between Ki67+ tumor cells and CD3+ cells. The immunoedited tumor clones were eliminated and did not recur, while progressing clones were immune privileged, despite the presence of tumor-infiltrating lymphocytes. Characterization of immune-privileged metastases revealed tumor-intrinsic and tumor-extrinsic mechanisms of escape. The lowest recurrence risk was associated with high Immunoscore, occurrence of immunoediting, and low tumor burden. We propose a parallel selection model of metastatic progression, where branched evolution could be traced back to immune-escaping clones. The findings could inform the understanding of cancer dissemination and the development of immunotherapeutics.</t>
  </si>
  <si>
    <t>The study focuses exclusively on Metastatic Colorectal Cancer (CRC).</t>
  </si>
  <si>
    <t>Griffin, Matthew E.; Hang, Howard C.</t>
  </si>
  <si>
    <t>Microbial mechanisms to improve immune checkpoint blockade responsiveness</t>
  </si>
  <si>
    <t>https://doi.org/10.1016/j.neo.2022.100818</t>
  </si>
  <si>
    <t>The human microbiota acts as a diverse source of molecular cues that influence the development and homeostasis of the immune system. Beyond endogenous roles in the human holobiont, host-microbial interactions also alter outcomes for immune-related diseases and treatment regimens. Over the past decade, sequencing analyses of cancer patients have revealed correlations between microbiota composition and the efficacy of cancer immunotherapies such as checkpoint inhibitors. However, very little is known about the exact mechanisms that link specific microbiota with patient responses, limiting our ability to exploit these microbial agents for improved oncology care. Here, we summarize current progress towards a molecular understanding of host-microbial interactions in the context of checkpoint inhibitor immunotherapies. By highlighting the successes of a limited number of studies focused on identifying specific, causal molecules, we underscore how the exploration of specific microbial features such as proteins, enzymes, and metabolites may translate into precise and actionable therapies for personalized patient care in the clinic.</t>
  </si>
  <si>
    <t>its a Narrative Review (Summary of current molecular understanding of host-microbial interactions).</t>
  </si>
  <si>
    <t>Ridge, Natalie A.; Rajkumar-Calkins, Anne; Dudzinski, Stephanie O.; Kirschner, Austin N.; Newman, Neil B.</t>
  </si>
  <si>
    <t>Radiopharmaceuticals as Novel Immune System Tracers</t>
  </si>
  <si>
    <t>Advances in Radiation Oncology</t>
  </si>
  <si>
    <t>https://doi.org/10.1016/j.adro.2022.100936</t>
  </si>
  <si>
    <t>Immune checkpoint inhibitors (ICIs) have transformed the treatment paradigms for multiple cancers. However, ICI therapy often fails to generate measurable and sustained antitumor responses, and clinically meaningful benefits remain limited to a small proportion of overall patients. A major obstacle to development and effective application of novel therapeutic regimens is optimized patient selection and response assessment. Noninvasive imaging using novel immunoconjugate radiopharmaceuticals (immuno–positron emission tomography and immuno-single-photon emission computed tomography) can assess for expression of cell surface immune markers, such as programmed cell death protein ligand-1 (PD-L1), akin to a virtual biopsy. This emerging technology has the potential to provide clinicians with a quantitative, specific, real-time evaluation of immunologic responses relative to cancer burden in the body. We discuss the rationale for using noninvasive molecular imaging of the programmed cell death protein-1 and PD-L1 axis as a biomarker for immunotherapy and summarize the current status of preclinical and clinical studies examining PD-L1 immuno–positron emission tomography. The strategies described in this review provide insight for future clinical trials exploring the use of immune checkpoint imaging as a biomarker for both ICI and radiation therapy, and for the rational design of combinatorial therapeutic regimens.</t>
  </si>
  <si>
    <t>The objective is to evaluate molecular imaging (Immuno-PET/SPECT) as a "virtual biopsy" for PD-L1 expression.</t>
  </si>
  <si>
    <t>Chen, Yiyun; Huo, Ran; Kang, Weirong; Liu, Yuwei; Zhao, Zheng; Fu, Weilun; Ma, Ruochen; Zhang, Xiaomeng; Tang, Jihong; Zhu, Zhihan; Lyu, Qingyang; Huang, Yi; Yan, Mengli; Jiang, Biaobin; Chai, Ruichao; Bao, Zhaoshi; Hu, Zheng; Wang, Weiping; Jiang, Tao; Cao, Yong; Wang, Jiguang</t>
  </si>
  <si>
    <t>Tumor-associated monocytes promote mesenchymal transformation through EGFR signaling in glioma</t>
  </si>
  <si>
    <t>https://doi.org/10.1016/j.xcrm.2023.101177</t>
  </si>
  <si>
    <t>Summary The role of brain immune compartments in glioma evolution remains elusive. We profile immune cells in glioma microenvironment and the matched peripheral blood from 11 patients. Glioblastoma exhibits specific infiltration of blood-originated monocytes expressing epidermal growth factor receptor (EGFR) ligands EREG and AREG, coined as tumor-associated monocytes (TAMo). TAMo infiltration is mutually exclusive with EGFR alterations (p = 0.019), while co-occurring with mesenchymal subtype (p = 4.7 × 10−7) and marking worse prognosis (p = 0.004 and 0.032 in two cohorts). Evolutionary analysis of initial-recurrent glioma pairs and single-cell study of a multi-centric glioblastoma reveal association between elevated TAMo and glioma mesenchymal transformation. Further analyses identify FOSL2 as a TAMo master regulator and demonstrates that FOSL2-EREG/AREG-EGFR signaling axis promotes glioma invasion in vitro. Collectively, we identify TAMo in tumor microenvironment and reveal its driving role in activating EGFR signaling to shape glioma evolution.</t>
  </si>
  <si>
    <t>the study was conducted in Glioma patients</t>
  </si>
  <si>
    <t>Wu, Yingcheng; Ma, Jiaqiang; Yang, Xupeng; Nan, Fang; Zhang, Tiancheng; Ji, Shuyi; Rao, Dongning; Feng, Hua; Gao, Ke; Gu, Xixi; Jiang, Shan; Song, Guohe; Pan, Jiaomeng; Zhang, Mao; Xu, Yanan; Zhang, Shu; Fan, Yihui; Wang, Xiaoying; Zhou, Jian; Yang, Li; Fan, Jia; Zhang, Xiaoming; Gao, Qiang</t>
  </si>
  <si>
    <t>Neutrophil profiling illuminates anti-tumor antigen-presenting potency</t>
  </si>
  <si>
    <t>https://doi.org/10.1016/j.cell.2024.02.005</t>
  </si>
  <si>
    <t>Summary Neutrophils, the most abundant and efficient defenders against pathogens, exert opposing functions across cancer types. However, given their short half-life, it remains challenging to explore how neutrophils adopt specific fates in cancer. Here, we generated and integrated single-cell neutrophil transcriptomes from 17 cancer types (225 samples from 143 patients). Neutrophils exhibited extraordinary complexity, with 10 distinct states including inflammation, angiogenesis, and antigen presentation. Notably, the antigen-presenting program was associated with favorable survival in most cancers and could be evoked by leucine metabolism and subsequent histone H3K27ac modification. These neutrophils could further invoke both (neo)antigen-specific and antigen-independent T cell responses. Neutrophil delivery or a leucine diet fine-tuned the immune balance to enhance anti-PD-1 therapy in various murine cancer models. In summary, these data not only indicate the neutrophil divergence across cancers but also suggest therapeutic opportunities such as antigen-presenting neutrophil delivery.</t>
  </si>
  <si>
    <t>Lee, Yuarn-Jang; Lin, Ying-Chin; Liao, Chen-Chung; Chang, Yu-Sheng; Huang, Yu-Hui; Tsai, I.-Jung; Chen, Jin-Hua; Lin, Sheng-Hong; Lin, Yi-Fang; Hsieh, Ting-Wan; Chen, Yi-Su; Wu, Chih-Yin; Chang, Chi-Ching; Lin, Ching-Yu</t>
  </si>
  <si>
    <t>Using anti-malondialdehyde-modified peptide adduct autoantibodies in serum of taiwanese women to diagnose primary Sjogren’s syndrome</t>
  </si>
  <si>
    <t>Clinical Biochemistry</t>
  </si>
  <si>
    <t>https://doi.org/10.1016/j.clinbiochem.2022.07.002</t>
  </si>
  <si>
    <t>Background Sjogren’s syndrome (SS) is a systemic autoimmune disease featured with a dry mouth and dry eyes. Several autoantibodies, including anti-SSA, anti-SSB, antinuclear antibodies can be detected in patients with SS. Oxidation-specific epitopes (OSEs) can be formed from malondialdehyde (MDA)-modified protein adducts and trigger chronic inflammation. In this study, our purposes were used serum levels of anti-MDA-modified peptide adducts autoantibodies to evaluate predictive performance by machine learning algorithms in primary Sjögren's syndrome (pSS) and assess the association between pSS and healthy controls. Methods Three novel MDA-modified peptide adducts, including immunoglobulin (Ig) gamma heavy chain 1 (IGHG1)102–131, complement factor H (CFAH)1045–1062, and Ig heavy constant alpha 1 (IGHA1)307–327 were identified and validated. Serum levels of protein, MDA-modified protein adducts, MDA, and autoantibodies recognizing unmodified peptides and MDA-modified peptide adducts were measured. Statistically significance in correlations and odds ratios (ORs) were estimated. Results The random forest classifier utilized autoantibodies combination composed of IgM anti-IGHG1102-131, IgM anti-IGHG1102-131 MDA and IgM anti-IGHA1307-327 achieved predictive performance as an accuracy of 88.0%, a sensitivity of 93.7%, and a specificity of 84.4% which may be as potential diagnostic biomarkers to differentiate patients with pSS from rheumatoid arthritis (RA), and secondary SS in RA and HCs. Conclusions Our findings imply that low levels of IgA anti-IGHG1102-131 MDA (OR = 2.646), IgA anti-IGHG1102-131 (OR = 2.408), IgA anti-CFAH1045-1062 (OR = 2.571), and IgA anti-IGHA1307-327 (OR = 2.905) may denote developing risks of pSS, respectively.</t>
  </si>
  <si>
    <t>The study focuses exclusively on Sjögren’s Syndrome (SS) and Rheumatoid Arthritis (RA). There is zero data or validation pertaining to Human Non-Small Cell Lung Cancer (NSCLC).</t>
  </si>
  <si>
    <t>Nguyen, Thuy Trang; Nguyen, Thi Thuy Dung; Ta, Qui Thanh Hoai; Vo, Van Giau</t>
  </si>
  <si>
    <t>Advances in non and minimal-invasive transcutaneous delivery of immunotherapy for cancer treatment</t>
  </si>
  <si>
    <t>https://doi.org/10.1016/j.biopha.2020.110753</t>
  </si>
  <si>
    <t>Cancer research has focused on figuring out what was the difference between cancer cells and the tissues within which cancer arose and developing targeted treatments for those differences. With FDA-approved treatments for more ten different cancers and more than thousand new clinical trials, immunotherapy has recently emerged as the most promising area of cancer research by improving efficacy and controlling the adverse effects. Transcutaneous delivery drug delivery offers a number of advantages for the patient because of not only its noninvasive and convenient nature but also factors such as avoidance of first-pass metabolism and prevention of gastrointestinal degradation. The purpose of this review was to highlight technological recent approaches to non and minimal-invasive delivery of immunotherapy for cancer treatment. Finally, some practical considerations and discussions for future studies in the field of transdermal immunomodulation are also included.</t>
  </si>
  <si>
    <t>Review Article (Narrative review/Perspective on delivery technology).</t>
  </si>
  <si>
    <t>Benci, Joseph L.; Johnson, Lexus R.; Choa, Ruth; Xu, Yuanming; Qiu, Jingya; Zhou, Zilu; Xu, Bihui; Ye, Darwin; Nathanson, Katherine L.; June, Carl H.; Wherry, E. John; Zhang, Nancy R.; Ishwaran, Hemant; Hellmann, Matthew D.; Wolchok, Jedd D.; Kambayashi, Taku; Minn, Andy J.</t>
  </si>
  <si>
    <t>Opposing Functions of Interferon Coordinate Adaptive and Innate Immune Responses to Cancer Immune Checkpoint Blockade</t>
  </si>
  <si>
    <t>https://doi.org/10.1016/j.cell.2019.07.019</t>
  </si>
  <si>
    <t>Summary Interferon-gamma (IFNG) augments immune function yet promotes T cell exhaustion through PDL1. How these opposing effects are integrated to impact immune checkpoint blockade (ICB) is unclear. We show that while inhibiting tumor IFNG signaling decreases interferon-stimulated genes (ISGs) in cancer cells, it increases ISGs in immune cells by enhancing IFNG produced by exhausted T cells (TEX). In tumors with favorable antigenicity, these TEX mediate rejection. In tumors with neoantigen or MHC-I loss, TEX instead utilize IFNG to drive maturation of innate immune cells, including a PD1+TRAIL+ ILC1 population. By disabling an inhibitory circuit impacting PD1 and TRAIL, blocking tumor IFNG signaling promotes innate immune killing. Thus, interferon signaling in cancer cells and immune cells oppose each other to establish a regulatory relationship that limits both adaptive and innate immune killing. In melanoma and lung cancer patients, perturbation of this relationship is associated with ICB response independent of tumor mutational burden.</t>
  </si>
  <si>
    <t>Oh, David Y.; Kwek, Serena S.; Raju, Siddharth S.; Li, Tony; McCarthy, Elizabeth; Chow, Eric; Aran, Dvir; Ilano, Arielle; Pai, Chien-Chun Steven; Rancan, Chiara; Allaire, Kathryn; Burra, Arun; Sun, Yang; Spitzer, Matthew H.; Mangul, Serghei; Porten, Sima; Meng, Maxwell V.; Friedlander, Terence W.; Ye, Chun Jimmie; Fong, Lawrence</t>
  </si>
  <si>
    <t>Intratumoral CD4+ T Cells Mediate Anti-tumor Cytotoxicity in Human Bladder Cancer</t>
  </si>
  <si>
    <t>https://doi.org/10.1016/j.cell.2020.05.017</t>
  </si>
  <si>
    <t>Summary Responses to anti-PD-1 immunotherapy occur but are infrequent in bladder cancer. The specific T cells that mediate tumor rejection are unknown. T cells from human bladder tumors and non-malignant tissue were assessed with single-cell RNA and paired T cell receptor (TCR) sequencing of 30,604 T cells from 7 patients. We find that the states and repertoires of CD8+ T cells are not distinct in tumors compared with non-malignant tissues. In contrast, single-cell analysis of CD4+ T cells demonstrates several tumor-specific states, including multiple distinct states of regulatory T cells. Surprisingly, we also find multiple cytotoxic CD4+ T cell states that are clonally expanded. These CD4+ T cells can kill autologous tumors in an MHC class II-dependent fashion and are suppressed by regulatory T cells. Further, a gene signature of cytotoxic CD4+ T cells in tumors predicts a clinical response in 244 metastatic bladder cancer patients treated with anti-PD-L1.</t>
  </si>
  <si>
    <t>While the research employs high-fidelity methods like scRNA-seq and TCR-seq to identify tumor-specific T cell states, it exclusively focuses on bladder cancer, not the required NSCLC cohort</t>
  </si>
  <si>
    <t>Aspeslagh, S.; Morel, D.; Soria, J.-C.; Postel-Vinay, S.</t>
  </si>
  <si>
    <t>Epigenetic modifiers as new immunomodulatory therapies in solid tumours</t>
  </si>
  <si>
    <t>https://doi.org/10.1093/annonc/mdy050</t>
  </si>
  <si>
    <t>Background Immune therapies have revolutionized cancer treatment over the last few years by allowing improvements in overall survival. However, the majority of patients is still primary or secondary resistant to such therapies, and enhancing sensitivity to immune therapies is therefore crucial to improve patient outcome. Several recent lines of evidence suggest that epigenetic modifiers have intrinsic immunomodulatory properties, which could be of therapeutic interest. Material and methods We reviewed preclinical evidence and clinical studies which describe or exploit immunomodulatory properties of epigenetic agents. Experimental approaches, clinical applicability and corresponding ongoing clinical trials are described. Results Several epigenetic modifiers, such as histone deacetylase inhibitors, DNA methyl transferase inhibitors, bromodomain inhibitors, lysine-specific histone demethylase 1 inhibitors and enhancer of zeste homolog 2 inhibitors, display intrinsic immunomodulatory properties. The latter can be achieved through the action of these drugs either on cancer cells (e.g. presentation and generation of neoantigens, induction of immunogenic cell death, modulation of cytokine secretion), on immune cells (e.g. linage, differentiation, activation status and antitumor capability), or on components of the microenvironment (e.g. regulatory T cells and macrophages). Several promising combinations, notably with immune checkpoint blockers or adoptive T-cell therapy, can be envisioned. Dedicated clinically relevant approaches for patient selection and trial design will be required to optimally develop such combinations. Conclusion In an era where immune therapies are becoming a treatment backbone in many tumour types, epigenetic modifiers could play a crucial role in modulating tumours’ immunogenicity and sensitivity to immune agents. Optimal trial design, including window of opportunity trials, will be key in the success of this approach, and clinical evaluation is ongoing.</t>
  </si>
  <si>
    <t>it exclusively focuses on bladder cancer, not the required NSCLC cohort</t>
  </si>
  <si>
    <t>Yokoi, Akira; Ochiya, Takahiro</t>
  </si>
  <si>
    <t>Exosomes and extracellular vesicles: Rethinking the essential values in cancer biology</t>
  </si>
  <si>
    <t>Seminars in Cancer Biology</t>
  </si>
  <si>
    <t>https://doi.org/10.1016/j.semcancer.2021.03.032</t>
  </si>
  <si>
    <t>Extracellular vesicles (EVs) such as exosomes are released by all living cells and contain diverse bioactive molecules, including nucleic acids, proteins, lipids, and metabolites. Accumulating evidence of EV-related functions has revealed that these tiny vesicles can mediate specific cell-to-cell communication. Within the tumor microenvironment, diverse cells are actively interacting with their surroundings via EVs facilitating tumor malignancy by regulating malignant cascades including angiogenesis, immune modulation, and metastasis. This review summarizes the recent studies of fundamental understandings of EVs from the aspect of EV heterogeneity and highlights the role of EVs in the various steps from oncogenic to metastatic processes. The recognition of EV subtypes is necessary to identify which pathways can be affected by EVs and which subtypes can be targeted in therapeutic approaches or liquid biopsies.</t>
  </si>
  <si>
    <t>Narrative review of extracellular vesicle (EV) biology and heterogeneity).</t>
  </si>
  <si>
    <t>Zhao, Zheng; Chen, Mingkai; Sun, Kuanxue; Gu, Xinqi</t>
  </si>
  <si>
    <t>CD8+ T cell associated scoring model helps prognostic diagnosis and immunotherapy selection in patients with colon adenocarcinoma</t>
  </si>
  <si>
    <t>https://doi.org/10.1016/j.heliyon.2024.e37998</t>
  </si>
  <si>
    <t>Objective T cell-mediated immunity plays a crucial role in the immune response against tumors, with CD 8+ T cells playing a leading role in the eradication of cancer cells. Material and methods A total of 5 datasets were included in this study. Single cell transcriptome data were used to discover CD8+ T cell marker genes, and Bulk transcriptome data from TCGA and GEO were jointly analyzed to screen candidate prognostic genes. lasso regression was performed to construct prognostic models. Immunotherapy cohort (IMvigor 210 and GSE78220) was applied to validate the diagnostic power of markers. Result Single-cell transcriptome data identified 65 CD8+ T cell marker genes, highlighting their importance in T cell-mediated immune responses. Among these, 11 genes were identified as CD8+ T-associated differential genes through analysis of bulk data from TCGA and GEO. A prognostic model for 5 genes was identified based on Lasso regression, dividing colon adenocarcinoma (COAD) patients into high- and low-risk groups. This model exhibited higher prognostic accuracy compared to traditional clinicopathological characteristics (age, pathological stage, histological grading). Moreover, the risk score derived from this model successfully differentiated patient responses to immunotherapy, as validated in the IMvigor 210 and GSE78220 cohorts. Conclusion Our research introduces a novel prognostic signature based on CD8+ T cell marker genes, demonstrating significant predictive power for prognosis and immunotherapy response in COAD patients. This model offers a potential tool for improving patient stratification and personalizing treatment strategies.</t>
  </si>
  <si>
    <t>The primary focus and derivation of the prognostic model are based on Colon Adenocarcinoma (COAD) patients</t>
  </si>
  <si>
    <t>You, Rui; Zou, Xiong; Ding, Xi; Zhang, Wei-Jing; Zhang, Meng-Xia; Wang, Xiao; Xu, Han-Shi; Liu, Yong-Long; Ouyang, Yan-Feng; Duan, Chong-Yang; Gu, Chen-Mei; Wang, Zhi-Qiang; Liu, You-Ping; Hua, Yi-Jun; Huang, Pei Yu; Chen, Ming-Yuan</t>
  </si>
  <si>
    <t>Gemcitabine combined with apatinib and toripalimab in recurrent or metastatic nasopharyngeal carcinoma</t>
  </si>
  <si>
    <t>Med</t>
  </si>
  <si>
    <t>https://doi.org/10.1016/j.medj.2022.07.009</t>
  </si>
  <si>
    <t>Summary Background The role of a triple combination of gemcitabine (chemotherapy) plus apatinib (anti-vascular endothelial growth factor [VEGFR]) and toripalimab (anti-PD-1) (GAT) in recurrent/metastatic nasopharyngeal carcinoma (RM-NPC) is unclear. Methods Between August 2019 and April 2020, 41 patients with RM-NPC were enrolled and received GAT for up to 6 cycles followed by apatinib and toripalimab. The primary endpoint was the safety. The secondary endpoints included the objective response rate (ORR) and progression-free survival (PFS). Integrated genomic and transcriptional analyses were conducted to identify the patients who benefited in response to this novel combination therapy. Findings As of April 1, 2022, treatment-related grade 3 or 4 adverse events (AEs) occurred in 23 of 41 patients (56.1%, 95% confidence interval [CI] 41%–70.1%). G3-4 nasopharyngeal necrosis was observed in 9 (9/41, 21.9%) patients. High-risk factors for necrosis included repeated radiotherapy and an interval of less than 12 months from the last radiotherapy. The ORR was 90.2% (95% CI: 76.9%–97.2%). The median PFS was 25.8 months (95% CI: not reached (NR)-NR), and the 24-month PFS rate was 50.7% (95% CI: 34.0%–67.4%). MAS-related GPR family member F (MRGPRF) high expression in tumors correlated with poor PFS from the GAT therapy, characterized by high epithelial mesenchymal transition signatures. Serial circulating tumor DNA (ctDNA) sequencing could predict PFS outcomes to combination therapy. Conclusions GAT therapy exhibits a promising antitumor activity and manageable toxicities in patients with RM-NPC. Patients with repeated radiotherapy and an interval of less than 12 months from the last radiotherapy should be carefully selected for antiangiogenic therapies. MRGPRF expression and serial ctDNA monitoring could identify patients that derive benefits from the combination therapy. Trial Registration ClinicalTrials.gov: NCT04073784. Funding This research was funded by the National Natural Science Foundation of China (nos. 81772895 and 82002857), the Key-Area Research and Development of Guangdong Province (2020B1111190001), the Special Support Program for High-level Talents in Sun Yat-sen University Cancer Center, the Guangzhou Science and Technology Plan Project (202103010001), and the National "Ten Thousand Talents Program" Science and Technology Innovation Leading Talents (84000-41180005).</t>
  </si>
  <si>
    <t>The study focuses exclusively on Nasopharyngeal Carcinoma (RM-NPC).</t>
  </si>
  <si>
    <t>Otter, S. J.; Chatterjee, J.; Stewart, A. J.; Michael, A.</t>
  </si>
  <si>
    <t>The Role of Biomarkers for the Prediction of Response to Checkpoint Immunotherapy and the Rationale for the Use of Checkpoint Immunotherapy in Cervical Cancer</t>
  </si>
  <si>
    <t>Clinical Oncology</t>
  </si>
  <si>
    <t>https://doi.org/10.1016/j.clon.2019.07.003</t>
  </si>
  <si>
    <t>Checkpoint immunotherapy has revolutionised the way that melanoma is treated and has also shown significant effectiveness in lung, bladder, renal, and head and neck cancers. At the present time, trials of checkpoint immunotherapy in cervical cancer are at early phases, but there is very good rationale for pursuing this as a treatment option, especially as cervical cancer is a virally driven cancer and therefore should be recognised by the immune system as being foreign. This review explores the biomarkers for the selection of patients for immunotherapy in other cancers, such as programmed death ligand 1 (PD-L1) expression, tumour infiltrating lymphocytes and total mutational burden, and relates these biomarkers to cervical cancer. A PubMed search was carried out for publications published in English with the terms ‘immunotherapy’ OR ‘cervical cancer’ OR ‘checkpoint blockade’ OR ‘tumour infiltrating lymphocytes’ OR ‘total mutational burden’. Articles that met these criteria and were available on PubMed before 8 October 2018 were included. The results showed that PD-L1 is positive in up to 90% of cervical cancers and that the total mutational burden is moderately high, with 5–6 mutations per megabase. In addition, the tumour microenvironment in cervical cancer has an impact on prognosis, with higher ratios of CD8+ tumour infiltrating lymphocytes to CD4+ T regulatory cells being associated with improved survival. Clinical studies to date have shown the response rate of cervical cancer to checkpoint immunotherapy to be in the region to 10–25%. Cervical cancer exhibits many of the features that have been shown to be correlated with response to checkpoint immunotherapy in other tumour sites. However, response rates to date are in the region of 10–25%. Therefore, combinations of immunotherapeutic agents or checkpoint inhibitors with radiotherapy may be required to maximise the therapeutic benefit of harnessing the host immune system to fight cancer.</t>
  </si>
  <si>
    <t>The primary focus is on Cervical Cancer. While it mentions NSCLC, bladder, and renal cancers for context, it does not provide original data or a primary cohort analysis of Human Non-Small Cell Lung Cancer (NSCLC).</t>
  </si>
  <si>
    <t>Beier, Verena; Wink, Michael; Samstag, Yvonne</t>
  </si>
  <si>
    <t>Plant-derived immunomodulators in cancer: Balancing immune activation and suppression within the tumor microenvironment</t>
  </si>
  <si>
    <t>Advances in Biological Regulation</t>
  </si>
  <si>
    <t>https://doi.org/10.1016/j.jbior.2025.101132</t>
  </si>
  <si>
    <t>The immune system is central to the prevention and control of cancer, yet tumors evolve multiple strategies to subvert immune surveillance. Checkpoint inhibitors targeting CTLA-4, PD-1, and PD-L1 have revolutionized oncology by demonstrating that therapeutic restoration of T cell activity can yield durable remissions. However, their efficacy remains limited by the profoundly immunosuppressive tumor microenvironment (TME), where regulatory immune cells, suppressive cytokines, and metabolic stressors converge to dampen effector function. As interest in integrative and complementary approaches grows, plant-derived compounds - long used in traditional medicine - have been identified as bioactive agents capable of modulating immune function. This review focuses on three key phytochemicals: piperlongumine, berberine, and epigallocatechin gallate (EGCG). Piperlongumine, a pro-oxidative alkaloid from Piper longum, suppresses T cell activation and promotes regulatory T cell differentiation, suggesting potential for chronic inflammation but raising caution in oncology. Berberine, an isoquinoline alkaloid from Berberis vulgaris, reduces PD-L1 expression via CSN5 inhibition, thereby mimicking checkpoint blockade and enhancing cytotoxic T cell activity in preclinical models. EGCG, the major polyphenol in green tea, downregulates PD-L1 expression and augments anti-tumor immunity in murine melanoma. We critically assess the promise and pitfalls of these compounds in cancer immunotherapy, emphasizing mechanistic insights, pharmacokinetics, translational hurdles, and potential risks of interfering with established therapies. A precision immunology framework - integrating immune monitoring, patient stratification, and controlled clinical trials - will be essential to determine whether phytochemicals can be safely and effectively incorporated into oncology. Far from being benign, plant-derived agents exert potent immune effects that could either complement or compromise modern immunotherapy, underscoring the need for rigorous evaluation.</t>
  </si>
  <si>
    <t>The paper focuses on PD-L1 expression and general T cell activation/differentiation and its a review</t>
  </si>
  <si>
    <t>Khawar, Muhammad Babar; Afzal, Ali; Abbasi, Muddasir Hassan; Sheikh, Nadeem; Sun, Haibo</t>
  </si>
  <si>
    <t>Nano-immunoengineering of CAR-T cell therapy against tumor microenvironment: The way forward in combating cancer</t>
  </si>
  <si>
    <t>OpenNano</t>
  </si>
  <si>
    <t>https://doi.org/10.1016/j.onano.2023.100124</t>
  </si>
  <si>
    <t>Chimeric antigen receptor (CAR) T cell treatment is an emerging subject following its curative response in hematological metastasis. However, solid tumors present a number of obstructions which have been a bull's eye to steer the CARs toward another victory in solid tumor microenvironment (TME). To combat against solid tumors, the construction, transfection and delivery of CARs is obliged to nano-engineering for better results and success in clinical trials. Herein, in this minireview, we discuss some of the potential and novel applications of nanotechnology to engineer better performing CARs to target solid TME. Moreover, we highlight potential gaps and strategies to overcome for future advancements in nano immunoengineering.</t>
  </si>
  <si>
    <t>The objective is to summarize nanotechnology applications for the "construction, transfection, and delivery" of CAR-T cells</t>
  </si>
  <si>
    <t>Ye, Kai; Li, Fan; Wang, Ruikun; Cen, Tianyi; Liu, Shiyu; Zhao, Zhuoqian; Li, Ruonan; Xu, Lili; Zhang, Guanmeng; Xu, Zhaoyuan; Deng, Li; Li, Lili; Wang, Wei; Stepanov, Alexey; Wan, Yajuan; Guo, Yu; Li, Yuanke; Wang, Yuan; Tian, Yujie; Gabibov, Alexander G.; Yan, Yingbin; Zhang, Hongkai</t>
  </si>
  <si>
    <t>An armed oncolytic virus enhances the efficacy of tumor-infiltrating lymphocyte therapy by converting tumors to artificial antigen-presenting cells in situ</t>
  </si>
  <si>
    <t>https://doi.org/10.1016/j.ymthe.2022.06.010</t>
  </si>
  <si>
    <t>The full potential of tumor-infiltrating lymphocyte (TIL) therapy has been hampered by the inadequate activation and low persistence of TILs, as well as inefficient neoantigen presentation by tumors. We transformed tumor cells into artificial antigen-presenting cells (aAPCs) by infecting them with a herpes simplex virus 1 (HSV-1)-based oncolytic virus encoding OX40L and IL12 (OV-OX40L/IL12) to provide local signals for optimum T cell activation. The infected tumor cells displayed increased expression of antigen-presenting cell-related markers and induced enhanced T cell activation and killing in coculture with TILs. Combining OV-OX40L/IL12 and TIL therapy induced complete tumor regression in patient-derived xenograft and syngeneic mouse tumor models and elicited an antitumor immunological memory. In addition, the combination therapy produced aAPC properties in tumor cells, activated T cells, and reprogrammed macrophages to a more M1-like phenotype in the tumor microenvironment. This combination strategy unleashes the full potential of TIL therapy and warrants further evaluation in clinical studies.</t>
  </si>
  <si>
    <t>Kono, Michihisa; Yamaki, Hidekiyo; Komatsuda, Hiroki; Kumai, Takumi; Hayashi, Ryusuke; Wakisaka, Risa; Sato, Ryosuke; Ohara, Kenzo; Kishibe, Kan; Takahara, Miki; Katada, Akihiro; Hayashi, Tatsuya; Harabuchi, Yasuaki</t>
  </si>
  <si>
    <t>IL-2 complex recovers steroid-induced inhibition in immunochemotherapy for head and neck cancer</t>
  </si>
  <si>
    <t>https://doi.org/10.1016/j.tranon.2022.101358</t>
  </si>
  <si>
    <t>Background: A combination therapy with immune checkpoint inhibitors (ICIs) and platinum-based chemotherapy has become the first-line treatment for recurrent or metastatic head and neck squamous carcinoma (HNSCC). Although steroids are often used as anti-emetic medications during chemotherapy, their adverse effects on immune-combined chemotherapy are unclear in HNSCC. Methods: The effects of dexamethasone on tumor growth and immune cell population were evaluated in a mouse HNSCC model treated with PD-1 blockade combined with cisplatin. The effect of various doses of dexamethasone on cell proliferation, survival, surface markers, IFN-γ production, and antitumor effects in antigen-specific T cells was examined in vitro. The recovery of T cell dysfunction by IL-2 was assessed in vitro and in vivo. Results: In a mouse HNSCC model, dexamethasone showed limited antitumor effects on immunochemotherapy. Dexamethasone decreased the number of T cells and inhibited T cell differentiation into effector and central memory T cells. In the in vitro assessment, dexamethasone induced cell death, limited proliferation, and reduced the reactivity against HNSCC cell lines of antigen-specific T cells in a dose-dependent manner. The expression of inhibitory receptors on T cells was not affected by steroids. This inhibition was recovered by IL-2 and IL-2/anti-IL-2 complexes (IL-2 Cx) in vitro and in vivo, respectively. Conclusion: Our preclinical data indicate that dexamethasone diminishes the antitumor effects of immunochemotherapy in patients with HNSCC. IL-2 Cx recovered the inhibition of antitumor immunity by steroids and might be a potent immune adjuvant for patients who require steroids during PD-1 blockade and chemotherapy.</t>
  </si>
  <si>
    <t>its about metastatic head and neck squamous carcinoma (HNSCC)</t>
  </si>
  <si>
    <t>Tcyganov, Evgenii N.; Sanseviero, Emilio; Marvel, Douglas; Beer, Thomas; Tang, Hsin-Yao; Hembach, Peter; Speicher, David W.; Zhang, Qianfei; Donthireddy, Laxminarasimha R.; Mostafa, Ali; Tsyganova, Sabina; Pisarev, Vladimir; Laufer, Terri; Ignatov, Dmitriy; Ferrone, Soldano; Meyer, Christiane; Hajjami, Hélène Maby-El; Speiser, Daniel E.; Altiok, Sooner; Antonia, Scott; Xu, Xiaowei; Xu, Wei; Zheng, Cathy; Schuchter, Lynn M.; Amaravadi, Ravi K.; Mitchell, Tara C.; Karakousis, Giorgos C.; Yuan, Zhe; Montaner, Luis J.; Celis, Esteban; Gabrilovich, Dmitry I.</t>
  </si>
  <si>
    <t>Peroxynitrite in the tumor microenvironment changes the profile of antigens allowing escape from cancer immunotherapy</t>
  </si>
  <si>
    <t>https://doi.org/10.1016/j.ccell.2022.09.001</t>
  </si>
  <si>
    <t>Summary Cancer immunotherapy often depends on recognition of peptide epitopes by cytotoxic T lymphocytes (CTLs). The tumor microenvironment (TME) is enriched for peroxynitrite (PNT), a potent oxidant produced by infiltrating myeloid cells and some tumor cells. We demonstrate that PNT alters the profile of MHC class I bound peptides presented on tumor cells. Only CTLs specific for PNT-resistant peptides have a strong antitumor effect in vivo, whereas CTLs specific for PNT-sensitive peptides are not effective. Therapeutic targeting of PNT in mice reduces resistance of tumor cells to CTLs. Melanoma patients with low PNT activity in their tumors demonstrate a better clinical response to immunotherapy than patients with high PNT activity. Our data suggest that intratumoral PNT activity should be considered for the design of neoantigen-based therapy and also may be an important immunotherapeutic target.</t>
  </si>
  <si>
    <t>Huynh, Nhan; Nguyen, Thu-My Thi; Bui, Ngoc Thi; Nguyen, Hoai-Nghia; Nguyen, Cuong Thach</t>
  </si>
  <si>
    <t>A KRASG12V-targeted bispecific T cell engager promotes immunity against colorectal solid tumor</t>
  </si>
  <si>
    <t>Molecular Therapy Oncology</t>
  </si>
  <si>
    <t>https://doi.org/10.1016/j.omton.2025.201098</t>
  </si>
  <si>
    <t>Kirsten rat sarcoma viral oncogene homolog (KRAS) mutations have been detected at high rates in various tumor types, making them one of the most commonly mutated oncogenes. Limited relevant binding pockets have rendered these mutants undruggable for many decades, particularly the KRASG12V mutant. Recent advances in T cell receptor (TCR) profiling have provided a new strategy for overcoming this limitation by recognizing neoantigens presented by human lymphocyte antigen (HLA) and inducing T cell-mediated killing responses. Using the previously identified KRASG12V-targeting TCR, we engineered bispecific T cell engager receptors (TCERs) with high efficiency and specificity for the KRASG12V/HLA-A∗11:01 tetramer. Specifically, TCER01 and TCER02 effectively induced T cell-mediated tumor killing in 2D and 3D in vitro models of solid colorectal tumor cells. The binding and functional assessment of TCER01 and TCER02 exhibited high specificity for the KRASG12V 9-mer peptide while showing minimal cross-reactivity to other homologs. TCER01 activity is unique for HLA-A∗11:01, which is distinct from other KRASG12V-presenting HLAs. Our study proposes a potential new therapeutic option for KRASG12V colorectal cancer and extends our knowledge for developing TCER-based tumor immunotherapies.</t>
  </si>
  <si>
    <t>The study focuses exclusively on Colorectal Cancer (CRC) cell lines and models.</t>
  </si>
  <si>
    <t>Rios-Hoyo, A.; Dai, J.; Noel, T.; Blenman, K. R. M.; Park, T.; Pusztai, L.</t>
  </si>
  <si>
    <t>Immune-related adverse events are associated with better event-free survival in a phase I/II clinical trial of durvalumab concomitant with neoadjuvant chemotherapy in early-stage triple-negative breast cancer</t>
  </si>
  <si>
    <t>https://doi.org/10.1016/j.esmoop.2025.104494</t>
  </si>
  <si>
    <t>Background Immune-related adverse events (irAEs) have been associated with improved outcomes in different tumors; however, their impact during neoadjuvant immune checkpoint inhibitor therapy and chemotherapy in triple-negative breast cancer (TNBC) remains unknown. Patients and methods This analysis included patients from a phase I/II single-arm clinical trial at Yale Cancer Center and its regional care centers. The study was conducted from December 2015 to December 2020. Eligible patients were adults aged ≥18 years with clinical stage I-III TNBC for whom systemic chemotherapy was indicated. Patients received durvalumab concomitant with nab-paclitaxel and dose-dense doxorubicin–cyclophosphamide. Durvalumab was not administered post-operatively. We examined the association of developing an irAE with pathologic complete response (pCR = ypT0/is, ypN0), residual cancer burden (RCB), event-free survival (EFS), and overall survival (OS). A landmark analysis from the time of surgery was also carried out. Results A total of 67 patients were eligible for toxicity and efficacy analysis; of these, 27 had irAEs of any grade and 13 had multiple irAEs. The median follow-up was 61 months (range 6.8-94.03 months). The most frequent irAEs were dermatologic (n = 14), endocrine (n = 13), and gastrointestinal (n = 5). Patients who experienced irAEs achieved a pCR or RCB 0-1 rate of 56% and 73%, respectively, compared with 40% and 55% in those without irAEs (P = 0.309 and 0.19). Development of irAE was also associated with significantly improved EFS [hazard ratio (HR) 0.25; 95% confidence interval (CI) 0.09-0.66, P = 0.024] and a trend for improved OS (HR 0.42; 95% CI 0.14-1.27, P = 0.17). Patients with more than one irAE had no EFS events. The landmark analysis showed similar results (EFS HR 0.19, P = 0.014; OS HR 0.4, P = 0.16). Conclusions The development of irAE was associated with numerically improved pCR rates, lower RCB, and significantly higher EFS in patients treated with neoadjuvant immune checkpoint therapy plus chemotherapy.</t>
  </si>
  <si>
    <t>The study focuses exclusively on Triple-Negative Breast Cancer (TNBC). Your protocol is strictly limited to Human Non-Small Cell Lung Cancer (NSCLC).</t>
  </si>
  <si>
    <t>Yan, Xiaolong; Duan, Hongtao; Ni, Yunfeng; Zhou, Yongan; Wang, Xiaoping; Qi, Haini; Gong, Li; Liu, Honggang; Tian, Feng; Lu, Qiang; Sun, Jianyong; Yang, Ende; Zhong, Daixing; Wang, Tao; Huang, Lijun; Wang, Jian; chaoyang Wang; Wang, Yuanyong; Wan, Zhiyi; Lei, Jie; Zhao, Jinbo; Jiang, Tao</t>
  </si>
  <si>
    <t>Tislelizumab combined with chemotherapy as neoadjuvant therapy for surgically resectable esophageal cancer: A prospective, single-arm, phase II study (TD-NICE)</t>
  </si>
  <si>
    <t>International Journal of Surgery</t>
  </si>
  <si>
    <t>https://doi.org/10.1016/j.ijsu.2022.106680</t>
  </si>
  <si>
    <t>Background Clinical benefit of neoadjuvant immunotherapy in resectable esophageal squamous cell carcinoma (ESCC). remains unclear. This study evaluated the efficacy and safety of the programmed death 1 (PD-1) inhibitor tislelizumab combined with chemotherapy as neoadjuvant therapy in patients with resectable ESCC. Methods Treatment-naïve patients were enrolled and eligible patients received 3 cycles of neoadjuvant therapy with tislelizumab, carboplatin, and nab-paclitaxel. The primary endpoint was surgery patients major pathological response (MPR). Subgroup analysis was stratified by tumor downstaging, circumferential resection margin (CRM), PD-ligand 1 (PD-L1) expression, and tumor mutation burden (TMB). Safety was assessed by adverse events (AEs) and postoperative complications. Results Between September 2020 and March 2021, 45 patients were enrolled. Thirty-six (80.0%) of 45 patients underwent surgery, and 29 (80.5%) underwent successful R0 resection. MPR and pathological complete response (pCR) for surgery patients were 72.0% and 50.0%, respectively. Intention to treatment (ITT) patients MPR and PCR were 57.5% and 40%. Downgrading occurred in 75% of 36 patients. MPR and pCR were identified to be associated with tumor downstaging and CRM but not PD-L1 expression or TMB. TPS levels in MPR and pCR group were significantly higher than that in Non-MPR and Non-pCR group, respectively. Treatment-related AEs of grade 3–4 and immune-related AEs occurred in 42.2% and 22.2% of 45 patients, respectively, and postoperative complications occurred in 77.8% of 36 patients. No treatment-related surgical delay or death occurred. No associations between gene mutation and pathological efficacy were observed. Conclusions Tislelizumab plus chemotherapy as neoadjuvant therapy demonstrates promising antitumor activity for resectable ESCC with high rates of MPR, pCR, and R0 resection, as well as acceptable tolerability.</t>
  </si>
  <si>
    <t>The study focuses exclusively on Esophageal Squamous Cell Carcinoma (ESCC)</t>
  </si>
  <si>
    <t>Zhai, Wen-Yu; Duan, Fang-Fang; Wang, Yi-Zhi; Wang, Jun-Ye; Zhao, Ze-Rui; Lin, Yao-Bin; Rao, Bing-Yu; Chen, Si; Zheng, Lie; Long, Hao</t>
  </si>
  <si>
    <t>Integrative Analysis of Bioinformatics and Machine Learning Algorithms Identifies a Novel Diagnostic Model Based on Costimulatory Molecule for Predicting Immune Microenvironment Status in Lung Adenocarcinoma</t>
  </si>
  <si>
    <t>The American Journal of Pathology</t>
  </si>
  <si>
    <t>https://doi.org/10.1016/j.ajpath.2022.06.015</t>
  </si>
  <si>
    <t>Costimulatory molecules are an indispensable signal for activating immune cells. However, the features of many costimulatory molecule genes (CMGs) in lung adenocarcinoma (LUAD) are poorly understood. This study systematically explored expression patterns of CMGs in the tumor immune microenvironment (TIME) status of patients with LUAD. Their expression profiles were downloaded from The Cancer Genome Atlas and the Gene Expression Omnibus databases. Two robust TIME subtypes (“hot” and “cold”) were classified by K-means clustering and estimation of stromal and immune cells in malignant tumor tissues using expression data. The “hot” subtype presented higher infiltration in activated immune cells and enrichments in the immune cell receptor signaling pathway and adaptive immune response. Three CMGs (CD80, LTB, and TNFSF8) were screened as final diagnostic markers by means of Least Absolute Shrinkage Selection Operator and Support Vector Machine–Recursive Feature Elimination algorithms. Accordingly, the diagnostic nomogram for predicting individualized TIME status showed satisfactory diagnostic accuracy in The Cancer Genome Atlas training cohort as well as GSE31210 and GSE180347 validation cohorts. Immunohistochemistry staining of 16 specimens revealed an apparently positive correlation between the expression of CMG biomarkers and pathologic response to immunotherapy. Thus, this diagnostic nomogram provided individualized predictions in TIME status of LUAD patients with good predictive accuracy, which could serve as a potential tool for identifying ideal candidates for immunotherapy.</t>
  </si>
  <si>
    <t xml:space="preserve"> The study focuses on Costimulatory Molecule Genes (CMGs), specifically CD80, LTB, and TNFSF8.</t>
  </si>
  <si>
    <t>Chriqui, Louis-Emmanuel; Abdelnour-Berchtold, Etienne; Zanfrini, Edoardo; Devesa-Perez, Severine; Gonzalez, Michel; Krueger, Thorsten; Ellefsen, Kim; Destaillats, Alice; Bonnet, David; Hübner, Martin; Bouchaab, Hasna; Bassani-Sternberg, Michal; Peters, Solange; Cavin, Sabrina; Perentes, Jean Y.</t>
  </si>
  <si>
    <t>Phase I clinical trial testing the dose escalation and expansion of Pressurized IntraThoracic Hyperthermic Aerosol Cisplatin administration (PITHAC) for the management of pleural carcinosis</t>
  </si>
  <si>
    <t>Cancer Treatment and Research Communications</t>
  </si>
  <si>
    <t>https://doi.org/10.1016/j.ctarc.2024.100858</t>
  </si>
  <si>
    <t>Background Pleural carcinosis originates from various cancers. Its management consists in systemic therapies combined to dyspnea relief procedures. Prior studies have tested hyperthermic intrathoracic chemotherapy to treat pleural carcinosis with interesting patient survival results. However, these approaches were limited by local toxicity. Pre-clinical data have shown that hyperthermia combined to local pleural chemotherapy increased the immune response against tumors. Recently, pressurized intraperitoneal aerosol chemotherapies (PIPAC) showed improved cytostatic penetration in abdominal carcinosis with a 10-fold-lower chemotherapy dose and minimal side-effects. This approach was also tested in limited numbers of patients with pleural carcinosis but never combined with hyperthermia. Methods Pressurized IntraThoracic Hyperthermic Aerosol Cisplatin (PITHAC) is an open-label dose-escalation phase I trial. Patients with pleural carcinosis, eligible for the surgical management of their pleural effusion can be enrolled. Cisplatin (7.5–12–5–35–70 mg/m2) heated at 39±1 °C is delivered into the thoracic cavity before the surgical effusion management. Initially, the study consists in a dose escalation of the four different cisplatin doses. The primary endpoint is the maximal tolerated dose of cisplatin administered by PITHAC. The secondary and translational endpoints are adverse events and the immune response directed against cancer following PITHAC. There is then an expansion phase at the recommended cisplatin dose on an additional 15 patients with identical outcomes. Discussion Pressurized intrathoracic delivery of chemotherapy under hyperthermic conditions was never tested so far. We plan to determine the safety of such an approach in patients managed for pleural carcinosis. If proven safe, PITHAC could be combined with systemic immunotherapies for the management of cancer. Trial registration ClinicalTrials.gov Identifier: NCT06281860</t>
  </si>
  <si>
    <t>Wong, Matthew K.; Barbulescu, Philip; Coburn, Bryan; Reguera-Nuñez, Elaine</t>
  </si>
  <si>
    <t>Therapeutic interventions and mechanisms associated with gut microbiota-mediated modulation of immune checkpoint inhibitor responses</t>
  </si>
  <si>
    <t>Microbes and Infection</t>
  </si>
  <si>
    <t>https://doi.org/10.1016/j.micinf.2021.104804</t>
  </si>
  <si>
    <t>The link between the gut microbiome and responsiveness to immune checkpoint inhibitor (ICI) therapy is now well established. New therapeutic opportunities exploiting this relationship are being developed with the goal of augmenting ICI efficacy. In this review, we summarize the foundational research establishing these interactions and discuss the mechanisms and novel therapeutic options associated with this gut microbiome-ICI connection.</t>
  </si>
  <si>
    <t>The focus is on the gut microbiome and its general influence on Immune Checkpoint Inhibitor (ICI) therapy.</t>
  </si>
  <si>
    <t>Marasco, Michelangelo; Kumar, Dinesh; Seale, Tessa; Borrego, Santiago Garcia; Kaplun, Esther; Aricescu, Ilinca; Cole, Soren; Qeriqi, Besnik; Qiu, Juan; Chen, Xiaoping; Bahr, Amber; Fidele, Deborah; Hofmann, Marco H.; Gerlach, Daniel; Savarese, Fabio; Merghoub, Taha; Wolchok, Jedd D.; Yao, Zhan; Stanchina, Elisa de; Solit, David; Misale, Sandra; Rosen, Neal</t>
  </si>
  <si>
    <t>Concurrent SOS1 and MEK suppression inhibits signaling and growth of NF1-null melanoma</t>
  </si>
  <si>
    <t>https://doi.org/10.1016/j.xcrm.2024.101818</t>
  </si>
  <si>
    <t>Summary Neurofibromin (NF1) is a negative regulator of RAS signaling, frequently mutated in cancer. NF1-mutant melanoma is a highly malignant tumor for which targeted therapies are lacking. 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 MEK inhibition with avutometinib abrogates the adaptive rebound in ERK signaling, but the antitumor effects are limited. However, concurrent inhibition of MEK and SOS1 abrogates ERK activation, induces cell death, and suppresses tumor growth. In contrast to the NF1-deficient setting, concurrent SOS1 and SOS2 depletion is required to completely inhibit RAS signaling in NF1 wild-type cells. In sum, our data provide a mechanistic rationale for enhancing the therapeutic efficacy of MEK inhibitors by exploiting the lower residual SOS activity in NF1-null tumor cells.</t>
  </si>
  <si>
    <t xml:space="preserve">The study focuses exclusively on Melanoma (NF1-mutant and NF1-null subtypes). </t>
  </si>
  <si>
    <t>Davar, Diwakar; Morrison, Robert M.; Dzutsev, Amiran K.; Karunamurthy, Arivarasan; Chauvin, Joe-Marc; Amatore, Florent; Deutsch, Julie S.; Neves, Rodrigo X. Das; Rodrigues, Richard R.; McCulloch, John A.; Wang, Hong; Hartman, Douglas J.; Badger, Jonathan H.; Fernandes, Miriam R.; Bai, Yulong; Sun, Jie; Cole, Alicia M.; Aggarwal, Poonam; Fang, Jennifer R.; Deitrick, Christopher; Bao, Riyue; Duvvuri, Umamaheswar; Sridharan, Shaum S.; Kim, Seungwon W.; Choudry, Haroon A.; Holtzman, Matthew P.; Pingpank, James F.; O'Toole, James Patrick; DeBlasio, Richelle; Jin, Yang; Ding, Quanquan; Gao, Wentao; Groetsch, Christopher; Pagliano, Ornella; Rose, Amy; Urban, Corey; Singh, Jagjit; Divarkar, Prajan; Mauro, David; Bobilev, Dmitri; Wooldridge, James; Krieg, Arthur M.; Fury, Matthew G.; Whiteaker, Jeffrey R.; Zhao, Lei; Paulovich, Amanda G.; Najjar, Yana G.; Luke, Jason J.; Kirkwood, John M.; Taube, Janis M.; Park, Hyun Jung; Trinchieri, Giorgio; Zarour, Hassane M.</t>
  </si>
  <si>
    <t>Neoadjuvant vidutolimod and nivolumab in high-risk resectable melanoma: A prospective phase II trial</t>
  </si>
  <si>
    <t>https://doi.org/10.1016/j.ccell.2024.10.007</t>
  </si>
  <si>
    <t>Summary Intratumoral TLR9 agonists and anti-PD-1 produce clinical responses and broad immune activation. We conducted a single-arm study of neoadjuvant TLR9 agonist vidutolimod combined with anti-PD-1 nivolumab in high-risk resectable melanoma. In 31 evaluable patients, 55% major pathologic response (MPR) was observed, meeting primary endpoint. MPR was associated with necrosis, and melanophagocytosis with increased CD8+ tumor-infiltrating lymphocytes and plasmacytoid dendritic cells (pDCs) in the tumor microenvironment, and increased frequencies of Ki67+CD8+ T cells peripherally. MPRs had an enriched pre-treatment gene signature of myeloid cells, and response to therapy was associated with gene signatures of immune cells, pDCs, phagocytosis, and macrophage activation. MPRs gut microbiota were enriched for Gram-negative bacteria belonging to the Bacteroidaceae and Enterobacteriaceae families and the small subgroup of Gram-negative Firmicutes. Our findings support that combined vidutolimod and nivolumab stimulates a broad anti-tumor immune response and is associated with distinct baseline myeloid gene signature and gut microbiota. ClinicalTrials.gov identifier: NCT03618641.</t>
  </si>
  <si>
    <t>The study focuses exclusively on High-Risk Resectable Melanoma.</t>
  </si>
  <si>
    <t>Qureshi, Ayesha A.; Wehrle, Chase J.; Ferreira-Gonzalez, Sofia; Jiao, Chunbao; Hong, Hanna; Dadgar, Neda; Arpi-Palacios, Jorge; Phong, Yee Phoon; Kim, Jaekeun; Sun, Keyue; Hashimoto, Koji; Kwon, David CH; Miller, Charles; Leipzig, Nic; Ma, Wen Wee; Melenhorst, Jos; Aucejo, Federico; Schlegel, Andrea</t>
  </si>
  <si>
    <t>Tumor organoids for primary liver cancers: A systematic review of current applications in diagnostics, disease modeling, and drug screening</t>
  </si>
  <si>
    <t>JHEP Reports</t>
  </si>
  <si>
    <t>https://doi.org/10.1016/j.jhepr.2024.101164</t>
  </si>
  <si>
    <t>Background &amp; Aims Liver cancer-related deaths are projected to exceed one million annually by 2030. Existing therapies have significant limitations, including severe side effects and inconsistent efficacy. Innovative therapeutic approaches to address primary liver cancer (PLC) have led to the ongoing development of tumor-derived organoids. These are sophisticated three-dimensional structures capable of mimicking native tissue architecture and function in vitro, improving our ability to model in vivo homeostasis and disease. Methods This systematic review consolidates known literature on human and mouse liver organoids across all PLC subtypes, emphasizing diagnostic precision, disease modeling, and drug screening capabilities. Results Across all 39 included studies, organoids were most frequently patient-derived, closely followed by cancer cell line-derived. The literature concentrated on hepatocellular carcinoma and intrahepatic cholangiocarcinoma, while exploration of other subtypes was limited. These studies demonstrate a valuable role for PLC organoid cultures in biomarker discovery, disease modeling, and therapeutic exploration. Conclusions Encouraging advances such as organoid-on-a-chip and co-culturing systems hold promise for advancing treatment regimens for PLC. Standardizing in vitro protocols is crucial to integrate research breakthroughs into practical treatment strategies for PLC. Impact and implications: This study provides an overview of the current understanding of tumor-derived organoids in primary liver cancers, emphasizing their potential in diagnostics, disease modeling, and drug screening. The scientific foundation rests on the organoids' ability to replicate the tumor microenvironment and genetic landscape, opening new avenues for personalized therapies. These insights are crucial for both researchers and clinicians, as patient-derived organoids can help identify biomarkers and therapeutic targets. Physicians and policymakers can harness these advances to drive progress in precision medicine, while recognizing the challenges involved in standardizing organoid models for clinical implementation.</t>
  </si>
  <si>
    <t>The study focuses exclusively on Primary Liver Cancer (PLC), including Hepatocellular Carcinoma (HCC) and Intrahepatic Cholangiocarcinoma (iCCA).</t>
  </si>
  <si>
    <t>Creixell, Marc; Meyer, Aaron S.</t>
  </si>
  <si>
    <t>Dual data and motif clustering improves the modeling and interpretation of phosphoproteomic data</t>
  </si>
  <si>
    <t>https://doi.org/10.1016/j.crmeth.2022.100167</t>
  </si>
  <si>
    <t>Summary Cell signaling is orchestrated in part through a network of protein kinases and phosphatases. Dysregulation of kinase signaling is widespread in diseases such as cancer and is readily targetable through inhibitors. Mass spectrometry-based analysis can provide a global view of kinase regulation, but mining these data is complicated by its stochastic coverage of the proteome, measurement of substrates rather than kinases, and the scale of the data. Here, we implement a dual data and motif clustering (DDMC) strategy that simultaneously clusters peptides into similarly regulated groups based on their variation and their sequence profile. We show that this can help to identify putative upstream kinases and supply more robust clustering. We apply this clustering to clinical proteomic profiling of lung cancer and identify conserved proteomic signatures of tumorigenicity, genetic mutations, and immune infiltration. We propose that DDMC provides a general and flexible clustering strategy for the analysis of phosphoproteomic data.</t>
  </si>
  <si>
    <t>Sudmeier, Lisa J.; Hoang, Kimberly B.; Nduom, Edjah K.; Wieland, Andreas; Neill, Stewart G.; Schniederjan, Matthew J.; Ramalingam, Suresh S.; Olson, Jeffrey J.; Ahmed, Rafi; Hudson, William H.</t>
  </si>
  <si>
    <t>Distinct phenotypic states and spatial distribution of CD8+ T cell clonotypes in human brain metastases</t>
  </si>
  <si>
    <t>https://doi.org/10.1016/j.xcrm.2022.100620</t>
  </si>
  <si>
    <t>Summary Metastatic disease in the brain is difficult to control and predicts poor prognosis. Here, we analyze human brain metastases and demonstrate their robust infiltration by CD8+ T cell subsets with distinct antigen specificities, phenotypic states, and spatial localization within the tumor microenvironment. Brain metastases are densely infiltrated by T cells; the majority of infiltrating CD8+ T cells express PD-1. Single-cell RNA sequencing shows significant clonal overlap between proliferating and exhausted CD8+ T cells, but these subsets have minimal clonal overlap with circulating and other tumor-infiltrating CD8+ T cells, including bystander CD8+ T cells specific for microbial antigens. Using spatial transcriptomics and spatial T cell receptor (TCR) sequencing, we show these clonally unrelated, phenotypically distinct CD8+ T cell populations occupy discrete niches within the brain metastasis tumor microenvironment. Together, our work identifies signaling pathways within CD8+ T cells and in their surrounding environment that may be targeted for immunotherapy of brain metastases.</t>
  </si>
  <si>
    <t>Gough, Michael J.; Crittenden, Marka R.</t>
  </si>
  <si>
    <t>The paradox of radiation and T cells in tumors</t>
  </si>
  <si>
    <t>https://doi.org/10.1016/j.neo.2022.100808</t>
  </si>
  <si>
    <t>In this review we consider what appears to be a paradox in immunotherapies based around radiation therapy. The paradox is based on three main points. 1. That T cells are needed for radiation's efficacy; 2. That tumor-specific T cells are enriched in the field of treatment; and 3. That radiation kills T cells in the treatment field. We discuss evidence of the effect of radiation on T cells in the field given their ongoing movement in and out of tissues and the tumor, and how the movement of T cells impacts the treated primary tumor and untreated distant metastases. Given this evidence, we revisit the paradox to understand how the extraordinary efficacy of radiation and immunity in preclinical models is dependent on this radiation sensitive cell.</t>
  </si>
  <si>
    <t>Conceptual discussion of radiation/immunity; lacks specific neoantigen focus.</t>
  </si>
  <si>
    <t>Zhang, Jie; Guo, Hongjie; Wang, Longsheng; Zheng, Mingming; Kong, Shijia; Wu, Honghai; Zhao, Lin; Zhao, Qiong; Yang, Xiaochun; He, Qiaojun; Chen, Xi; Ding, Ling; Yang, Bo</t>
  </si>
  <si>
    <t>Cediranib enhances the transcription of MHC-I by upregulating IRF-1</t>
  </si>
  <si>
    <t>Biochemical Pharmacology</t>
  </si>
  <si>
    <t>https://doi.org/10.1016/j.bcp.2024.116036</t>
  </si>
  <si>
    <t>Diminished or lost Major Histocompatibility Complex class I (MHC-I) expression is frequently observed in tumors, which obstructs the immune recognition of tumor cells by cytotoxic T cells. Restoring MHC-I expression by promoting its transcription and improving protein stability have been promising strategies for reestablishing anti-tumor immune responses. Here, through cell-based screening models, we found that cediranib significantly upregulated MHC-I expression in tumor cells. This finding was confirmed in various non-small cell lung cancer (NSCLC) cell lines and primary patient-derived lung cancer cells. Furthermore, we discovered cediranib achieved MHC-I upregulation through transcriptional regulation. interferon regulatory factor 1 (IRF-1) was required for cediranib induced MHC-I transcription and the absence of IRF-1 eliminated this effect. Continuing our research, we found cediranib triggered STAT1 phosphorylation and promoted IRF-1 transcription subsequently, thus enhancing downstream MHC-I transcription. In vivo study, we further confirmed that cediranib increased MHC-I expression, enhanced CD8+ T cell infiltration, and improved the efficacy of anti-PD-L1 therapy. Collectively, our study demonstrated that cediranib could elevate MHC-I expression and enhance responsiveness to immune therapy, thereby providing a theoretical foundation for its potential clinical trials in combination with immunotherapy.</t>
  </si>
  <si>
    <t>Corgnac, Stéphanie; Malenica, Ines; Mezquita, Laura; Auclin, Edouard; Voilin, Elodie; Kacher, Jamila; Halse, Heloise; Grynszpan, Laetitia; Signolle, Nicolas; Dayris, Thibault; Leclerc, Marine; Droin, Nathalie; Montpréville, Vincent de; Mercier, Olaf; Validire, Pierre; Scoazec, Jean-Yves; Massard, Christophe; Chouaib, Salem; Planchard, David; Adam, Julien; Besse, Benjamin; Mami-Chouaib, Fathia</t>
  </si>
  <si>
    <t>CD103+CD8+ TRM Cells Accumulate in Tumors of Anti-PD-1-Responder Lung Cancer Patients and Are Tumor-Reactive Lymphocytes Enriched with Tc17</t>
  </si>
  <si>
    <t>https://doi.org/10.1016/j.xcrm.2020.100127</t>
  </si>
  <si>
    <t>Summary Accumulation of CD103+CD8+ resident memory T (TRM) cells in human lung tumors has been associated with a favorable prognosis. However, the contribution of TRM to anti-tumor immunity and to the response to immune checkpoint blockade has not been clearly established. Using quantitative multiplex immunofluorescence on cohorts of non-small cell lung cancer patients treated with anti-PD-(L)1, we show that an increased density of CD103+CD8+ lymphocytes in immunotherapy-naive tumors is associated with greatly improved outcomes. The density of CD103+CD8+ cells increases during immunotherapy in most responder, but not in non-responder, patients. CD103+CD8+ cells co-express CD49a and CD69 and display a molecular profile characterized by the expression of PD-1 and CD39. CD103+CD8+ tumor TRM, but not CD103−CD8+ tumor-infiltrating counterparts, express Aiolos, phosphorylated STAT-3, and IL-17; demonstrate enhanced proliferation and cytotoxicity toward autologous cancer cells; and frequently display oligoclonal expansion of TCR-β clonotypes. These results explain why CD103+CD8+ TRM are associated with better outcomes in anti-PD-(L)1-treated patients.</t>
  </si>
  <si>
    <t>Chen, Yan-Xing; Wang, Zi-Xian; Jin, Ying; Zhao, Qi; Liu, Ze-Xian; Zuo, Zhi-Xiang; Ju, Huai-Qiang; Cui, Chengxu; Yao, Jun; Zhang, Yanqiao; Li, Mengxia; Feng, Jifeng; Tian, Lin; Xia, Xiao-Jun; Feng, Hui; Yao, Sheng; Wang, Feng-Hua; Li, Yu-Hong; Wang, Feng; Xu, Rui-Hua</t>
  </si>
  <si>
    <t>An immunogenic and oncogenic feature-based classification for chemotherapy plus PD-1 blockade in advanced esophageal squamous cell carcinoma</t>
  </si>
  <si>
    <t>https://doi.org/10.1016/j.ccell.2023.03.016</t>
  </si>
  <si>
    <t>Summary Although chemotherapy plus PD-1 blockade (chemo+anti-PD-1) has become the standard first-line therapy for advanced esophageal squamous cell carcinoma (ESCC), reliable biomarkers for this regimen are lacking. Here we perform whole-exome sequencing on tumor samples from 486 patients of the JUPITER-06 study and develop a copy number alteration-corrected tumor mutational burden that depicts immunogenicity more precisely and predicts chemo+anti-PD-1 efficacy. We identify several other favorable immunogenic features (e.g., HLA-I/II diversity) and risk oncogenic alterations (e.g., PIK3CA and TET2 mutation) associated with chemo+anti-PD-1 efficacy. An esophageal cancer genome-based immuno-oncology classification (EGIC) scheme incorporating these immunogenic features and oncogenic alterations is established. Chemo+anti-PD-1 achieves significant survival improvements in EGIC1 (immunogenic feature-favorable and oncogenic alteration-negative) and EGIC2 (either immunogenic feature-favorable or oncogenic alteration-negative) subgroups, but not the EGIC3 subgroup (immunogenic feature-unfavorable and oncogenic alteration-positive). Thus, EGIC may guide future individualized treatment strategies and inform mechanistic biomarker research for chemo+anti-PD-1 treatment in patients with advanced ESCC.</t>
  </si>
  <si>
    <t>it focuses on advanced Esophageal Squamous Cell Carcinoma (ESCC) rather than the required NSCLC population</t>
  </si>
  <si>
    <t>Subramanian, Madhav; Kabir, Ashraf Ul; Barisas, Derek; Krchma, Karen; Choi, Kyunghee</t>
  </si>
  <si>
    <t>Conserved angio-immune subtypes of the tumor microenvironment predict response to immune checkpoint blockade therapy</t>
  </si>
  <si>
    <t>https://doi.org/10.1016/j.xcrm.2022.100896</t>
  </si>
  <si>
    <t>Summary Immune checkpoint blockade (ICB) therapy has revolutionized cancer treatment. However, only a fraction of patients respond to ICB therapy. Accurate prediction of patients to likely respond to ICB would maximize the efficacy of ICB therapy. The tumor microenvironment (TME) dictates tumor progression and therapy outcome. Here, we classify the TME by analyzing the transcriptome from 11,069 cancer patients based on angiogenesis and T cell activity. We find three distinct angio-immune TME subtypes conserved across 30 non-hematological cancers. There is a clear inverse relationship between angiogenesis and anti-tumor immunity in TME. Remarkably, patients displaying TME with low angiogenesis with strong anti-tumor immunity show the most significant responses to ICB therapy in four cancer types. Re-evaluation of the renal cell carcinoma clinical trials provides compelling evidence that the baseline angio-immune state is robustly predictive of ICB responses. This study offers a rationale for incorporating baseline angio-immune scores for future ICB treatment strategies.</t>
  </si>
  <si>
    <t>Sentís, I.; Melero, J. L.; Cebria-Xart, A.; Grzelak, M.; Soto, M.; Michel, A.; Rovira, Q.; Rodriguez-Hernandez, C. J.; Caratù, G.; Urpi, A.; Sauvage, C.; Mendizabal-Sasieta, A.; Maspero, D.; Lavarino, C. E.; Pascual-Reguant, A.; Heredia, A. Castañeda; Perez, J. P. Muñoz; Mora, J.; Harari, A.; Nieto, J. C.; Avgustinova, A.; Heyn, H.</t>
  </si>
  <si>
    <t>Spatiotemporal T-cell tracking for personalized T-cell receptor T-cell therapy designs in childhood cancer</t>
  </si>
  <si>
    <t>https://doi.org/10.1016/j.annonc.2025.05.530</t>
  </si>
  <si>
    <t>Background Immune checkpoint inhibition (ICI) has revolutionized oncology, offering extended survival and long-term remission in previously incurable cancers. While highly effective in tumors with high mutational burden, lowly mutated cancers, including pediatric malignancies, present low response rate and limited predictive biomarkers. Patients and methods We present a framework for the identification and validation of tumor-reactive T cells as a biomarker to quantify ICI efficacy and as candidates for a personalized T-cell receptor T-cell (TCR-T) therapy. Therefore, we profiled a pediatric malignant rhabdoid tumor patient with complete remission after ICI therapy using deep single-cell T-cell receptor (TCR) repertoire sequencing of the tumor microenvironment (TME) and the peripheral blood. Results Tracking T-cell dynamics longitudinally from the tumor to cells in circulation over a time course of 12 months revealed a systemic response and durable clonal expansion of tumor-resident and ICI-induced TCR clonotypes. We functionally validated tumor reactivity of TCRs identified from the TME and the blood by co-culturing patient-derived tumor cells with TCR-engineered autologous T cells. Here, we observed unexpectedly high frequencies of tumor-reactive TCR clonotypes in the TME and confirmed T-cell dynamics in the blood post-ICI to predict tumor reactivity. Conclusions These findings strongly support spatiotemporal tracking of T-cell activity in response to ICI to inform therapy efficacy and to serve as a source of tumor-reactive TCRs for personalized TCR-T designs.</t>
  </si>
  <si>
    <t>The study profiles a pediatric malignant rhabdoid tumor patient.</t>
  </si>
  <si>
    <t>Zhang, Chenxiong; Tan, Hao; Xu, Han; Ding, Jiaming; Chen, Huijuan; Liu, Xiaohong; Sun, Feng</t>
  </si>
  <si>
    <t>Pan-cancer identified ARPC1B as a promising target for tumor immunotherapy and prognostic biomarker, particularly in READ</t>
  </si>
  <si>
    <t>https://doi.org/10.1016/j.heliyon.2024.e28005</t>
  </si>
  <si>
    <t>ARPC1B encodes the protein known as actin-related protein 2/3 complex subunit 1 B (ARPC1B), which controls actin polymerization in the human body. Although ARPC1B has been linked to several human malignancies, its function in these cancers remains unclear. TCGA, GTEx, CCLE, Xena, CellMiner, TISIDB, and molecular signature databases were used to analyze ARPC1B expression in cancers. Visualization of data was primarily achieved using R language, version 4.0. Nineteen tumors exhibited high levels of ARPC1B expression, which were associated with different tumor stages and significantly affected the prognosis of various cancers. The level of ARPC1B expression substantially connected the narrative of ARPC1B expression with several TMB cancers and showed significant changes in MSI. Additionally, tolerance to numerous anticancer medications has been linked to high ARPC1B gene expression. Using Gene Set Variation Analysis/Gene Set Enrichment Analysisanalysis and concentrating on Rectum adenocarcinoma (READ), we thoroughly examined the molecular processes of the ARPC1B gene in pan-cancer. Using WGCNA, we examined the co-expression network of READ and ARPC1B. Meanwhile, ten specimens were selected for immunohistochemical examination, which showed high expression of ARPC1B in READ. Human pan-cancer samples show higher ARPC1B expression than healthy tissues. In many malignancies, particularly READ, ARPC1B overexpression is associated with immune cell infiltration and a poor prognosis. These results imply that the molecular biomarker ARPC1B may be used to assess the prognosis and immune infiltration of patients with READ.</t>
  </si>
  <si>
    <t>The study investigates Angio-immune TME subtypes based on angiogenesis and T cell activity gene signatures</t>
  </si>
  <si>
    <t>Fitzgerald, Brittany; Connolly, Kelli A.; Cui, Can; Fagerberg, Eric; Mariuzza, Dylan L.; Hornick, Noah I.; Foster, Gena G.; William, Ivana; Cheung, Julie F.; Joshi, Nikhil S.</t>
  </si>
  <si>
    <t>A mouse model for the study of anti-tumor T cell responses in Kras-driven lung adenocarcinoma</t>
  </si>
  <si>
    <t>https://doi.org/10.1016/j.crmeth.2021.100080</t>
  </si>
  <si>
    <t>Summary Kras-driven lung adenocarcinoma (LUAD) is the most common lung cancer. A significant fraction of patients with Kras-driven LUAD respond to immunotherapy, but mechanistic studies of immune responses against LUAD have been limited because of a lack of immunotherapy-responsive models. We report the development of the immunogenic KP × NINJA (inversion inducible joined neoantigen) (KP-NINJA) LUAD model. This model allows temporal uncoupling of antigen and tumor induction, which allows one to wait until after infection-induced inflammation has subsided to induce neoantigen expression by tumors. Neoantigen expression is restricted to EPCAM+ cells in the lung and expression of neoantigen was more consistent between tumors than when neoantigens were encoded on lentiviruses. Moreover, tumors were infiltrated by tumor-specific CD8 T cells. Finally, LUAD cell lines derived from KP-NINJA mice were immunogenic and responded to immune checkpoint therapy (anti-PD1 and anti-CTLA4), providing means for future studies into the immunobiology of therapeutic responses in LUAD.</t>
  </si>
  <si>
    <t>Malyshev, Igor Y.; Kuznetsova, Larisa V.; Mardente, Stefania</t>
  </si>
  <si>
    <t>Cancer immunotherapy through the prism of adaptation: Will Achilles catch the tortoise?</t>
  </si>
  <si>
    <t>Medical Hypotheses</t>
  </si>
  <si>
    <t>https://doi.org/10.1016/j.mehy.2019.109545</t>
  </si>
  <si>
    <t>There is no secret that despite the rapid development of new methods of cancer therapy, we still are not able to completely destroy the tumor. Every time we attack the tumor, the tumor neutralizes our attempts. Carcinogenesis can be presented as a tree whose branches are different pro-tumor mechanisms and whose trunk is a biological phenomenon that “feeds” those branches. A tree can be destroyed in two ways: either by cutting a branch for a branch without a guarantee that new branches will not grow, or cutting down the trunk and letting the branches wither away. To cut down the trunk, it is necessary to understand the nature of the biological phenomenon, which helps the tumor to avoid attack by the immune system, drugs and immunotherapy. The clue is that the pro-tumor mechanisms are united by one goal – to increase the resistance of the tumor cell to immune factors and drugs. A phenomenon that improves cell resistance is well known in biology – adaptation. If the immunity does not immediately destroy the tumor cell, the cell begins to adapt to it. Our hypothesis is that short range adaptation to immune factors plays a role in the formation of tumor tolerance for immunity and immunotherapy. This gives rise to the idea of reducing the survival of tumor cells by disrupting adaptation mechanisms. Indeed, “turning off” the immune system for a period of time before therapy and applying immunotherapy only to tumor cells that have lost their increased resistance could be a new approach to increase the effectiveness of immunotherapy.</t>
  </si>
  <si>
    <t>Hypothesis/Theoretical paper; no primary data.</t>
  </si>
  <si>
    <t>Hari, P. S.; Balakrishnan, Lavanya; Kotyada, Chaithanya; John, Arivusudar Everad; Tiwary, Shivani; Shah, Nameeta; Sirdeshmukh, Ravi</t>
  </si>
  <si>
    <t>Proteogenomic Analysis of Breast Cancer Transcriptomic and Proteomic Data, Using De Novo Transcript Assembly: Genome-Wide Identification of Novel Peptides and Clinical Implications</t>
  </si>
  <si>
    <t>https://doi.org/10.1016/j.mcpro.2022.100220</t>
  </si>
  <si>
    <t>We have carried out proteogenomic analysis of the breast cancer transcriptomic and proteomic data, available at The Clinical Proteomic Tumor Analysis Consortium resource, to identify novel peptides arising from alternatively spliced events as well as other noncanonical expressions. We used a pipeline that consisted of de novo transcript assembly, six frame-translated custom database, and a combination of search engines to identify novel peptides. A portfolio of 4,387 novel peptide sequences initially identified was further screened through PepQuery validation tool (Clinical Proteomic Tumor Analysis Consortium), which yielded 1,558 novel peptides. We considered the dataset of 1,558 validated through PepQuery to understand their functional and clinical significance, leaving the rest to be further verified using other validation tools and approaches. The novel peptides mapped to the known gene sequences as well as to genomic regions yet undefined for translation, 580 novel peptides mapped to known protein-coding genes, 147 to non–protein-coding genes, and 831 belonged to novel translational sequences. The novel peptides belonging to protein-coding genes represented alternatively spliced events or 5′ or 3′ extensions, whereas others represented translation from pseudogenes, long noncoding RNAs, or novel peptides originating from uncharacterized protein-coding sequences—mostly from the intronic regions of known genes. Seventy-six of the 580 protein-coding genes were associated with cancer hallmark genes, which included key oncogenes, transcription factors, kinases, and cell surface receptors. Survival association analysis of the 76 novel peptide sequences revealed 10 of them to be significant, and we present a panel of six novel peptides, whose high expression was found to be strongly associated with poor survival of patients with human epidermal growth factor receptor 2–enriched subtype. Our analysis represents a landscape of novel peptides of different types that may be expressed in breast cancer tissues, whereas their presence in full-length functional proteins needs further investigations.</t>
  </si>
  <si>
    <t>The study focuses exclusively on Breast Cancer (specifically the HER2-enriched subtype) using data from the CPTAC (Clinical Proteomic Tumor Analysis Consortium) breast cancer cohort.</t>
  </si>
  <si>
    <t>Sasagawa, Shota; Kato, Hiroaki; Nagaoka, Koji; Sun, Changbo; Imano, Motohiro; Sato, Takao; Johnson, Todd A.; Fujita, Masashi; Maejima, Kazuhiro; Okawa, Yuki; Kakimi, Kazuhiro; Yasuda, Takushi; Nakagawa, Hidewaki</t>
  </si>
  <si>
    <t>Immuno-genomic profiling of biopsy specimens predicts neoadjuvant chemotherapy response in esophageal squamous cell carcinoma</t>
  </si>
  <si>
    <t>https://doi.org/10.1016/j.xcrm.2022.100705</t>
  </si>
  <si>
    <t>Summary Esophageal squamous cell carcinoma (ESCC) is one of the most aggressive cancers and is primarily treated with platinum-based neoadjuvant chemotherapy (NAC). Some ESCCs respond well to NAC. However, biomarkers to predict NAC sensitivity and their response mechanism in ESCC remain unclear. We perform whole-genome sequencing and RNA sequencing analysis of 141 ESCC biopsy specimens before NAC treatment to generate a machine-learning-based diagnostic model to predict NAC reactivity in ESCC and analyzed the association between immunogenomic features and NAC response. Neutrophil infiltration may play an important role in ESCC response to NAC. We also demonstrate that specific copy-number alterations and copy-number signatures in the ESCC genome are significantly associated with NAC response. The interactions between the tumor genome and immune features of ESCC are likely to be a good indicator of therapeutic capability and a therapeutic target for ESCC, and machine learning prediction for NAC response is useful.</t>
  </si>
  <si>
    <t>the study focuses on Esophageal squamous cell carcinoma (ESCC)</t>
  </si>
  <si>
    <t>Rakshith, H. T.; Lohita, S.; Rebello, Anvil Preem; Goudanavar, Prakash S.; Naveen, N. Raghavendra</t>
  </si>
  <si>
    <t>Sex differences in drug effects and/or toxicity in oncology</t>
  </si>
  <si>
    <t>Current Research in Pharmacology and Drug Discovery</t>
  </si>
  <si>
    <t>https://doi.org/10.1016/j.crphar.2022.100152</t>
  </si>
  <si>
    <t>The prevalence, incidence, and severity of a wide variety of diseases and ailments are significantly influenced by the significant disparities that occur between the sexes. The way that men and women react to pharmacological treatment also varies. Therefore, it is crucial to comprehend these reactions in order to conduct risk assessment correctly and to develop safe and efficient therapies. Even from that limited vantage point, the manner and timing of our drug usage might have unintended and unanticipated consequences. There are sex-specific differences in the incidence and mortality of certain malignancies. One of the most important discoveries in cancer epidemiology is the gender inequalities. Cancer incidence differences between the sexes are thought to be regulated at the genetic and molecular levels and by sex hormones like oestrogen. Differences based on sex and gender are among the least investigated factors impacting cancer susceptibility, progression, survival, and therapy response despite their established importance in clinical care. The molecular mechanisms underlying sex differences in particular are poorly known, hence the majority of precision medicine approaches employ mutational or other genetic data to assign therapy without taking into account how the patient's sex may affect therapeutic efficacy. In patients receiving chemotherapy, there are definite gender-dependent disparities in response rates and the likelihood of side effects. This review explores the influence of sex as a biological variable in drug effects or toxicity in oncology.</t>
  </si>
  <si>
    <t>Review Article (Narrative review/Perspective on sex as a biological variable).</t>
  </si>
  <si>
    <t>Nguyen, Duy T.; Prieto, Luis I.; Zhang, Cheng; Li, Hu; Khoor, Andras; Weems, Capella; Jamieson, Lee; Jeganathan, Karthik B.; Babu, Srinidhi R.; Murray, Nicole R.; Baker, Darren J.; Fields, Alan P.</t>
  </si>
  <si>
    <t>Protein kinase Cι dictates tumor trajectory, cell plasticity, and immune surveillance in lung adenocarcinoma</t>
  </si>
  <si>
    <t>Cell Reports</t>
  </si>
  <si>
    <t>https://doi.org/10.1016/j.celrep.2025.116606</t>
  </si>
  <si>
    <t>Summary Lung adenocarcinoma (LUAD), the most prevalent form of lung cancer, is characterized by aggressive growth, immune resistance, and high tumor heterogeneity. Here, we demonstrate that genetic loss of protein kinase Cι (PKCι), which is found in ∼20% of LUAD patients, alters the trajectory of mouse Kras/Trp53-driven LUAD tumors from one resembling lung development to one mimicking lung regeneration. As a result, a major subset of tumor cells with PKCι loss exhibit cellular senescence and transcriptional similarities to the pre-AT1 transitional cell state (PATS) observed during alveolar regeneration after lung injury. Senescent PATS-like tumor cells inhibit cellular plasticity through stable proliferation arrest and induce formation of tertiary lymphoid structures (TLSs) that enhance anti-tumor immunity and patient responses to immune therapies. Importantly, human LUADs harboring genetic PKCι loss also contain TLSs and PATS-like tumor cells. Therefore, PKCι expression in mouse and human LUAD dictates tumor trajectory, cellular plasticity, and the immune microenvironment.</t>
  </si>
  <si>
    <t>Chai, Dafei; Wang, Xu; Neeli, Praveen; Zhou, Shan; Yu, Xingfang; Sabapathy, Kanaga; Li, Yong</t>
  </si>
  <si>
    <t>DNA-delivered monoclonal antibodies targeting the p53 R175H mutant epitope inhibit tumor development in mice</t>
  </si>
  <si>
    <t>Genes &amp; Diseases</t>
  </si>
  <si>
    <t>https://doi.org/10.1016/j.gendis.2023.04.027</t>
  </si>
  <si>
    <t>The tumor suppressor p53 is the most common mutated gene in cancer, with the R175H as the most frequent p53 missense mutant. However, there are currently no approved targeted therapies or immunotherapies against mutant p53. Here, we characterized and investigated a monoclonal antibody (mAb) that recognizes the mutant p53-R175H for its affinity, specificity, and activity against tumor cells in vitro. We then delivered DNA plasmids expressing the anti-R175H mAb or a bispecific antibody (BsAb) into mice to evaluate their therapeutic effects. Our results showed that the anti-R175H mAb specifically bound to the p53-R175H antigen with a high affinity and recognized the human mutant p53-R175H antigen expressed on HEK293T or MC38 cells, with no cross-reactivity with wild-type p53. In cultured cells, the anti-R175H mAb showed higher cytotoxicity than the control but did not induce antibody-dependent cellular cytotoxicity. We made a recombinant MC38 mouse cell line (MC38-p53-R175H) that overexpressed the human p53-R175H after knocking out the endogenous mutant p53 alleles. In vivo, administration of the anti-R175H mAb plasmid elicited a robust anti-tumor effect against MC38-p53-R175H in mice. The administration of the anti-R175H BsAb plasmid showed no therapeutic effects, yet potent anti-tumor activity was observed in combination with the anti-PD-1 antibody. These results indicate that targeting specific mutant epitopes using DNA-delivered mAbs or BsAbs presents a form of improved natural immunity derived from tumor-infiltrating B cells and plasma cells against intracellular tumor antigens.</t>
  </si>
  <si>
    <t>It targets a "public" neoantigen (mutant p53-R175H). However, the study focuses on antibody-mediated targeting of the intracellular mutant protein rather than the T-cell/MHC-restricted peptide "prediction stack" defined in Objective 2.</t>
  </si>
  <si>
    <t>Bonté, Pierre-Emmanuel; Arribas, Yago A.; Merlotti, Antonela; Carrascal, Montserrat; Zhang, Jiasi Vicky; Zueva, Elina; Binder, Zev A.; Alanio, Cécile; Goudot, Christel; Amigorena, Sebastian</t>
  </si>
  <si>
    <t>Single-cell RNA-seq-based proteogenomics identifies glioblastoma-specific transposable elements encoding HLA-I-presented peptides</t>
  </si>
  <si>
    <t>https://doi.org/10.1016/j.celrep.2022.110916</t>
  </si>
  <si>
    <t>Summary We analyze transposable elements (TEs) in glioblastoma (GBM) patients using a proteogenomic pipeline that combines single-cell transcriptomics, bulk RNA sequencing (RNA-seq) samples from tumors and healthy-tissue cohorts, and immunopeptidomic samples. We thus identify 370 human leukocyte antigen (HLA)-I-bound peptides encoded by TEs differentially expressed in GBM. Some of the peptides are encoded by repeat sequences from intact open reading frames (ORFs) present in up to several hundred TEs from recent long interspersed nuclear element (LINE)-1, long terminal repeat (LTR), and SVA subfamilies. Other HLA-I-bound peptides are encoded by single copies of TEs from old subfamilies that are expressed recurrently in GBM tumors and not expressed, or very infrequently and at low levels, in healthy tissues (including brain). These peptide-coding, GBM-specific, highly recurrent TEs represent potential tumor-specific targets for cancer immunotherapies.</t>
  </si>
  <si>
    <t>The study focuses exclusively on Glioblastoma (GBM</t>
  </si>
  <si>
    <t>Riess, Jonathan W.; Rahman, Shaila; Kian, Waleed; Edgerly, Claire; Heilmann, Andreas M.; Madison, Russell; Ramkissoon, Shakti H.; Klaitman, Shai Shlomi; Chung, Jon H.; Trabucco, Sally E.; Jin, Dexter X.; Alexander, Brian M.; Klempner, Samuel J.; Albacker, Lee A.; Frampton, Garrett M.; Roisman, Laila C.; Miller, Vincent A.; Ross, Jeffrey S.; Schrock, Alexa B.; Gregg, Jeffrey P.; Peled, Nir; Sokol, Ethan S.; Ali, Siraj M.</t>
  </si>
  <si>
    <t>Genomic profiling of solid tumors harboring BRD4-NUT and response to immune checkpoint inhibitors</t>
  </si>
  <si>
    <t>https://doi.org/10.1016/j.tranon.2021.101184</t>
  </si>
  <si>
    <t>Background The translocation t(15:19) produces the oncogenic BRD4-NUT fusion which is pathognomonic for NUT carcinoma (NC), which is a rare, but extremely aggressive solid tumor. Comprehensive genomic profiling (CGP) by hybrid-capture based next generation sequencing of 186+ genes of a cohort of advanced cancer cases with a variety of initial diagnoses harboring BRD4-NUT may shed further insight into the biology of these tumors and possible options for targeted treatment. Case presentation Thirty-one solid tumor cases harboring a BRD4-NUT translocation are described, with only 16% initially diagnosed as NC and the remainder carrying other diagnoses, most commonly NSCLCNOS (22%) and lung squamous cell carcinoma (NSCLC-SCC) (16%). The cohort was all microsatellite stable and harbored a low Tumor Mutational Burden (TMB, mean 1.7 mut/mb, range 0–4). In two index cases, patients treated with immune checkpoint inhibitors (ICPI) had unexpected partial or better responses of varying duration. Notably, four cases – including the two index cases - were negative for PD-L1 expression. Neo-antigen prediction for BRD4-NUT and then affinity modeling of the peptide-MHC (pMHC) complex for an assessable index case predicted very high affinity binding, both on a ranked (99.9%) and absolute (33 nM) basis. Conclusions CGP identifies BRD4-NUT fusions in advanced solid tumors which carry a broad range of initial diagnoses and which should be re-diagnosed as NC per guidelines. A hypothesized mechanism underlying responses to ICPI in the low TMB, PD-L1 negative index cases is the predicted high affinity of the BRD4-NUT fusion peptide to MHC complexes. Further study of pMHC affinity and response to immune checkpoint inhibitors in patients with NC harboring BRD4-NUT is needed to validate this therapeutic hypothesis.</t>
  </si>
  <si>
    <t>The study focuses exclusively on NUT Carcinoma (NC), specifically cases harboring the BRD4-NUT fusion.</t>
  </si>
  <si>
    <t>Au, Lewis; Hatipoglu, Emine; Massy, Marc Robert de; Litchfield, Kevin; Beattie, Gordon; Rowan, Andrew; Schnidrig, Desiree; Thompson, Rachael; Byrne, Fiona; Horswell, Stuart; Fotiadis, Nicos; Hazell, Steve; Nicol, David; Shepherd, Scott T. C.; Fendler, Annika; Mason, Robert; Rosario, Lyra Del; Edmonds, Kim; Lingard, Karla; Sarker, Sarah; Mangwende, Mary; Carlyle, Eleanor; Attig, Jan; Joshi, Kroopa; Uddin, Imran; Becker, Pablo D.; Sunderland, Mariana Werner; Akarca, Ayse; Puccio, Ignazio; Yang, William W.; Lund, Tom; Dhillon, Kim; Vasquez, Marcos Duran; Ghorani, Ehsan; Xu, Hang; Spencer, Charlotte; López, José I.; Green, Anna; Mahadeva, Ula; Borg, Elaine; Mitchison, Miriam; Moore, David A.; Proctor, Ian; Falzon, Mary; Pickering, Lisa; Furness, Andrew J. S.; Reading, James L.; Salgado, Roberto; Marafioti, Teresa; Jamal-Hanjani, Mariam; Abbosh, Chris; Shiu, Kai-Keen; Bridgewater, John; Hochhauser, Daniel; Forster, Martin; Lee, Siow-Ming; Ahmad, Tanya; Papadatos-Pastos, Dionysis; Janes, Sam; Loo, Peter Van; Enfield, Katey; McGranahan, Nicholas; Huebner, Ariana; Beck, Stephan; Parker, Peter; Walczak, Henning; Enver, Tariq; Hynds, Rob; Sinclair, Ron; Lok, Chi-wah; Rhodes, Zoe; Moore, David; Khiroya, Reena; Trevisan, Giorgia; Ellery, Peter; Linch, Mark; Brandner, Sebastian; Hiley, Crispin; Veeriah, Selvaraju; Razaq, Maryam; Shaw, Heather; Attard, Gert; Akther, Mita Afroza; Naceur-Lombardelli, Cristina; Manzano, Lizi; Al-Bakir, Maise; Summan, Simranpreet; Kanu, Nnenna; Ward, Sophie; Asghar, Uzma; Lim, Emilia; Gishen, Faye; Tookman, Adrian; Stone, Paddy; Stirling, Caroline; Hunter, Nikki; Vaughan, Sarah; Mangwende, Mary; Spain, Lavinia; Yan, Haixi; Shum, Ben; Carlyle, Eleanor; Yousaf, Nadia; Popat, Sanjay; Curtis, Olivia; Stamp, Gordon; Toncheva, Antonia; Nye, Emma; Murra, Aida; Korteweg, Justine; Josephs, Debra; Chandra, Ashish; Spicer, James; Stewart, Ruby; Iredale, Lara-Rose; Mackay, Tina; Deakin, Ben; Enting, Debra; Rudman, Sarah; Ghosh, Sharmistha; Karapagniotou, Lena; Pintus, Elias; Tutt, Andrew; Howlett, Sarah; Michalarea, Vasiliki; Brenton, James; Caldas, Carlos; Fitzgerald, Rebecca; Jimenez-Linan, Merche; Provenzano, Elena; Cluroe, Alison; Stewart, Grant; Watts, Colin; Gilbertson, Richard; McDermott, Ultan; Tavare, Simon; Beddowes, Emma; Roxburgh, Patricia; Biankin, Andrew; Chalmers, Anthony; Fraser, Sioban; Oien, Karin; Kidd, Andrew; Blyth, Kevin; Krebs, Matt; Blackhall, Fiona; Summers, Yvonne; Dive, Caroline; Marais, Richard; Gomes, Fabio; Carter, Mat; Dransfield, Jo; Quesne, John Le; Fennell, Dean; Shaw, Jacqui; Naidu, Babu; Baijal, Shobhit; Tanchel, Bruce; Langman, Gerald; Robinson, Andrew; Collard, Martin; Cockcroft, Peter; Ferris, Charlotte; Bancroft, Hollie; Kerr, Amy; Middleton, Gary; Webb, Joanne; Kadiri, Salma; Colloby, Peter; Olisemeke, Bernard; Wilson, Rodelaine; Tomlinson, Ian; Jogai, Sanjay; Ottensmeier, Christian; Harrison, David; Loda, Massimo; Flanagan, Adrienne; McKenzie, Mairead; Hackshaw, Allan; Ledermann, Jonathan; Chan, Kitty; Sharp, Abby; Farrelly, Laura; Bridger, Hayley; Kassiotis, George; Chain, Benny; Larkin, James; Swanton, Charles; Quezada, Sergio A.; Turajlic, Samra; Challacombe, Ben; Chandra, Ashish; Chowdhury, Simon; Drake, William; Fernando, Archana; Harrison-Phipps, Karen; Hazell, Steve; Hill, Peter; Horsfield, Catherine; O'Brien, Tim; Olsburgh, Jonathon; Polson, Alexander; Rudman, Sarah; Varia, Mary; Verma, Hema</t>
  </si>
  <si>
    <t>Determinants of anti-PD-1 response and resistance in clear cell renal cell carcinoma</t>
  </si>
  <si>
    <t>https://doi.org/10.1016/j.ccell.2021.10.001</t>
  </si>
  <si>
    <t>Summary ADAPTeR is a prospective, phase II study of nivolumab (anti-PD-1) in 15 treatment-naive patients (115 multiregion tumor samples) with metastatic clear cell renal cell carcinoma (ccRCC) aiming to understand the mechanism underpinning therapeutic response. Genomic analyses show no correlation between tumor molecular features and response, whereas ccRCC-specific human endogenous retrovirus expression indirectly correlates with clinical response. T cell receptor (TCR) analysis reveals a significantly higher number of expanded TCR clones pre-treatment in responders suggesting pre-existing immunity. Maintenance of highly similar clusters of TCRs post-treatment predict response, suggesting ongoing antigen engagement and survival of families of T cells likely recognizing the same antigens. In responders, nivolumab-bound CD8+ T cells are expanded and express GZMK/B. Our data suggest nivolumab drives both maintenance and replacement of previously expanded T cell clones, but only maintenance correlates with response. We hypothesize that maintenance and boosting of a pre-existing response is a key element of anti-PD-1 mode of action.</t>
  </si>
  <si>
    <t>The study focus is exclusively on metastatic clear cell Renal Cell Carcinoma (ccRCC)</t>
  </si>
  <si>
    <t>Sebuyoya, Ravery; Sevcikova, Sarka; Yusuf, Bolaji; Bartosik, Martin</t>
  </si>
  <si>
    <t>Integrating isothermal amplification techniques and LNA-based AI-assisted electrochemical bioassay for analysis of KRAS G12V point mutation</t>
  </si>
  <si>
    <t>Talanta</t>
  </si>
  <si>
    <t>https://doi.org/10.1016/j.talanta.2025.127709</t>
  </si>
  <si>
    <t>The KRAS mutation is a crucial biomarker for determining targeted cancer therapies, making its accurate and cost-effective detection vital for precision oncology. However, current methodologies, such as next-generation sequencing (NGS) or PCR-based methods, are often expensive and technically complex, limiting their accessibility. Here, we present a novel bioassay for KRAS G12V mutation analysis that combines rolling circle amplification (RCA) with locked nucleic acid (LNA)-modified magnetic beads, electrochemical detection using carbon electrode chips, and AI-assisted analysis via a logistic regression classifier. Our platform demonstrated exceptional selectivity in distinguishing the KRAS G12V mutation from wild-type (wt) sequences, enabling analysis &lt;1 % of mutated DNA in a wt sample. We validated the bioassay on 7 cancer cell lines and 11 patient-derived samples, achieving results that perfectly correlated with NGS data. This innovative approach simplifies the workflow, reduces costs, and offers high sensitivity and specificity, making it a promising tool for clinical diagnostics and personalized cancer treatment strategies.</t>
  </si>
  <si>
    <t>The study develops a diagnostic bioassay to detect the KRAS G12V mutation (DNA level)</t>
  </si>
  <si>
    <t>Hugo, Willy; Zaretsky, Jesse M.; Sun, Lu; Song, Chunying; Moreno, Blanca Homet; Hu-Lieskovan, Siwen; Berent-Maoz, Beata; Pang, Jia; Chmielowski, Bartosz; Cherry, Grace; Seja, Elizabeth; Lomeli, Shirley; Kong, Xiangju; Kelley, Mark C.; Sosman, Jeffrey A.; Johnson, Douglas B.; Ribas, Antoni; Lo, Roger S.</t>
  </si>
  <si>
    <t>Genomic and Transcriptomic Features of Response to Anti-PD-1 Therapy in Metastatic Melanoma</t>
  </si>
  <si>
    <t>https://doi.org/10.1016/j.cell.2016.02.065</t>
  </si>
  <si>
    <t>Summary PD-1 immune checkpoint blockade provides significant clinical benefits for melanoma patients. We analyzed the somatic mutanomes and transcriptomes of pretreatment melanoma biopsies to identify factors that may influence innate sensitivity or resistance to anti-PD-1 therapy. We find that overall high mutational loads associate with improved survival, and tumors from responding patients are enriched for mutations in the DNA repair gene BRCA2. Innately resistant tumors display a transcriptional signature (referred to as the IPRES, or innate anti-PD-1 resistance), indicating concurrent up-expression of genes involved in the regulation of mesenchymal transition, cell adhesion, extracellular matrix remodeling, angiogenesis, and wound healing. Notably, mitogen-activated protein kinase (MAPK)-targeted therapy (MAPK inhibitor) induces similar signatures in melanoma, suggesting that a non-genomic form of MAPK inhibitor resistance mediates cross-resistance to anti-PD-1 therapy. Validation of the IPRES in other independent tumor cohorts defines a transcriptomic subset across distinct types of advanced cancer. These findings suggest that attenuating the biological processes that underlie IPRES may improve anti-PD-1 response in melanoma and other cancer types.</t>
  </si>
  <si>
    <t>Jesus, Victor Hugo Fonseca de; Felismino, Tiago Cordeiro; Silva, Milton José de Barros e; Silva, Virgílio de Souza e; Riechelmann, Rachel P.</t>
  </si>
  <si>
    <t>Current approaches to immunotherapy in noncolorectal gastrointestinal malignancies</t>
  </si>
  <si>
    <t>https://doi.org/10.6061/clinics/2018/e510s</t>
  </si>
  <si>
    <t>Noncolorectal gastrointestinal (GI) malignancies are among the most frequently diagnosed cancers. Despite the undeniable progress in systemic treatments in recent decades, further improvements using cytotoxic chemotherapy seem unlikely. In this setting, recent discoveries regarding the mechanism underlying immune evasion have prompted the study of molecules capable of inducing strong antitumor responses. Thus, according to early data, immunotherapy is a very promising tool for the treatment of patients with GI malignancies. Noncolorectal GI cancers are a major public health problem worldwide. Traditional treatment options, such as chemotherapy, surgery, radiation therapy, monoclonal antibodies and antiangiogenic agents, have been the backbone of treatment for various stages of GI cancers, but overall mortality remains a major problem. Thus, there is a substantial unmet need for new drugs and therapies to further improve the outcomes of treatment for noncolorectal GI malignancies. “Next-generation” immunotherapy is emerging as an effective and promising treatment option in several types of cancers. Therefore, encouraged by this recent success, many clinical trials evaluating the efficacy of immune checkpoint inhibitors and other strategies in treating noncolorectal GI malignancies are ongoing. This review will summarize the current clinical progress of modern immunotherapy in the field of noncolorectal GI tumors.</t>
  </si>
  <si>
    <t>is a review focusing on immunotherapy in noncolorectal gastrointestinal cancers, rather than the required human non-small cell lung cancer (NSCLC) population</t>
  </si>
  <si>
    <t>Wang, Hanwen; Zhao, Chen; Santa-Maria, Cesar A.; Emens, Leisha A.; Popel, Aleksander S.</t>
  </si>
  <si>
    <t>Dynamics of tumor-associated macrophages in a quantitative systems pharmacology model of immunotherapy in triple-negative breast cancer</t>
  </si>
  <si>
    <t>https://doi.org/10.1016/j.isci.2022.104702</t>
  </si>
  <si>
    <t>Summary Quantitative systems pharmacology (QSP) modeling is an emerging mechanistic computational approach that couples drug pharmacokinetics/pharmacodynamics and the course of disease progression. It has begun to play important roles in drug development for complex diseases such as cancer, including triple-negative breast cancer (TNBC). The combination of the anti-PD-L1 antibody atezolizumab and nab-paclitaxel has shown clinical activity in advanced TNBC with PD-L1-positive tumor-infiltrating immune cells. As tumor-associated macrophages (TAMs) serve as major contributors to the immuno-suppressive tumor microenvironment, we incorporated the dynamics of TAMs into our previously published QSP model to investigate their impact on cancer treatment. We show that through proper calibration, the model captures the macrophage heterogeneity in the tumor microenvironment while maintaining its predictive power of the trial results at the population level. Despite its high mechanistic complexity, the modularized QSP platform can be readily reproduced, expanded for new species of interest, and applied in clinical trial simulation.</t>
  </si>
  <si>
    <t xml:space="preserve"> The study focuses exclusively on Triple-Negative Breast Cancer (TNBC)</t>
  </si>
  <si>
    <t>Anagnostou, Valsamo; Bruhm, Daniel C.; Niknafs, Noushin; White, James R.; Shao, Xiaoshan M.; Sidhom, John William; Stein, Julie; Tsai, Hua-Ling; Wang, Hao; Belcaid, Zineb; Murray, Joseph; Balan, Archana; Ferreira, Leonardo; Ross-Macdonald, Petra; Wind-Rotolo, Megan; Baras, Alexander S.; Taube, Janis; Karchin, Rachel; Scharpf, Robert B.; Grasso, Catherine; Ribas, Antoni; Pardoll, Drew M.; Topalian, Suzanne L.; Velculescu, Victor E.</t>
  </si>
  <si>
    <t>Integrative Tumor and Immune Cell Multi-omic Analyses Predict Response to Immune Checkpoint Blockade in Melanoma</t>
  </si>
  <si>
    <t>https://doi.org/10.1016/j.xcrm.2020.100139</t>
  </si>
  <si>
    <t>Summary In this study, we incorporate analyses of genome-wide sequence and structural alterations with pre- and on-therapy transcriptomic and T cell repertoire features in immunotherapy-naive melanoma patients treated with immune checkpoint blockade. Although tumor mutation burden is associated with improved treatment response, the mutation frequency in expressed genes is superior in predicting outcome. Increased T cell density in baseline tumors and dynamic changes in regression or expansion of the T cell repertoire during therapy distinguish responders from non-responders. Transcriptome analyses reveal an increased abundance of B cell subsets in tumors from responders and patterns of molecular response related to expressed mutation elimination or retention that reflect clinical outcome. High-dimensional genomic, transcriptomic, and immune repertoire data were integrated into a multi-modal predictor of response. These findings identify genomic and transcriptomic characteristics of tumors and immune cells that predict response to immune checkpoint blockade and highlight the importance of pre-existing T and B cell immunity in therapeutic outcomes.</t>
  </si>
  <si>
    <t>The study focuses exclusively on a cohort of immunotherapy-naive Melanoma patients (treated with ICB).</t>
  </si>
  <si>
    <t>Robertson, A. Gordon; Kim, Jaegil; Al-Ahmadie, Hikmat; Bellmunt, Joaquim; Guo, Guangwu; Cherniack, Andrew D.; Hinoue, Toshinori; Laird, Peter W.; Hoadley, Katherine A.; Akbani, Rehan; Castro, Mauro A. A.; Gibb, Ewan A.; Kanchi, Rupa S.; Gordenin, Dmitry A.; Shukla, Sachet A.; Sanchez-Vega, Francisco; Hansel, Donna E.; Czerniak, Bogdan A.; Reuter, Victor E.; Su, Xiaoping; Carvalho, Benilton de Sa; Chagas, Vinicius S.; Mungall, Karen L.; Sadeghi, Sara; Pedamallu, Chandra Sekhar; Lu, Yiling; Klimczak, Leszek J.; Zhang, Jiexin; Choo, Caleb; Ojesina, Akinyemi I.; Bullman, Susan; Leraas, Kristen M.; Lichtenberg, Tara M.; Wu, Catherine J.; Schultz, Nicholaus; Getz, Gad; Meyerson, Matthew; Mills, Gordon B.; McConkey, David J.; Akbani, Rehan; Al-Ahmadie, Hikmat; Albert, Monique; Alexopoulou, Iakovina; Ally, Adrian; Antic, Tatjana; Aron, Manju; Balasundaram, Miruna; Bartlett, John; Baylin, Stephen B.; Beaver, Allison; Bellmunt, Joaquim; Birol, Inanc; Boice, Lori; Bootwalla, Moiz S.; Bowen, Jay; Bowlby, Reanne; Brooks, Denise; Broom, Bradley M.; Bshara, Wiam; Bullman, Susan; Burks, Eric; Cárcano, Flavio M.; Carlsen, Rebecca; Carvalho, Benilton S.; Carvalho, Andre L.; Castle, Eric P.; Castro, Mauro A. A.; Castro, Patricia; Catto, James W.; Chagas, Vinicius S.; Cherniack, Andrew D.; Chesla, David W.; Choo, Caleb; Chuah, Eric; Chudamani, Sudha; Cortessis, Victoria K.; Cottingham, Sandra L.; Crain, Daniel; Curley, Erin; Czerniak, Bogdan A.; Daneshmand, Siamak; Demchok, John A.; Dhalla, Noreen; Djaladat, Hooman; Eckman, John; Egea, Sophie C.; Engel, Jay; Felau, Ina; Ferguson, Martin L.; Gardner, Johanna; Gastier-Foster, Julie M.; Gerken, Mark; Getz, Gad; Gibb, Ewan A.; Gomez-Fernandez, Carmen R.; Gordenin, Dmitry A.; Guo, Guangwu; Hansel, Donna E.; Harr, Jodi; Hartmann, Arndt; Herbert, Lynn M.; Hinoue, Toshinori; Ho, Thai H.; Hoadley, Katherine A.; Holt, Robert A.; Hutter, Carolyn M.; Jones, Steven J. M.; Jorda, Merce; Kahnoski, Richard J.; Kanchi, Rupa S.; Kasaian, Katayoon; Kim, Jaegil; Klimczak, Leszek J.; Kwiatkowski, David J.; Lai, Phillip H.; Laird, Peter W.; Lane, Brian R.; Leraas, Kristen M.; Lerner, Seth P.; Lichtenberg, Tara M.; Liu, Jia; Lolla, Laxmi; Lotan, Yair; Lu, Yiling; Lucchesi, Fabiano R.; Ma, Yussanne; Machado, Roberto D.; Maglinte, Dennis T.; Mallery, David; Marra, Marco A.; Martin, Sue E.; Mayo, Michael; McConkey, David J.; Meraney, Anoop; Meyerson, Matthew; Mills, Gordon B.; Moinzadeh, Alireza; Moore, Richard A.; Pinero, Edna M. Mora; Morris, Scott; Morrison, Carl; Mungall, Karen L.; Mungall, Andrew J.; Myers, Jerome B.; Naresh, Rashi; O'Donnell, Peter H.; Ojesina, Akinyemi I.; Parekh, Dipen J.; Parfitt, Jeremy; Paulauskis, Joseph D.; Pedamallu, Chandra Sekhar; Penny, Robert J.; Pihl, Todd; Porten, Sima; Quintero-Aguilo, Mario E.; Ramirez, Nilsa C.; Rathmell, W. Kimryn; Reuter, Victor E.; Rieger-Christ, Kimberly; Robertson, A. Gordon; Sadeghi, Sara; Saller, Charles; Salner, Andrew; Sanchez-Vega, Francisco; Sandusky, George; Scapulatempo-Neto, Cristovam; Schein, Jacqueline E.; Schuckman, Anne K.; Schultz, Nikolaus; Shelton, Candace; Shelton, Troy; Shukla, Sachet A.; Simko, Jeff; Singh, Parminder; Sipahimalani, Payal; Smith, Norm D.; Sofia, Heidi J.; Sorcini, Andrea; Stanton, Melissa L.; Steinberg, Gary D.; Stoehr, Robert; Su, Xiaoping; Sullivan, Travis; Sun, Qiang; Tam, Angela; Tarnuzzer, Roy; Tarvin, Katherine; Taubert, Helge; Thiessen, Nina; Thorne, Leigh; Tse, Kane; Tucker, Kelinda; Berg, David J. Van Den; Kessel, Kim E. van; Wach, Sven; Wan, Yunhu; Wang, Zhining; Weinstein, John N.; Weisenberger, Daniel J.; Wise, Lisa; Wong, Tina; Wu, Ye; Wu, Catherine J.; Yang, Liming; Zach, Leigh Anne; Zenklusen, Jean C.; Zhang, Jiashan (Julia); Zhang, Jiexin; Zmuda, Erik; Zwarthoff, Ellen C.; Weinstein, John N.; Kwiatkowski, David J.; Lerner, Seth P.</t>
  </si>
  <si>
    <t>Comprehensive Molecular Characterization of Muscle-Invasive Bladder Cancer</t>
  </si>
  <si>
    <t>https://doi.org/10.1016/j.cell.2017.09.007</t>
  </si>
  <si>
    <t>Summary We report a comprehensive analysis of 412 muscle-invasive bladder cancers characterized by multiple TCGA analytical platforms. Fifty-eight genes were significantly mutated, and the overall mutational load was associated with APOBEC-signature mutagenesis. Clustering by mutation signature identified a high-mutation subset with 75% 5-year survival. mRNA expression clustering refined prior clustering analyses and identified a poor-survival “neuronal” subtype in which the majority of tumors lacked small cell or neuroendocrine histology. Clustering by mRNA, long non-coding RNA (lncRNA), and miRNA expression converged to identify subsets with differential epithelial-mesenchymal transition status, carcinoma in situ scores, histologic features, and survival. Our analyses identified 5 expression subtypes that may stratify response to different treatments.</t>
  </si>
  <si>
    <t>The study focus is exclusively on Muscle-Invasive Bladder Cancer (MIBC)</t>
  </si>
  <si>
    <t>Liu, Chunshan; Huang, Xiaoting; Liao, Huaying; Zhang, Chang; Liu, Wei; Du, Kunpeng; Long, Yueming; Chen, Langxiong; Chen, Jianan; Jia, Baochang; Jiang, Wei; Tian, Yunming</t>
  </si>
  <si>
    <t>Enhancing the regulatory effect of LY9 on breast cancer microenvironment through a nanodelivery system</t>
  </si>
  <si>
    <t>https://doi.org/10.1016/j.rechem.2025.102554</t>
  </si>
  <si>
    <t>The tumor microenvironment (TME) is closely related to breast cancer (BC) tumorigenesis and progression. However, the specific composition of TME remains largely elusive. Thus, we aimed to identify TME-related biomarkers in BC. Through comprehensive screening, five promising genes were identified, which significantly predicted favorable survival outcomes and demonstrated consistent antigen presentation capability. Among these, LY9 emerged as the most inhibitory factor for BC. The findings indicated LY9 is a potential factor, regulating tumor immune activities in BC patients, which is strongly associated with several several tumor-infiltrating immune cells(TICs). To further validate the role of LY9 in inhibiting tumor cell formation, we conducted a series of experiments, including cloning formation experiments, scratch assays, and animal subcutaneous tumor formation experiments. A hybrid nanodelivery system composed of DSPE-PEG and DOTAP was used in this study. The results show that siLY9 encapsulated by nanoparticles (Nano-siLY9) can be accurately delivered to the vicinity of tumors, and significantly improving the knockout efficiency of LY9 gene and promoting the growth of tumors. These results reveal that LY9 not only could serve as an indicator for TME remodeling, but also acts as a suppressor of breast cancer cell proliferation. Importantly, compared with free siLY9, Nano-siLY9 has stronger biological effects without increasing biological toxicity. Hence, this finding may pave the way for decoding the complicated interaction between tumor cells and TME as well as for providing new avenues for therapeutic intervention in breast cancer.</t>
  </si>
  <si>
    <t>The study focus is exclusively on Breast Cancer (BC) and murine subcutaneous tumor models.</t>
  </si>
  <si>
    <t>Kim, Hong Kwan; Joung, Je-Gun; Choi, Yoon-La; Lee, Se-Hoon; Park, Byung Jo; Choi, Yong Soo; Ryu, Daeun; Nam, Jae-Yong; Lee, Mi-Sook; Park, Woong-Yang; Hwang, Soohyun; Cha, Hongui; Kim, Hong Sook; Lee, Sanghyuk; Jung, Yeonjoo; Lee, Jong Eun; Doh, Junsang; Paik, Soonmyung; Kang, Jung Hee; Lee, Jinseon; Kim, Jhingook</t>
  </si>
  <si>
    <t>Earlier-Phased Cancer Immunity Cycle Strongly Influences Cancer Immunity in Operable Never-Smoker Lung Adenocarcinoma</t>
  </si>
  <si>
    <t>https://doi.org/10.1016/j.isci.2020.101386</t>
  </si>
  <si>
    <t>Summary Exome and transcriptome analyses of clinically homogeneous early-stage never-smoker female patients with lung adenocarcinoma were performed to understand tumor-T cell interactions and immune escape points. Using our novel gene panels of eight functional categories in the cancer-immunity cycle, three distinct subgroups were identified in this immune checkpoint blockade-refractory cohort by defective gene expression in two major domains, i.e., type I interferon production/signaling pathway and antigen-presenting machinery. Our approach could play a critical role in understanding immune evasion mechanisms, developing a method for effective selection of rare immune checkpoint blockade responders, and finding new treatment strategies.</t>
  </si>
  <si>
    <t>Hegde, Samarth; Krisnawan, Varintra E.; Herzog, Brett H.; Zuo, Chong; Breden, Marcus A.; Knolhoff, Brett L.; Hogg, Graham D.; Tang, Jack P.; Baer, John M.; Mpoy, Cedric; Lee, Kyung Bae; Alexander, Katherine A.; Rogers, Buck E.; Murphy, Kenneth M.; Hawkins, William G.; Fields, Ryan C.; DeSelm, Carl J.; Schwarz, Julie K.; DeNardo, David G.</t>
  </si>
  <si>
    <t>Dendritic Cell Paucity Leads to Dysfunctional Immune Surveillance in Pancreatic Cancer</t>
  </si>
  <si>
    <t>https://doi.org/10.1016/j.ccell.2020.02.008</t>
  </si>
  <si>
    <t>Summary Here, we utilized spontaneous models of pancreatic and lung cancer to examine how neoantigenicity shapes tumor immunity and progression. As expected, neoantigen expression during lung adenocarcinoma development leads to T cell-mediated immunity and disease restraint. By contrast, neoantigen expression in pancreatic ductal adenocarcinoma (PDAC) results in exacerbation of a fibro-inflammatory microenvironment that drives disease progression and metastasis. Pathogenic TH17 responses are responsible for this neoantigen-induced tumor progression in PDAC. Underlying these divergent T cell responses in pancreas and lung cancer are differences in infiltrating conventional dendritic cells (cDCs). Overcoming cDC deficiency in early-stage PDAC leads to disease restraint, while restoration of cDC function in advanced PDAC restores tumor-restraining immunity and enhances responsiveness to radiation therapy.</t>
  </si>
  <si>
    <t>Zhao, Jie; Dong, Yiting; Bai, Hua; Bai, Fan; Yan, Xiaoyan; Duan, Jianchun; Wan, Rui; Xu, Jiachen; Fei, Kailun; Wang, Jie; Wang, Zhijie</t>
  </si>
  <si>
    <t>Multi-omics indicators of long-term survival benefits after immune checkpoint inhibitor therapy</t>
  </si>
  <si>
    <t>https://doi.org/10.1016/j.crmeth.2023.100596</t>
  </si>
  <si>
    <t>Summary Molecular indicators of long-term survival (LTS) in response to immune-checkpoint inhibitor (ICI) treatment have the potential to provide both mechanistic and therapeutic insights. In this study, we construct predictive models of LTS following ICI therapy based on data from 158 clinical trials involving 21,023 patients of 25 cancer types with available 1-year overall survival (OS) rates. We present evidence for the use of 1-year OS rate as a surrogate for LTS. Based on these and corresponding TCGA multi-omics data, total neoantigen, metabolism score, CD8+ T cell, and MHC_score were identified as predictive biomarkers. These were integrated into a Gaussian process regression model that estimates “long-term survival predictive score of immunotherapy” (iLSPS). We found that iLSPS outperformed the predictive capabilities of individual biomarkers and successfully predicted LTS of patient groups with melanoma and lung cancer. Our study explores the feasibility of modeling LTS based on multi-omics indicators and machine-learning methods.</t>
  </si>
  <si>
    <t>Nam, Myungwoo; Yang, Woojung; Kim, Hye Sung; Park, Jewel; Park, Gahee; Kim, Sukjun; Song, Sanghoon; Ock, Chan-Young; Wang, Victor G.; Chuang, Jeffrey H.; Chae, Young Kwang</t>
  </si>
  <si>
    <t>Papillary thyroid cancer immune phenotypes via tumor-infiltrating lymphocyte spatial analysis</t>
  </si>
  <si>
    <t>Endocrine-Related Cancer</t>
  </si>
  <si>
    <t>https://doi.org/10.1530/ERC-23-0110</t>
  </si>
  <si>
    <t>Standard-of-care treatment options provide an excellent prognosis for papillary thyroid cancers (PTCs); however, approximately 10% of cases are advanced PTCs, resulting in less than 50% 5-year survival rates. Understanding the tumor microenvironment is essential for understanding cancer progression and investigating potential biomarkers for treatment, such as immunotherapy. Our study focused on tumor-infiltrating lymphocytes (TILs), which are the main effectors of antitumor immunity and related to the mechanism of immunotherapy. Using an artificial intelligence model, we analyzed the density of intratumoral and peritumoral TILs in the pathologic slides of The Cancer Genome Atlas PTC cohort. Tumors were classified into three immune phenotypes (IPs) based on the spatial distribution of TILs: immune-desert (48%), immune-excluded (34%), and inflamed (18%). Immune-desert IP was mostly characterized by RAS mutations, high thyroid differentiation score, and low antitumor immune response. Immune-excluded IP predominantly consisted of BRAF V600E-mutated tumors and had a higher rate of lymph node metastasis. Inflamed IP was characterized by a high antitumor immune response, as demonstrated by a high cytolytic score, immune-related cell infiltrations, expression of immunomodulatory molecules (including immunotherapy target molecules), and enrichment of immune-related pathways. This study is the first to investigate IP classification using TILs in PTC through a tissue-based approach. Each IP had unique immune and genomic profiles. Further studies are warranted to assess the predictive value of IP classification in advanced PTC patients treated with immunotherapy.</t>
  </si>
  <si>
    <t>The study focus is exclusively on Papillary Thyroid Cancer (PTC) using the TCGA-THCA cohort.</t>
  </si>
  <si>
    <t>Nguyen, Anthony T.; Shiao, Stephen L.; McArthur, Heather L.</t>
  </si>
  <si>
    <t>Advances in Combining Radiation and Immunotherapy in Breast Cancer</t>
  </si>
  <si>
    <t>Clinical Breast Cancer</t>
  </si>
  <si>
    <t>https://doi.org/10.1016/j.clbc.2021.03.007</t>
  </si>
  <si>
    <t>Breast irradiation has long been utilized in the adjuvant or metastatic setting to eliminate microscopic disease or to palliate existing disease, respectively. However, preclinical data have demonstrated that radiation can also alter the tumor microenvironment and induce antitumor immune responses. As a result, multiple clinical studies have been undertaken and have reported synergy between radiation and immune checkpoint blockade across various cancer types. Given recent clinical successes with immune checkpoint blockade in both early-stage and metastatic breast cancer, there has been substantial interest in combining radiation and immunotherapy to enhance local and systemic immune responses. Herein, we review the preclinical rationale for combining radiotherapy and immunotherapy, the early clinical trials that have adopted this strategy in breast cancer, and the landscape of ongoing relevant clinical trials. Finally, we propose future directions based on promising preclinical studies that integrate radiation, checkpoint blockade, and novel agents for the treatment of breast cancer.</t>
  </si>
  <si>
    <t>Review Article (Narrative review of preclinical rationale and clinical trial landscape).</t>
  </si>
  <si>
    <t>Bai, Yibing; Wang, Yuanyong; Qin, Jiapei; Wang, Ting; Zhou, Xin; Ma, Zhiqiang; Wang, An; Yang, Wenyu; Wang, Jinliang; Li, Jinfeng; Hu, Yi</t>
  </si>
  <si>
    <t>Systematic pan-cancer analysis identified RASSF1 as an immunological and prognostic biomarker and validated in lung cancer</t>
  </si>
  <si>
    <t>https://doi.org/10.1016/j.heliyon.2024.e33304</t>
  </si>
  <si>
    <t>Background Ras association domain family member 1 (RASSF1) encodes the RASSF1A protein, serving as a scaffold protein situated at the intersection of a complex signalling network. Aims To evaluate the immunological and prognostic significance of RASSF1 expression in various types of human cancers, with a specific focus on lung cancer. Methods Differential expression analysis of RASSF1 was conducted based on data from The Cancer Genome Atlas, Genotype-Tissue Expression, and Cancer Cell Line Encyclopaedia databases. Prognostic analysis was performed using the Cox regression test and Kaplan-Meier test. Spearman's test was utilized for correlation analysis. Gene Ontology (GO) and Kyoto Encyclopaedia of Genes and Genomes (KEGG) gene sets were employed to enrich the associated signaling pathways. Immunohistochemical staining and quantitative real-time PCR were employed to detect protein and mRNA expression levels, respectively. Results RASSF1 expression was significantly lower in tumour tissues than in normal tissues in most cancers, and Cox regression analysis demonstrated a significant correlation between RASSF1 expression and the prognosis of over 12 types of cancer. Specifically, high RASSF1 expression was associated with poor OS in nine cancer types, including GBMLGG (HR = 4.98, P = 1.2e-31), LGG (HR = 3.72, P = 2.5e-10), and LAML (HR = 1.48, P = 2.4e-3). Further analysis showed that RASSF1 expression was significantly correlated with immune checkpoint- and immune-related genes. Moreover, RASSF1 expression is involved in tumour microenvironment (TME), RNA modification, genomic heterogeneity, and tumour stemness. GO and KEGG analyses showed that RASSF1 was closely related to tumour immune-related pathways. Finally, RASSF1A was moderately correlated with PD-L1 (R = 0.556), and RASSF1A overexpression significantly affected the expression of several genes involved in the Th17 cell differentiation signalling pathway in lung cancer. Conclusions RASSF1 was differentially expressed in 29 human cancers and played a critical role in tumour immunity. Thus, RASSF1 has the potential to be used as a prognostic marker and reference for achieving more precise immunotherapy, particularly in lung cancer.</t>
  </si>
  <si>
    <t>Wang, Yusong; Liu, Xiaoyan; Yu, Keda; Xu, Shouping; Qiu, Pengfei; Zhang, Xinwen; Wang, Mozhi; Xu, Yingying</t>
  </si>
  <si>
    <t>A generalized non-linear model predicting efficacy of neoadjuvant therapy in HER2+ breast cancer</t>
  </si>
  <si>
    <t>https://doi.org/10.1016/j.isci.2023.106330</t>
  </si>
  <si>
    <t>Summary Neoadjuvant therapy (NAT) is currently recommended to patients with human epidermal growth factor receptor 2-positive breast cancer (HER2+ BC) that typically exhibit a poor prognosis. The tumor immune microenvironment profoundly affects the efficacy of NAT. However, the correlation between tumor-infiltrating lymphocytes or their specific subpopulations and the response to NAT in HER2+ BC remains largely unknown. In our study, the immune infiltration status of 295 patients was classified as “immune-rich” or “immune-poor” phenotypes. The “immune-rich” phenotype was significantly positively related to pathological complete response (pCR). Ten genes were correlated with both pCR and the immune phenotype based on the results of spline and logistic regression. We constructed a generalized non-linear model combining linear and non-linear gene effects and successfully validated its predictive power using an internal and external validation set (AUC = 0.819, 0.797; respectively) and a clinical set (accuracy = 0.75).</t>
  </si>
  <si>
    <t>the study is in breast cancer</t>
  </si>
  <si>
    <t>Kim, Donghyo; Kim, Jinho; Lee, Juhun; Han, Seong Kyu; Lee, Kwanghwan; Kong, JungHo; Kim, Yeon Jeong; Lee, Woo Yong; Yun, Seong Hyeon; Kim, Hee Cheol; Hong, Hye Kyung; Cho, Yong Beom; Park, Donghyun; Kim, Sanguk</t>
  </si>
  <si>
    <t>Deconvolution of bulk tumors into distinct immune cell states predicts colorectal cancer recurrence</t>
  </si>
  <si>
    <t>https://doi.org/10.1016/j.isci.2022.105392</t>
  </si>
  <si>
    <t>Summary Predicting colorectal cancer recurrence after tumor resection is crucial because it promotes the administration of proper subsequent treatment or management to improve the clinical outcomes of patients. Several clinical or molecular factors, including tumor stage, metastasis, and microsatellite instability status, have been used to assess the risk of recurrence, although their predictive ability is limited. Here, we predicted colorectal cancer recurrence based on cellular deconvolution of bulk tumors into two distinct immune cell states: cancer-associated (tumor-infiltrating immune cell-like) and noncancer-associated (peripheral blood mononuclear cell-like). Prediction model performed significantly better when immune cells were deconvoluted into two states rather than a single state, suggesting that the difference in cancer recurrence was better explained by distinct states of immune cells. It indicates the importance of distinguishing immune cell states using cellular deconvolution to improve the prediction of colorectal cancer recurrence.</t>
  </si>
  <si>
    <t>the study is in colorectal cancer</t>
  </si>
  <si>
    <t>Li, Zhong-Chen; Wang, Jie; Liu, He-Bin; Zheng, Yi-Min; Huang, Jian-Hang; Cai, Jia-Bin; Zhang, Lei; Liu, Xin; Du, Ling; Yang, Xue-Ting; Chai, Xiao-Qiang; Jiang, Ying-Hua; Ren, Zheng-Gang; Zhou, Jian; Fan, Jia; Yu, De-Cai; Sun, Hui-Chuan; Huang, Cheng; Liu, Feng</t>
  </si>
  <si>
    <t>Proteomic and metabolomic features in patients with HCC responding to lenvatinib and anti-PD1 therapy</t>
  </si>
  <si>
    <t>https://doi.org/10.1016/j.celrep.2024.113877</t>
  </si>
  <si>
    <t>Summary Combination therapy (lenvatinib/programmed death-1 inhibitor) is effective for treating unresectable hepatocellular carcinoma (uHCC). We reveal that responders have better overall and progression-free survival, as well as high tumor mutation burden and special somatic variants. We analyze the proteome and metabolome of 82 plasma samples from patients with hepatocellular carcinoma (HCC; n = 51) and normal controls (n = 15), revealing that individual differences outweigh treatment differences. Responders exhibit enhanced activity in the alternative/lectin complement pathway and higher levels of lysophosphatidylcholines (LysoPCs), predicting a favorable prognosis. Non-responders are enriched for immunoglobulins, predicting worse outcomes. Compared to normal controls, HCC plasma proteins show acute inflammatory response and platelet activation, while LysoPCs decrease. Combination therapy increases LysoPCs/phosphocholines in responders. Logistic regression/random forest models using metabolomic features achieve good performance in the prediction of responders. Proteomic analysis of cancer tissues unveils molecular features that are associated with side effects in responders receiving combination therapy. In conclusion, our analysis identifies plasma features associated with uHCC responders to combination therapy.</t>
  </si>
  <si>
    <t>the study is in hepatocellular carcinoma (uHCC)</t>
  </si>
  <si>
    <t>Liu, Qian; Zhang, Jing; Guo, Chenchen; Wang, Mengcheng; Wang, Chenfei; Yan, Yilv; Sun, Liangdong; Wang, Di; Zhang, Lele; Yu, Huansha; Hou, Likun; Wu, Chunyan; Zhu, Yuming; Jiang, Gening; Zhu, Hongwen; Zhou, Yanting; Fang, Shanhua; Zhang, Tengfei; Hu, Liang; Li, Junqiang; Liu, Yansheng; Zhang, Hui; Zhang, Bing; Ding, Li; Robles, Ana I.; Rodriguez, Henry; Gao, Daming; Ji, Hongbin; Zhou, Hu; Zhang, Peng</t>
  </si>
  <si>
    <t>Proteogenomic characterization of small cell lung cancer identifies biological insights and subtype-specific therapeutic strategies</t>
  </si>
  <si>
    <t>https://doi.org/10.1016/j.cell.2023.12.004</t>
  </si>
  <si>
    <t>Summary We performed comprehensive proteogenomic characterization of small cell lung cancer (SCLC) using paired tumors and adjacent lung tissues from 112 treatment-naive patients who underwent surgical resection. Integrated multi-omics analysis illustrated cancer biology downstream of genetic aberrations and highlighted oncogenic roles of FAT1 mutation, RB1 deletion, and chromosome 5q loss. Two prognostic biomarkers, HMGB3 and CASP10, were identified. Overexpression of HMGB3 promoted SCLC cell migration via transcriptional regulation of cell junction-related genes. Immune landscape characterization revealed an association between ZFHX3 mutation and high immune infiltration and underscored a potential immunosuppressive role of elevated DNA damage response activity via inhibition of the cGAS-STING pathway. Multi-omics clustering identified four subtypes with subtype-specific therapeutic vulnerabilities. Cell line and patient-derived xenograft-based drug tests validated the specific therapeutic responses predicted by multi-omics subtyping. This study provides a valuable resource as well as insights to better understand SCLC biology and improve clinical practice.</t>
  </si>
  <si>
    <t>Yue, Jiawei; Guo, Hui; Ma, Jinhong; Shi, Weifeng; Wu, Yumin</t>
  </si>
  <si>
    <t>Novel prognostic signature for lung adenocarcinoma based on immune-related mRNA pairs</t>
  </si>
  <si>
    <t>https://doi.org/10.1016/j.heliyon.2024.e24397</t>
  </si>
  <si>
    <t>Lung adenocarcinoma (LUAD) is a highly lethal malignant tumor. While the involvement of multiple mRNAs in the progression of LUAD is well established, the potential diagnostic value of immune-related mRNAs (irmRNAs) in LUAD remains largely unexplored. In this study, we utilized RNA-seq, clinical data, and immune-related gene information from LUAD patients to identify differentially expressed immune-related mRNAs (DEirmRNAs) and developed a predictive risk model based on specific DEirmRNA pairs closely linked with patient prognosis. We classified patients into high-risk and low-risk groups and analyzed factors such as survival rate, clinical characteristics, gene enrichment, immune cell infiltration, tumor mutation load, and drug susceptibility. We confirmed the expression levels of these DEirmRNAs in tumor tissues using qRT-PCR assay. Our results showed that the low-risk group had a longer survival time and lower tumor mutation burden (TMB) and microsatellite instability (MSI) compared to the high-risk group. The high-risk group also had a significant reduction in the number of certain immune cells and a lower half-maximum inhibitor concentration (IC50). We identified specific DEirmRNA pairs that were up-regulated or down-regulated in tumor tissues compared to adjacent tissues. Our prognostic risk model based on DEirmRNA pairs could be used to predict the prognosis of LUAD patients and provide reference for better treatment.</t>
  </si>
  <si>
    <t>Fenizia, Francesca; Alborelli, Ilaria; Costa, Jose Luis; Vollbrecht, Claudia; Bellosillo, Beatriz; Dinjens, Winand; Endris, Volker; Heydt, Carina; Leonards, Katharina; Merkelback-Bruse, Sabine; Pfarr, Nicole; Marion, Ronald van; Allen, Christopher; Chaudhary, Ruchi; Gottimukkala, Rajesh; Hyland, Fiona; Wong-Ho, Elaine; Jermann, Philip; Machado, Jose Carlos; Hummel, Michael; Stenzinger, Albrecht; Normanno, Nicola</t>
  </si>
  <si>
    <t>Validation of a Targeted Next-Generation Sequencing Panel for Tumor Mutation Burden Analysis: Results from the Onconetwork Immuno-Oncology Consortium</t>
  </si>
  <si>
    <t>https://doi.org/10.1016/j.jmoldx.2021.04.008</t>
  </si>
  <si>
    <t>Tumor mutation burden (TMB) is evaluated as a biomarker of response to immunotherapy. We present the efforts of the Onconetwork Immuno-Oncology Consortium to validate a commercial targeted sequencing test for TMB calculation. A three-phase study was designed to validate the Oncomine Tumor Mutational Load (OTML) assay at nine European laboratories. Phase 1 evaluated reproducibility and accuracy on seven control samples. In phase 2, six formalin-fixed, paraffin-embedded samples tested with FoundationOne were reanalyzed with the OTML panel to evaluate concordance and reproducibility. Phase 3 involved analysis of 90 colorectal cancer samples with known microsatellite instability (MSI) status to evaluate TMB and MSI association. High reproducibility of TMB was demonstrated among the sites in the first and second phases. Strong correlation was also detected between mean and expected TMB in phase 1 (r2 = 0.998) and phase 2 (r2 = 0.96). Detection of actionable mutations was also confirmed. In colorectal cancer samples, the expected pattern of MSI-high/high-TMB and microsatellite stability/low-TMB was present, and gene signatures produced by the panel suggested the presence of a POLE mutation in two samples. The OTML panel demonstrated robustness and reproducibility for TMB evaluation. Results also suggest the possibility of using the panel for mutational signatures and variant detection. Collaborative efforts between academia and companies are crucial to accelerate the translation of new biomarkers into clinical research.</t>
  </si>
  <si>
    <t>Measures TMB (quantity of mutations) rather than identifying or validating specific neoantigens/vaccines.</t>
  </si>
  <si>
    <t>Millen, Rosemary; Kort, Willem W. B. De; Koomen, Mandy; Son, Gijs J. F. van; Gobits, Roán; Vries, Bas Penning de; Begthel, Harry; Zandvliet, Maurice; Doornaert, Patricia; Raaijmakers, Cornelis P. J.; Geurts, Maarten H.; Elias, Sjoerd G.; Es, Robert J. J. van; Bree, Remco de; Devriese, Lot A.; Willems, Stefan M.; Kranenburg, Onno; Driehuis, Else; Clevers, Hans</t>
  </si>
  <si>
    <t>Patient-derived head and neck cancer organoids allow treatment stratification and serve as a tool for biomarker validation and identification</t>
  </si>
  <si>
    <t>https://doi.org/10.1016/j.medj.2023.04.003</t>
  </si>
  <si>
    <t>Summary Background Organoids are in vitro three-dimensional structures that can be grown from patient tissue. Head and neck cancer (HNC) is a collective term used for multiple tumor types including squamous cell carcinomas and salivary gland adenocarcinomas. Methods Organoids were established from HNC patient tumor tissue and characterized using immunohistochemistry and DNA sequencing. Organoids were exposed to chemo- and radiotherapy and a panel of targeted agents. Organoid response was correlated with patient clinical response. CRISPR-Cas9-based gene editing of organoids was applied for biomarker validation. Findings A HNC biobank consisting of 110 models, including 65 tumor models, was generated. Organoids retained DNA alterations found in HNC. Comparison of organoid and patient response to radiotherapy (primary [n = 6] and adjuvant [n = 15]) indicated potential for guiding treatment options in the adjuvant setting. In organoids, the radio-sensitizing potential of cisplatin and carboplatin could be validated. However, cetuximab conveyed radioprotection in most models. HNC-targeted treatments were tested on 31 models, indicating possible novel treatment options with the potential for treatment stratification in the future. Activating PIK3CA mutations did not predict alpelisib response in organoids. Protein arginine methyltransferase 5 (PRMT5) inhibitors were identified as a potential treatment option for cyclin-dependent kinase inhibitor 2A (CDKN2A) null HNC. Conclusions Organoids hold potential as a diagnostic tool in personalized medicine for HNC. In vitro organoid response to radiotherapy (RT) showed a trend that mimics clinical response, indicating the predictive potential of patient-derived organoids. Moreover, organoids could be used for biomarker discovery and validation. Funding This work was funded by Oncode PoC 2018-P0003</t>
  </si>
  <si>
    <t>the study is in head and neck cancer</t>
  </si>
  <si>
    <t>Litchfield, Kevin; Stanislaw, Stacey; Spain, Lavinia; Gallegos, Lisa L.; Rowan, Andrew; Schnidrig, Desiree; Rosenbaum, Heidi; Harle, Alexandre; Au, Lewis; Hill, Samantha M.; Tippu, Zayd; Thomas, Jennifer; Thompson, Lisa; Xu, Hang; Horswell, Stuart; Barhoumi, Aoune; Jones, Carol; Leith, Katherine F.; Burgess, Daniel L.; Watkins, Thomas B. K.; Lim, Emilia; Birkbak, Nicolai J.; Lamy, Philippe; Nordentoft, Iver; Dyrskjøt, Lars; Pickering, Lisa; Hazell, Stephen; Jamal-Hanjani, Mariam; Abbosh, Chris; Shiu, Kai-Keen; Bridgewater, John; Hochhauser, Daniel; Forster, Martin; Lee, Siow-Ming; Ahmad, Tanya; Papadatos-Pastos, Dionysis; Janes, Sam; Loo, Peter Van; Enfield, Katey; McGranahan, Nicholas; Huebner, Ariana; Quezada, Sergio; Beck, Stephan; Parker, Peter; Walczak, Henning; Enver, Tariq; Hynds, Rob; Falzon, Mary; Proctor, Ian; Sinclair, Ron; Lok, Chi-wah; Rhodes, Zoe; Moore, David; Marafioti, Teresa; Borg, Elaine; Mitchison, Miriam; Khiroya, Reena; Trevisan, Giorgia; Ellery, Peter; Linch, Mark; Brandner, Sebastian; Hiley, Crispin; Veeriah, Selvaraju; Razaq, Maryam; Shaw, Heather; Attard, Gert; Akther, Mita Afroza; Naceur-Lombardelli, Cristina; Manzano, Lizi; Al-Bakir, Maise; Summan, Simranpreet; Kanu, Nnenna; Ward, Sophie; Asghar, Uzma; Lim, Emilia; Gishen, Faye; Tookman, Adrian; Stone, Paddy; Stirling, Caroline; Furness, Andrew; Edmonds, Kim; Hunter, Nikki; Sarker, Sarah; Vaughan, Sarah; Mangwende, Mary; Pearce, Karla; Spain, Lavinia; Shepherd, Scott; Yan, Haixi; Shum, Ben; Carlyle, Eleanor; Hazell, Steve; Fendler, Annika; Byrne, Fiona; Yousaf, Nadia; Popat, Sanjay; Curtis, Olivia; Stamp, Gordon; Toncheva, Antonia; Nye, Emma; Murra, Aida; Korteweg, Justine; Sheikh, Nahid; Josephs, Debra; Chandra, Ashish; Spicer, James; Mahadeva, Ula; Green, Anna; Stewart, Ruby; Iredale, Lara-Rose; Mackay, Tina; Deakin, Ben; Enting, Debra; Rudman, Sarah; Ghosh, Sharmistha; Karapagniotou, Lena; Pintus, Elias; Tutt, Andrew; Howlett, Sarah; Michalarea, Vasiliki; Brenton, James; Caldas, Carlos; Fitzgerald, Rebecca; Jimenez-Linan, Merche; Provenzano, Elena; Cluroe, Alison; Stewart, Grant; Watts, Colin; Gilbertson, Richard; McDermott, Ultan; Tavare, Simon; Beddowes, Emma; Roxburgh, Patricia; Biankin, Andrew; Chalmers, Anthony; Fraser, Sioban; Oien, Karin; Kidd, Andrew; Blyth, Kevin; Krebs, Matt; Blackhall, Fiona; Summers, Yvonne; Dive, Caroline; Marais, Richard; Gomes, Fabio; Carter, Mat; Dransfield, Jo; Quesne, John Le; Fennell, Dean; Shaw, Jacqui; Naidu, Babu; Baijal, Shobhit; Tanchel, Bruce; Langman, Gerald; Robinson, Andrew; Collard, Martin; Cockcroft, Peter; Ferris, Charlotte; Bancroft, Hollie; Kerr, Amy; Middleton, Gary; Webb, Joanne; Kadiri, Salma; Colloby, Peter; Olisemeke, Bernard; Wilson, Rodelaine; Tomlinson, Ian; Jogai, Sanjay; Ottensmeier, Christian; Harrison, David; Loda, Massimo; Flanagan, Adrienne; McKenzie, Mairead; Hackshaw, Allan; Ledermann, Jonathan; Sharp, Abby; Farrelly, Laura; Bridger, Hayley; Larkin, James; Swanton, Charles; Alexander, Nelson R.; Turajlic, Samra</t>
  </si>
  <si>
    <t>Representative Sequencing: Unbiased Sampling of Solid Tumor Tissue</t>
  </si>
  <si>
    <t>https://doi.org/10.1016/j.celrep.2020.107550</t>
  </si>
  <si>
    <t>Summary Although thousands of solid tumors have been sequenced to date, a fundamental under-sampling bias is inherent in current methodologies. This is caused by a tissue sample input of fixed dimensions (e.g., 6 mm biopsy), which becomes grossly under-powered as tumor volume scales. Here, we demonstrate representative sequencing (Rep-Seq) as a new method to achieve unbiased tumor tissue sampling. Rep-Seq uses fixed residual tumor material, which is homogenized and subjected to next-generation sequencing. Analysis of intratumor tumor mutation burden (TMB) variability shows a high level of misclassification using current single-biopsy methods, with 20% of lung and 52% of bladder tumors having at least one biopsy with high TMB but low clonal TMB overall. Misclassification rates by contrast are reduced to 2% (lung) and 4% (bladder) when a more representative sampling methodology is used. Rep-Seq offers an improved sampling protocol for tumor profiling, with significant potential for improved clinical utility and more accurate deconvolution of clonal structure.</t>
  </si>
  <si>
    <t>Montagne, Janelle M.; Mitchell, Jacob T.; Tandurella, Joseph A.; Christenson, Eric S.; Danilova, Ludmila V.; Deshpande, Atul; Loth, Melanie; Sidiropoulos, Dimitrios N.; Davis-Marcisak, Emily; Bergman, Daniel R.; Zhu, Qingfeng; Wang, Hao; Kagohara, Luciane T.; Engle, Logan L.; Green, Benjamin F.; Favorov, Alexander V.; Ho, Won Jin; Lim, Su Jin; Zhang, Rui; Li, Pan; Gai, Jessica; Mo, Guanglan; Mitchell, Sarah; Wang, Rulin; Vaghasia, Ajay; Hou, Wenpin; Xu, Yao; Zimmerman, Jacquelyn W.; Elisseeff, Jennifer H.; Yegnasubramanian, Srinivasan; Anders, Robert A.; Jaffee, Elizabeth M.; Zheng, Lei; Fertig, Elana J.</t>
  </si>
  <si>
    <t>CD137 agonism enhances anti-PD1 induced activation of expanded CD8+ T cell clones in a neoadjuvant pancreatic cancer clinical trial</t>
  </si>
  <si>
    <t>https://doi.org/10.1016/j.isci.2024.111569</t>
  </si>
  <si>
    <t>Summary Successful pancreatic ductal adenocarcinoma (PDAC) immunotherapy requires therapeutic combinations that induce quality T cells. Tumor microenvironment (TME) analysis following therapeutic interventions can identify response mechanisms, informing design of effective combinations. We provide a reference single-cell dataset from tumor-infiltrating leukocytes (TILs) from a human neoadjuvant clinical trial comparing the granulocyte-macrophage colony-stimulating factor (GM-CSF)-secreting allogeneic PDAC vaccine GVAX alone, in combination with anti-PD1 or with both anti-PD1 and CD137 agonist. Treatment with GVAX and anti-PD-1 led to increased CD8+ T cell activation and expression of cytoskeletal and extracellular matrix (ECM)-interacting components. Addition of CD137 agonist increased abundance of clonally expanded CD8+ T cells and increased immunosuppressive TREM2 signaling in tumor associated macrophages (TAMs), identified by comparison of ligand-receptor networks, corresponding to changes in metabolism and ECM interactions. These findings associate therapy with GVAX, anti-PD1, and CD137 agonist with enhanced CD8+ T cell function while inducing alternative immunosuppressive pathways in patients with PDAC.</t>
  </si>
  <si>
    <t>the study is in pancreatic ductal adenocarcinoma (PDAC</t>
  </si>
  <si>
    <t>Wang, Jin; Jiang, Dongbo; Zheng, Xiaoqi; Li, Wang; Zhao, Tian; Wang, Di; Yu, Huansha; Sun, Dongqing; Li, Ziyi; Zhang, Jian; Zhang, Zhe; Hou, Likun; Jiang, Gening; Fei, Ke; Zhang, Fan; Yang, Kun; Zhang, Peng</t>
  </si>
  <si>
    <t>Tertiary lymphoid structure and decreased CD8+ T cell infiltration in minimally invasive adenocarcinoma</t>
  </si>
  <si>
    <t>https://doi.org/10.1016/j.isci.2022.103883</t>
  </si>
  <si>
    <t>Summary Knowledge of the tumor microenvironment (TME) in patients with early lung cancer, especially in comparison with the matched adjacent tissues, remains lacking. To characterize TME of early-stage lung adenocarcinoma, we performed RNA-seq profiling on 58 pairs of minimally invasive adenocarcinoma (MIA) tumors and matched adjacent normal tissues. MIA tumors exhibited an adaptive TME characterized by high CD4+ T cell infiltration, high B-cell activation, and low CD8+ T cell infiltration. The high expression of markers for B cells, activated CD4+ T cells, and follicular helper T (Tfh) cells in bulk MIA samples and three independent single-cell RNA-seq datasets implied tertiary lymphoid structures (TLS) formation. Multiplex immunohistochemistry staining validated TLS formation and revealed an enrichment of follicular regulatory T cells (Tfr) in TLS follicles, which may explain the lower CD8+ T cell infiltration and attenuated anti-tumor immunity in MIA. Our study demonstrates how integrating transcriptome and pathology characterize TME and elucidate potential mechanisms of tumor immune evasion.</t>
  </si>
  <si>
    <t>Focuses on immune cell infiltration/TLS, not neoantigen identification or vaccines.</t>
  </si>
  <si>
    <t>Ishiguro, Susumu; Upreti, Deepa; Bassette, Molly; Singam, E. R. Azhagiya; Thakkar, Ravindra; Loyd, Mayme; Inui, Makoto; Comer, Jeffrey; Tamura, Masaaki</t>
  </si>
  <si>
    <t>Local immune checkpoint blockade therapy by an adenovirus encoding a novel PD-L1 inhibitory peptide inhibits the growth of colon carcinoma in immunocompetent mice</t>
  </si>
  <si>
    <t>https://doi.org/10.1016/j.tranon.2021.101337</t>
  </si>
  <si>
    <t>A novel peptide that interferes with the PD-1/PD-L1 immune checkpoint pathway, termed PD-L1 inhibitory peptide 3 (PD-L1ip3), was computationally designed, experimentally validated for its specific binding to PD-L1, and evaluated for its antitumor effects in cell culture and in a mouse colon carcinoma syngeneic murine model. In several cell culture studies, direct treatment with PD-L1ip3, but not a similar peptide with a scrambled sequence, substantially increased death of CT26 colon carcinoma cells when co-cultured with murine CD8+ T cells primed by CT26 cell antigens. In a syngeneic mouse tumor model, the growth of CT26 tumor cells transduced with the PD-L1ip3 gene by an adenovirus vector was significantly slower than that of un-transduced CT26 cells in immunocompetent mice. This tumor growth attenuation was further enhanced by the coadministration of the peptide form of PD-L1ip3 (10 mg/kg/day). The current study suggests that this peptide can stimulate host antitumor immunity via blockade of the PD-1/PD-L1 pathway, thereby increasing CD8+ T cell-induced death of colon carcinoma cells. The tumor site-specific inhibition of PD-L1 by an adenovirus carrying the PD-L1ip3 gene, together with direct peptide treatment, may be used as a local immune checkpoint blockade therapy to inhibit colon carcinoma growth.</t>
  </si>
  <si>
    <t>Ahmadi, Mohsen; Tajik, Zahra; Salmani, Kiana; Ghadyani, Fatemeh; Ghafouri-Fard, Soudeh</t>
  </si>
  <si>
    <t>The multifaceted functions of lncRNA PTPRG-AS1 in human cancers: An in-depth investigation through extensive bioinformatic analyses and literature review</t>
  </si>
  <si>
    <t>Advances in Cancer Biology - Metastasis</t>
  </si>
  <si>
    <t>https://doi.org/10.1016/j.adcanc.2025.100159</t>
  </si>
  <si>
    <t>Long non-coding RNAs (lncRNAs) have important roles in gene regulation and disease pathogenesis. Among them, PTPRG-AS1 (Protein Tyrosine Phosphatase Receptor Type G Antisense RNA 1) has emerged as a potential player in several cancers, particularly breast cancer. This lncRNA has also been found to be over-expressed in nasopharyngeal carcinoma and lung cancer, among other cancers. Moreover, up-regulation of this lncRNA is associated with metastatic potential of gastric cancer, epithelial ovarian cancer, osteosarcoma, hepatocellular carcinoma and triple negative breast cancer. Several microRNAs have been reported as potential interacting molecules with PTPRG-AS1. This article explores the role of PTPRG-AS1 through a literature-based review and bioinformatics analysis, highlighting its molecular mechanisms, expression patterns, and clinical implications. The data summarized in this review may help design of novel anti-cancer therapies, particularly focusing on combating cancer hallmarks, such as stemness and invasion. However, further experimental validation is needed before implementation of these results in the clinical settings.</t>
  </si>
  <si>
    <t>Jagodinsky, Justin C.; Harari, Paul M.; Morris, Zachary S.</t>
  </si>
  <si>
    <t>The Promise of Combining Radiation Therapy With Immunotherapy</t>
  </si>
  <si>
    <t>International Journal of Radiation Oncology*Biology*Physics</t>
  </si>
  <si>
    <t>https://doi.org/10.1016/j.ijrobp.2020.04.023</t>
  </si>
  <si>
    <t>The development of immunotherapy in oncology builds upon many years of scientific investigation into the cellular mechanics underlying interactions between tumor cells and immune cell populations. The past decade has brought an accelerating pace to the clinical investigation of new immunotherapy agents, particularly in the setting of metastatic disease. The integration of immunotherapy into phase 3 clinical trial design has lagged in settings of advanced locoregional disease, where combination with radiation therapy may be critical. Yet, such may be the settings where immunotherapies have their greatest potential to affect patient survival and achieve curative outcomes. In this review, we discuss the interaction of radiation with the immune system and the potential to augment antitumor immunity through combined-modality approaches that integrate radiation and immunotherapies. The dynamics of cellular and tumor response to radiation offer unique opportunities for beneficial interplay with immunotherapy that may go unrecognized with conventional screening and monotherapy clinical testing of novel pharmaceutical agents. Using immune checkpoint blockade as a primary example, we discuss recent preclinical and clinical studies that illustrate the potential synergy of such therapies in combination with radiation, and we highlight the potential clinical value of such interactions. For various immunotherapy agents, their greatest clinical effect may rest in combination with radiation, and efforts to facilitate systematic investigation of this approach are highly warranted.</t>
  </si>
  <si>
    <t>Gillissen, Marijn A.; Kedde, Martijn; Jong, Greta de; Moiset, Gemma; Yasuda, Etsuko; Levie, Sophie E.; Bakker, Arjen Q.; Claassen, Yvonne B.; Wagner, Koen; Böhne, Martino; Hensbergen, Paul J.; Speijer, Dave; Helden, Pauline M. van; Beaumont, Tim; Spits, Hergen; Hazenberg, Mette D.</t>
  </si>
  <si>
    <t>AML-specific cytotoxic antibodies in patients with durable graft-versus-leukemia responses</t>
  </si>
  <si>
    <t>https://doi.org/10.1182/blood-2017-02-768762</t>
  </si>
  <si>
    <t>Most patients with acute myeloid leukemia (AML) can only be cured when allogeneic hematopoietic stem-cell transplantation induces a graft-versus-leukemia immune response (GVL). Although the role of T cells and natural killer cells in tumor immunology has been established, less is known about the contribution of B cells. From B cells of high-risk patients with AML with potent and lasting GVL responses, we isolated monoclonal antibodies directed against antigens expressed on the cell surface of AML cells but not on normal hematopoietic and nonhematopoietic cells. A number of these donor-derived antibodies recognized the U5 snRNP200 complex, a component of the spliceosome that in normal cells is found in the cell. In AML however, the U5 snRNP200 complex is exposed on the cell membrane of leukemic blasts. U5 snRNP200 complex–specific antibodies induced death of AML cells in an Fc receptor–dependent way in the absence of cytotoxic leukocytes or complement. In an AML mouse model, treatment with U5 snRNP200 complex–specific antibodies led to significant tumor growth inhibition. Thus, donor-derived U5 snRNP200 complex–recognizing AML-specific antibodies may contribute to antitumor responses.</t>
  </si>
  <si>
    <t>the study is in acute myeloid leukemia (AML)</t>
  </si>
  <si>
    <t>P．K．, Suresh; Banerjee, Arindam; Singh, Preeti</t>
  </si>
  <si>
    <t>Promises and challenges for targeting the immunological players in the tumor micro-environment – Critical determinants for NP-based therapy</t>
  </si>
  <si>
    <t>https://doi.org/10.1016/j.onano.2023.100134</t>
  </si>
  <si>
    <t>Immunotherapy holds great promises to address an effective and durable therapeutic response in a wider range of cancer types. However, the understanding of the complex immune biology interactions within the Tumour Immune Microenvironment (TiME) is limited. This aspect, coupled with the unmet challenges pertaining to the development and testing of drug delivery modes and operations, has overall resulted in a large attrition rate with few anti-cancer therapeutics reaching the clinic. Also, a thorough understanding of the cellular features of the other components of the TiME in terms of the spatial and temporal heterogeneity of the cell types, stoichiometries, functional states will further aid in expediting the drug discovery process. Better understanding of the evolving immunological players within the Tumour Microenvironment (TME), that dictate the process of evasion governed by the tumours, will present opportunities for targeted interventions, including those involving NP-based delivery strategies. Moreover, development of more physiologically relevant models requires the utilization of ex vivo patient-specific materials or traditional cell line-based mono and/or heterotypic culture models that can recapitulate the TiME. Such models can be used to test potential drug candidates, including NP (nanoparticle)-based drug delivery constructs for their targetability, deep tumor penetration as well as the pharmacological responses efficiently and expeditiously. NP-based drug delivery requires the passage of the NP-drug conjugate through various anatomical and pathological barriers, before it reaches its site of action. One of the determinants affecting biodistribution, transport, uptake and clearance involves the dynamic protein corona (PC) around the NP that confers a new “biological identity”. Hence, the PC should be modelled using systems that will recapitulate their in vivo formation, evolution and turnover, aside from the employment of analytical tools for their characterization. In summary, this review focuses on elucidation of TiME composition, advancements in in vitromodeling of TiME constitution, various treatment strategies and nanocarrier approaches to counter adverse TiME for enhancement of drug efficacy in order to improve clinical response.</t>
  </si>
  <si>
    <t>Berner, A. M.; Murugaesu, N.</t>
  </si>
  <si>
    <t>The Evolving Role of Genomics in Colorectal Cancer</t>
  </si>
  <si>
    <t>https://doi.org/10.1016/j.clon.2024.10.033</t>
  </si>
  <si>
    <t>Approximately 75% of colorectal cancers (CRCs) harbour an identifiable driver mutation, 5% of which are heritable. These drivers have recognised implications for prognosis and therapy selection. In addition, potential germline mutations require investigations to inform testing of relatives, as well as surveillance for other malignancies. With increasing numbers of targeted drugs being approved, judicious testing is required to ensure sufficient tumour sample is available for testing and at the right point in the cancer pathway. Liquid biopsy with circulating tumour DNA (ctDNA) in the blood presents an exciting adjunct to tumour tissue testing for molecular drivers, as well as escalation and de-escalation of therapy. Here, we review the most frequent molecular alterations in CRC, how genomic testing should be integrated into the treatment pathway for CRC, and sources of further education.</t>
  </si>
  <si>
    <t>Matola, Alexandra Tünde; Józsi, Mihály; Uzonyi, Barbara</t>
  </si>
  <si>
    <t>Overview on the role of complement-specific autoantibodies in diseases</t>
  </si>
  <si>
    <t>Molecular Immunology</t>
  </si>
  <si>
    <t>https://doi.org/10.1016/j.molimm.2022.08.011</t>
  </si>
  <si>
    <t>The complement system is recognized as a major pathogenic or contributing factor in an ever-growing number of diseases. In addition to inherited factors, autoantibodies to complement proteins have been detected in various systemic and organ-specific disorders. These include antibodies directed against complement components, regulators and receptors, but also protein complexes such as autoantibodies against complement convertases. In some cases, the autoantibodies are relatively well characterized and a pathogenic role is incurred and their detection has diagnostic value. In other cases, the relevance of the autoantibodies is rather unclear. This review summarizes what we know of complement specific autoantibodies in diseases and identifies unresolved questions regarding their functional effect and relevance.</t>
  </si>
  <si>
    <t>Zhang, Xiaoyan; Yang, Ling; Lei, Wanjun; Hou, Qiang; Huang, Ming; Zhou, Rongjing; Enver, Tariq; Wu, Shixiu</t>
  </si>
  <si>
    <t>Single-cell sequencing reveals CD133+CD44−-originating evolution and novel stemness related variants in human colorectal cancer</t>
  </si>
  <si>
    <t>eBioMedicine</t>
  </si>
  <si>
    <t>https://doi.org/10.1016/j.ebiom.2022.104125</t>
  </si>
  <si>
    <t>Summary Background Tumor heterogeneity of human colorectal cancer (CRC)-initiating cells (CRCICs) in cancer tissues often represents aggressive features of cancer progression. For high-resolution examination of CRCICs, we performed single-cell whole-exome sequencing (scWES) and bulk cell targeted exome sequencing (TES) of CRCICs to investigate stemness-specific somatic alterations or clonal evolution. Methods Single cells of three subpopulations of CRCICs (CD133+CD44+, CD133−CD44+, and CD133+CD44− cells), CRC cells (CRCCs), and control cells from one CRC tissue were sorted for scWES. Then, we set up a mutation panel from scWES data and TES was used to validate mutation distribution and clonal evolution in additional 96 samples (20 patients) those were also sorted into the same three groups of CRCICs and CRCCs. The knock-down experiments were used to analyze stemness-related mutant genes. Neoantigens of these mutant genes and their MHC binding affinity were also analyzed. Findings Clonal evolution analysis of scWES and TES showed that the CD133+CD44− CRCICs were the likely origin of CRC before evolving into other groups of CRCICs/CRCCs. We revealed that AHNAK2, PLIN4, HLA-B, ALK, CCDC92 and ALMS1 genes were specifically mutated in CRCICs followed by the validation of their functions. Furthermore, four predicted neoantigens of AHNAK2 were identified and validated, which might have applications in immunotherapy for CRC patients. Interpretation All the integrative analyses above revealed clonal evolution of CRC and new markers for CRCICs and demonstrate the important roles of CRCICs in tumorigenesis and progression of CRCs. Funding A full list of funding bodies that contributed to this study can be found in the Acknowledgements section.</t>
  </si>
  <si>
    <t>Tsao, Hsiao-Wei; Anderson, Seth; Finn, Kenneth J.; Perera, Jonathan J.; Pass, Lomax F.; Schneider, Emily M.; Jiang, Aiping; Fetterman, Rachel; Chuong, Cun Lan; Kozuma, Kaiya; Stickler, Marcia M.; Creixell, Marc; Klaeger, Susan; Phulphagar, Kshiti Meera; Rachimi, Suzanna; Verzani, Eva K.; Olsson, Niclas; Dubrot, Juan; Pech, Matthew F.; Silkworth, Whitney; Lane-Reticker, Sarah Kate; Allen, Peter M.; Ibrahim, Kyrellos; Knudsen, Nelson H.; Cheng, Andrew Y.; Long, Adrienne H.; Ebrahimi-Nik, Hakimeh; Kim, Sarah Y.; Du, Peter P.; Iracheta-Vellve, Arvin; Robitschek, Emily J.; Suermondt, Juliette S. M. T.; Davis, Thomas G. R.; Wolfe, Clara H.; Atluri, Trisha; Olander, Kira E.; Rush, Jason S.; Sundberg, Thomas B.; McAllister, Fiona E.; Abelin, Jennifer G.; Firestone, Ari; Stokoe, David; Carr, Steven A.; Harding, Fiona A.; Yates, Kathleen B.; Manguso, Robert T.</t>
  </si>
  <si>
    <t>Targeting the aminopeptidase ERAP enhances antitumor immunity by disrupting the NKG2A-HLA-E inhibitory checkpoint</t>
  </si>
  <si>
    <t>https://doi.org/10.1016/j.immuni.2024.10.013</t>
  </si>
  <si>
    <t>Summary The aminopeptidase, endoplasmic reticulum aminopeptidase 1 (ERAP1), trims peptides for loading into major histocompatibility complex class I (MHC class I), and loss of this activity has broad effects on the MHC class I peptidome. Here, we investigated the impact of targeting ERAP1 in immune checkpoint blockade (ICB), as MHC class I interactions mediate both activating and inhibitory functions in antitumor immunity. Loss of ERAP sensitized mouse tumor models to ICB, and this sensitivity depended on CD8+ T cells and natural killer (NK) cells. In vivo suppression screens revealed that Erap1 deletion inactivated the inhibitory NKG2A-HLA-E checkpoint, which requires presentation of a restricted set of invariant epitopes (VL9) on HLA-E. Loss of ERAP altered the HLA-E peptidome, preventing NKG2A engagement. In humans, ERAP1 and ERAP2 showed functional redundancy for the processing and presentation of VL9, and loss of both inactivated the NKG2A checkpoint in cancer cells. Thus, loss of ERAP phenocopies the inhibition of the NKG2A-HLA-E pathway and represents an attractive approach to inhibit this critical checkpoint.</t>
  </si>
  <si>
    <t>Albrecht, Vincent; Müller-Reif, Johannes; Nordmann, Thierry M.; Mund, Andreas; Schweizer, Lisa; Geyer, Philipp E.; Niu, Lili; Wang, Juanjuan; Post, Frederik; Oeller, Marc; Metousis, Andreas; Nielsen, Annelaura Bach; Steger, Medini; Albrechtsen, Nicolai J. Wewer; Mann, Matthias</t>
  </si>
  <si>
    <t>Bridging the Gap From Proteomics Technology to Clinical Application: Highlights From the 68th Benzon Foundation Symposium</t>
  </si>
  <si>
    <t>https://doi.org/10.1016/j.mcpro.2024.100877</t>
  </si>
  <si>
    <t>The 68th Benzon Foundation Symposium brought together leading experts to explore the integration of mass spectrometry–based proteomics and artificial intelligence to revolutionize personalized medicine. This report highlights key discussions on recent technological advances in mass spectrometry–based proteomics, including improvements in sensitivity, throughput, and data analysis. Particular emphasis was placed on plasma proteomics and its potential for biomarker discovery across various diseases. The symposium addressed critical challenges in translating proteomic discoveries to clinical practice, including standardization, regulatory considerations, and the need for robust “business cases” to motivate adoption. Promising applications were presented in areas such as cancer diagnostics, neurodegenerative diseases, and cardiovascular health. The integration of proteomics with other omics technologies and imaging methods was explored, showcasing the power of multimodal approaches in understanding complex biological systems. Artificial intelligence emerged as a crucial tool for the acquisition of large-scale proteomic datasets, extracting meaningful insights, and enhancing clinical decision-making. By fostering dialog between academic researchers, industry leaders in proteomics technology, and clinicians, the symposium illuminated potential pathways for proteomics to transform personalized medicine, advancing the cause of more precise diagnostics and targeted therapies.</t>
  </si>
  <si>
    <t>Sun, Yunfan; Wu, Pin; Zhang, Zefan; Wang, Zejian; Zhou, Kaiqian; Song, Minfang; Ji, Yuan; Zang, Fenglin; Lou, Limu; Rao, Keqiang; Wang, Pengxiang; Gu, Yutong; Gu, Jie; Lu, Binbin; Chen, Limeng; Pan, Xiuqi; Zhao, Xiaojing; Peng, Lihua; Liu, Dongbing; Chen, Xiaofang; Wu, Kui; Lin, Penghui; Wu, Liang; Su, Yulin; Du, Min; Hou, Yingyong; Yang, Xinrong; Qiu, Shuangjian; Shi, Yinghong; Sun, Huichuan; Zhou, Jian; Huang, Xingxu; Peng, David H.; Zhang, Liye; Fan, Jia</t>
  </si>
  <si>
    <t>Integrated multi-omics profiling to dissect the spatiotemporal evolution of metastatic hepatocellular carcinoma</t>
  </si>
  <si>
    <t>https://doi.org/10.1016/j.ccell.2023.11.010</t>
  </si>
  <si>
    <t>Summary Comprehensive molecular analyses of metastatic hepatocellular carcinoma (HCC) are lacking. Here, we generate multi-omic profiling of 257 primary and 176 metastatic regions from 182 HCC patients. Primary tumors rich in hypoxia signatures facilitated polyclonal dissemination. Genomic divergence between primary and metastatic HCC is high, and early dissemination is prevalent. The remarkable neoantigen intratumor heterogeneity observed in metastases is associated with decreased T cell reactivity, resulting from disruptions to neoantigen presentation. We identify somatic copy number alterations as highly selected events driving metastasis. Subclones without Wnt mutations show a stronger selective advantage for metastasis than those with Wnt mutations and are characterized by a microenvironment rich in activated fibroblasts favoring a pro-metastatic phenotype. Finally, metastases without Wnt mutations exhibit higher enrichment of immunosuppressive B cells that mediate terminal exhaustion of CD8+ T cells via HLA-E:CD94-NKG2A checkpoint axis. Collectively, our results provide a multi-dimensional dissection of the complex evolutionary process of metastasis.</t>
  </si>
  <si>
    <t>Xin, Haisong; Zhou, Chaoxi; Wang, Guanglin; Liu, Yan; Zhang, Juan; Liu, Youqiang; Li, Baokun; Zhang, Jianfeng; Su, Mingming; Li, Zhihan; Wang, Guiying</t>
  </si>
  <si>
    <t>Heterogeneity of PD-L1 expression and CD8 lymphocyte infiltration in metastatic colorectal cancer and their prognostic significance</t>
  </si>
  <si>
    <t>https://doi.org/10.1016/j.heliyon.2023.e13048</t>
  </si>
  <si>
    <t>Purpose In recent years, immune checkpoint inhibitors have become a major therapeutic method for the treatment of metastatic colorectal cancer (mCRC). Growing evidence indicates that tumour-infiltrating lymphocytes (TILs) in the tumour microenvironment are a prerequisite for the effectiveness of PD-1/PD-L1 blockade therapy. In this study, we aimed to compare PD-L1 expression and cluster of differentiation 4 (CD4) and CD8 TIL infiltration in primary tumours and paired metastases. Patients and methods Altogether, 111 patients with mCRC who underwent surgery at our hospital were included. PD-L1, CD4, and CD8 expression were detected by immunohistochemistry in a tissue microarray. PD-L1 expression was assessed using the combined positivity score (CPS), and a score ≥1 was judged as positive. The area proportion of TILs with positive staining ≥10% was classified as “high”, while &lt;10% was classified as “low”. Results We observed the discordance of PD-L1 expression between primary tumours and paired metastases in 35/111 (31.5%) patients (κ = 0.137, P = 0.142). This heterogeneity was significantly correlated with discordance of CD8 TIL infiltration between primary tumours and paired metastases (P = 0.003). Compared with corresponding colorectal cancer tumours, lung metastases showed more CD8 TIL infiltration (P = 0.022, median: 8.5% vs. 5.0%), whereas liver metastases exhibited less CD8 TIL infiltration (P = 0.028, median: 3.0% vs. 5.0%). Area proportion of CD4+ and CD8+ TIL infiltration in lung metastases were all higher than those in liver metastases (P = 0.005, median: 15.0% vs. 9.0%; P = 0.001, median: 8.5% vs. 3.0%). Compared with p MMR (MSI-L/MS-S) subgroup, area proportion of CD8 TIL infiltration in primary tumours and CD4, CD8 TIL infiltration in paired metastases were all higher in d MMR (MSI-H) group (P = 0.026, median: 15.0% vs 5.0%; P = 0.039, median: 15.0% vs 9.0%; P = 0.015, median: 15.0% vs 5.0%). Preoperative chemo/radiotherapy may increase CD8 TIL infiltration in primary tumours (P = 0.045, median: 10.0% vs. 5.0%). CD8 TIL infiltration in primary tumours was an independent predictive factor for overall survival (HR 0.28, 95% CI 0.09–0.93, P = 0.038). Conclusion Heterogeneity in PD-L1 expression and CD8 TIL infiltration was found between primary tumours and paired metastases in mCRC. CD8 TIL infiltration in primary tumours could independently forecast the overall survival of patients with mCRC.</t>
  </si>
  <si>
    <t>Barker, Anna D.; Alba, Mario M.; Mallick, Parag; Agus, David B.; Lee, Jerry S. H.</t>
  </si>
  <si>
    <t>An Inflection Point in Cancer Protein Biomarkers: What was and What's Next</t>
  </si>
  <si>
    <t>https://doi.org/10.1016/j.mcpro.2023.100569</t>
  </si>
  <si>
    <t>Biomarkers remain the highest value proposition in cancer medicine today—especially protein biomarkers. Despite decades of evolving regulatory frameworks to facilitate the review of emerging technologies, biomarkers have been mostly about promise with very little to show for improvements in human health. Cancer is an emergent property of a complex system, and deconvoluting the integrative and dynamic nature of the overall system through biomarkers is a daunting proposition. The last 2 decades have seen an explosion of multiomics profiling and a range of advanced technologies for precision medicine, including the emergence of liquid biopsy, exciting advances in single-cell analysis, artificial intelligence (machine and deep learning) for data analysis, and many other advanced technologies that promise to transform biomarker discovery. Combining multiple omics modalities to acquire a more comprehensive landscape of the disease state, we are increasingly developing biomarkers to support therapy selection and patient monitoring. Furthering precision medicine, especially in oncology, necessitates moving away from the lens of reductionist thinking toward viewing and understanding that complex diseases are, in fact, complex adaptive systems. As such, we believe it is necessary to redefine biomarkers as representations of biological system states at different hierarchical levels of biological order. This definition could include traditional molecular, histologic, radiographic, or physiological characteristics, as well as emerging classes of digital markers and complex algorithms. To succeed in the future, we must move past purely observational individual studies and instead start building a mechanistic framework to enable integrative analysis of new studies within the context of prior studies. Identifying information in complex systems and applying theoretical constructs, such as information theory, to study cancer as a disease of dysregulated communication could prove to be “game changing” for the clinical outcome of cancer patients.</t>
  </si>
  <si>
    <t>Choi, Jaewon; Goulding, Scott P.; Conn, Brandon P.; McGann, Christopher D.; Dietze, Jared L.; Kohler, Jessica; Lenkala, Divya; Boudot, Antoine; Rothenberg, Daniel A.; Turcott, Paul J.; Srouji, John R.; Foley, Kendra C.; Rooney, Michael S.; Buuren, Marit M. van; Gaynor, Richard B.; Abelin, Jennifer G.; Addona, Terri A.; Juneja, Vikram R.</t>
  </si>
  <si>
    <t>Systematic discovery and validation of T cell targets directed against oncogenic KRAS mutations</t>
  </si>
  <si>
    <t>https://doi.org/10.1016/j.crmeth.2021.100084</t>
  </si>
  <si>
    <t>Summary Oncogenic mutations in KRAS can be recognized by T cells on specific class I human leukocyte antigen (HLA-I) molecules, leading to tumor control. To date, the discovery of T cell targets from KRAS mutations has relied on occasional T cell responses in patient samples or the use of transgenic mice. To overcome these limitations, we have developed a systematic target discovery and validation pipeline. We evaluate the presentation of mutant KRAS peptides on individual HLA-I molecules using targeted mass spectrometry and identify 13 unpublished KRASG12C/D/R/V mutation/HLA-I pairs and nine previously described pairs. We assess immunogenicity, generating T cell responses to nearly all targets. Using cytotoxicity assays, we demonstrate that KRAS-specific T cells and T cell receptors specifically recognize endogenous KRAS mutations. The discovery and validation of T cell targets from KRAS mutations demonstrate the potential for this pipeline to aid the development of immunotherapies for important cancer targets.</t>
  </si>
  <si>
    <t>strongly relevant</t>
  </si>
  <si>
    <t>Mills, Anne; Zadeh, Sara; Sloan, Emily; Chinn, Zachary; Modesitt, Susan C.; Ring, Kari L.</t>
  </si>
  <si>
    <t>Indoleamine 2,3-dioxygenase in endometrial cancer: a targetable mechanism of immune resistance in mismatch repair-deficient and intact endometrial carcinomas</t>
  </si>
  <si>
    <t>Modern Pathology</t>
  </si>
  <si>
    <t>https://doi.org/10.1038/s41379-018-0039-1</t>
  </si>
  <si>
    <t>Mismatch repair-deficient endometrial carcinomas are optimal candidates for immunotherapy given their high neoantigen loads, robust lymphoid infiltrates, and frequent PD-L1 expression. However, co-opting the PD-1/PD-L1 pathway is just one mechanism that tumors can utilize to evade host immunity. Another immune modulatory molecule that has been demonstrated in endometrial carcinoma is indoleamine 2,3-dioxygenase (IDO). We herein evaluate IDO expression in 60 endometrial carcinomas and assess results in relation to PD-L1 and mismatch repair status. IDO immunohistochemistry was performed on 60 endometrial carcinomas (20 Lynch syndrome (LS)-associated, 20 MLH1 promoter hypermethylated, and 20 mismatch repair-intact). Eight-five percent of endometrial carcinomas showed IDO tumor staining in &gt;1% of cells. Twenty-five percent were positive in &gt;25% of tumor cells and only 7% exceeded 50% staining. Mismatch repair-deficient cancers were more likely than mismatch repair-intact cancers to be &gt;25% IDO-positive (35% vs. 5% p = 0.024). Differences were amplified when Lynch syndrome-associated cases were evaluated in isolation (50% Lynch syndrome-associated vs. 10% mismatch repair-intact and MLH1-hypermethylated, p = 0.001). Of the four cases showing &gt;50% staining, three were Lynch syndrome-associated and one was MLH1-hypermethylated; no mismatch repair-intact cases had &gt;50% staining. Forty-three percent of IDO-positive tumors were also positive for PD-L1, whereas only two cases showed tumoral PD-L1 in the absence of IDO. In summary, IDO expression is prevalent in endometrial carcinomas and diffuse staining is significantly more common in mismatch repair-deficient cancers, particularly Lynch syndrome-associated cases. Given that the majority of PD-L1 positive cancers also express IDO, synergistic combination therapy with anti-IDO and anti-PD1/PD-L1 may be relevant in this tumor type. Furthermore, anti-IDO therapy may be an option for a small subset of mismatch repair-intact cancers.</t>
  </si>
  <si>
    <t>Greene, Evan; Finak, Greg; D'Amico, Leonard A.; Bhardwaj, Nina; Church, Candice D.; Morishima, Chihiro; Ramchurren, Nirasha; Taube, Janis M.; Nghiem, Paul T.; Cheever, Martin A.; Fling, Steven P.; Gottardo, Raphael</t>
  </si>
  <si>
    <t>New interpretable machine-learning method for single-cell data reveals correlates of clinical response to cancer immunotherapy</t>
  </si>
  <si>
    <t>Patterns</t>
  </si>
  <si>
    <t>https://doi.org/10.1016/j.patter.2021.100372</t>
  </si>
  <si>
    <t>Summary We introduce a new method for single-cell cytometry studies, FAUST, which performs unbiased cell population discovery and annotation. FAUST processes experimental data on a per-sample basis and returns biologically interpretable cell phenotypes, making it well suited for the analysis of complex datasets. We provide simulation studies that compare FAUST with existing methodology, exemplifying its strength. We apply FAUST to data from a Merkel cell carcinoma anti-PD-1 trial and discover pre-treatment effector memory T cell correlates of outcome co-expressing PD-1, HLA-DR, and CD28. Using FAUST, we then validate these correlates in cryopreserved peripheral blood mononuclear cell samples from the same study, as well as an independent CyTOF dataset from a published metastatic melanoma trial. Finally, we show how FAUST's phenotypes can be used to perform cross-study data integration in the presence of diverse staining panels. Together, these results establish FAUST as a powerful new approach for unbiased discovery in single-cell cytometry.</t>
  </si>
  <si>
    <t>Siddiqui, Mohd Aftab; Usmani, Afreen; Ansari, Mohd Nazam; Almoselhy, Rania I. M.</t>
  </si>
  <si>
    <t>Immune-related adverse events in immunotherapy: Challenges in diagnosis, monitoring, and management</t>
  </si>
  <si>
    <t>https://doi.org/10.1016/j.toxrep.2025.102036</t>
  </si>
  <si>
    <t>This article provides a comprehensive overview of safety and monitoring guidelines in immunotherapy, a rapidly advancing field in cancer and autoimmune treatment. Immunotherapy, which harnesses the body’s immune system to combat diseases, has shown remarkable promise but presents unique safety challenges requiring rigorous oversight. The article examines various immunotherapies, including immune checkpoint inhibitors, monoclonal antibodies, and cytokine therapies, highlighting potential adverse effects and the critical need for careful monitoring. It emphasizes pre-treatment assessments, risk stratification, and genetic and biomarker screening to identify high-risk patients. Detailed monitoring protocols, including laboratory tests, imaging, and clinical evaluations, are discussed to detect immune-related adverse events (irAEs) early. Strategies for managing both acute and chronic toxicities, such as dose adjustments and treatment interruptions, are outlined to ensure timely intervention and individualized care. The article also underscores the importance of patient education, compliance, and supportive care, emphasizing a multidisciplinary approach. Through this detailed review, healthcare professionals gain practical guidelines to optimize the safe and effective use of immunotherapies in clinical settings.</t>
  </si>
  <si>
    <t>Bonomi, M.; Bhateja, P.; Issa, M.; Klamer, B.; Pan, X.; Blakaj, A.; Karivedu, V.; Mousa, L.; Mitchell, D.; Gamez, M.; Kang, S.; Seim, Nolan B.; Old, M.; Carrau, R.; Rocco, J.; Blakaj, D.</t>
  </si>
  <si>
    <t>A predictive survival model for patients with head and neck squamous cell carcinoma treated with immune check point inhibitors</t>
  </si>
  <si>
    <t>Oral Oncology</t>
  </si>
  <si>
    <t>https://doi.org/10.1016/j.oraloncology.2020.104900</t>
  </si>
  <si>
    <t>Background ICIs have expanded treatment options for HNSCC. A minority of the patients respond to these expensive treatments. Patients and methods This is a single institutional retrospective review on 121 unresectable or metastatic HNSCC patients treated with ICIs. We predicted that inflammatory markers available through routine blood work, in addition to clinical characteristics may divide patients into groups more or less likely to respond to these agents. Here we develop and internally validate our nomogram to predict survival in patients treated with ICIs.</t>
  </si>
  <si>
    <t>Sung, Eunsil; Ko, Minkyung; Won, Ju-young; Jo, Yunju; Park, Eunyoung; Kim, Hyunjoo; Choi, Eunji; Jung, Ui-jung; Jeon, Jaehyoung; Kim, Youngkwang; Ahn, Hyejin; Choi, Da-som; Choi, Seunghyun; Hong, Youngeun; Park, Hyeyoung; Lee, Hanbyul; Son, Yong-Gyu; Park, Kyeongsu; Won, Jonghwa; Oh, Soo Jin; Lee, Seonmin; Kim, Kyu-pyo; Yoo, Changhoon; Song, Hyun Kyu; Jin, Hyung-seung; Jung, Jaeho; Park, Yoon</t>
  </si>
  <si>
    <t>LAG-3xPD-L1 bispecific antibody potentiates antitumor responses of T cells through dendritic cell activation</t>
  </si>
  <si>
    <t>https://doi.org/10.1016/j.ymthe.2022.05.003</t>
  </si>
  <si>
    <t>Several preclinical studies demonstrate that antitumor efficacy of programmed cell death-1 (PD-1)/programmed death-ligand 1 (PD-L1) blockade can be improved by combination with other checkpoint inhibitors. Lymphocyte-activation gene 3 (LAG-3) is an inhibitory checkpoint receptor involved in T cell exhaustion and tumor immune escape. Here, we describe ABL501, a bispecific antibody targeting LAG-3 and PD-L1 in modulating immune cell responses against tumors. ABL501 that efficiently inhibits both LAG-3 and PD-L1 pathways enhances the activation of effector CD4+ and CD8+ T cells with a higher degree than a combination of single anti-LAG-3 and anti-PD-L1. The augmented effector T cell responses by ABL501 resulted in mitigating regulatory-T-cell-mediated immunosuppression. Mechanistically, the simultaneous binding of ABL501 to LAG-3 and PD-L1 promotes dendritic cell (DC) activation and tumor cell conjugation with T cells that subsequently mounts effective CD8+ T cell responses. ABL501 demonstrates its potent in vivo antitumor efficacy in a humanized xenograft model and with knockin mice expressing human orthologs. The immune profiling analysis of peripheral blood reveals an increased abundance of LAG-3hiPD-1hi memory CD4+ T cell subset in relapsed cholangiocarcinoma patients after gemcitabine plus cisplatin therapy, which are more responsive to ABL501. This study supports the clinical evaluation of ABL501 as a novel cancer immunotherapeutic, and a first-in-human trial has started (NCT05101109).</t>
  </si>
  <si>
    <t>Focuses on Cholangiocarcinoma and humanized mouse models; no NSCLC data. Evaluates a checkpoint-blocking antibody (ABL501), not a neoantigen vaccine or prediction tool.</t>
  </si>
  <si>
    <t>Zhong, Sheng; Wu, Bo; Dubois, Frank; Deng, Davy; Bergholz, Johann S.; Hu, Wanming; Duan, Hao; Shao, Yujie; Liu, Jingyi; Liu, Luwei; Chen, Sitong; Hu, Yongfei; Zhao, Zheng; Yao, Maojin; Sai, Ke; Wang, Jian; Chen, Yinsheng; Ke, Chao; Zhang, Xiangheng; Yang, Qunying; Guo, Chengcheng; Zhang, Ji; Lin, Fuhua; Chen, Zhenghe; Li, Deipei; He, Zhenqiang; Li, Chang; Jiang, Xiaobing; Lu, Jie; Yang, Wenzhuo; Jiang, Tao; Chen, Zhongping; Beroukhim, Rameen; Zhao, Jean J.; Mou, Yonggao</t>
  </si>
  <si>
    <t>Genomic landscape and immunological profile of glioblastoma in East Asian patients</t>
  </si>
  <si>
    <t>https://doi.org/10.1016/j.xcrm.2025.102217</t>
  </si>
  <si>
    <t>Summary Glioblastoma multiforme (GBM) shows profound inter- and intratumoral heterogeneity, but differences across ancestries remain understudied. We assemble the largest cohort of GBMs from East Asian patients (EAS-GBM) and perform genomic and transcriptomic analyses. Transcriptomic clustering reveals distinct EAS-GBM molecular subtypes—proliferative (PL), neurosynaptic (NS), metabolic (MB), and immunomodulatory (IM)—based on activated biological pathways. We also identify protein markers enabling subtype classification in pathology. Comparative analysis with the predominantly European-ancestry The Cancer Genome Atlas (TCGA) GBM dataset (EUR-GBM) reveals similar main drivers, though EAS-GBMs lack the epidermal growth factor receptor (EGFR)-defined classical EUR-GBM subtype. EAS PL-GBMs display CCNE1/CCND2 overexpression, with myelocytomatosis viral oncogene (MYC) signaling activation. The IM-GBM cluster exhibits an immunotherapy-responsive expression profile, corroborated by improved overall survival under immune checkpoint blockade in an external dataset. Together, our data reveal distinctive genomic features of EAS-GBMs that may inform patient stratification for targeted therapy and drug development tailored to the EAS population.</t>
  </si>
  <si>
    <t>Liu, Zhixian; Li, Mengyuan; Jiang, Zehang; Wang, Xiaosheng</t>
  </si>
  <si>
    <t>A Comprehensive Immunologic Portrait of Triple-Negative Breast Cancer</t>
  </si>
  <si>
    <t>https://doi.org/10.1016/j.tranon.2018.01.011</t>
  </si>
  <si>
    <t>Triple-negative breast cancer (TNBC) is a high-risk malignancy due to its high capacity for invasion and lack of targeted therapy. Immunotherapy continues to demonstrate efficacy in a variety of cancers, and thus may be a promising strategy for TNBC given the limited therapeutic options currently available for TNBC. In this study, we performed an exhaustive analysis of immunogenic signatures in TNBC based on 2 large-scale breast cancer (BC) genomic data. We compared enrichment levels of 26 immune cell activities and pathways among TNBC, non-TNBC, and normal tissue, and within TNBCs of different genotypic or phenotypic features. We found that almost all analyzed immune activities and pathways had significantly higher enrichment levels in TNBC than non-TNBC. Elevated enrichment of these immune activities and pathways was likely to be associated with better survival prognosis in TNBC. This study demonstrated that TNBC likely exhibits the strongest immunogenicity among BC subtypes, and thus warrants the immunotherapeutic option for TNBC.</t>
  </si>
  <si>
    <t>Cortesi, L.; Venturelli, M.; Cortesi, G.; Caggia, F.; Toss, A.; Barbieri, E.; Giorgi, U. De; Guarneri, V.; Musolino, A.; Matteis, E. De; Zambelli, A.; Bisagni, G.; Dominici, M.</t>
  </si>
  <si>
    <t>A phase II study of pembrolizumab plus carboplatin in BRCA-related metastatic breast cancer (PEMBRACA)</t>
  </si>
  <si>
    <t>https://doi.org/10.1016/j.esmoop.2023.101207</t>
  </si>
  <si>
    <t>Background BRCA1/2-related metastatic breast cancers (mBC) are sensitive to DNA-damage agents and show high tumor-infiltrated lymphocytes. We hypothesized that the association between pembrolizumab and carboplatin could be active in BRCA-related mBC. Patients and methods In this phase II Simon’s design multicenter single-arm study, BRCA1/2-related mBC patients received carboplatin at area under the curve 6 every 3 weeks for six courses associated with 200 mg pembrolizumab every 3 weeks until disease progression or unacceptable toxicity. The primary aim at first stage was overall response rate (ORR) ≥70%. Disease control rate (DCR), time to progression (TTP), duration of response (DOR), and overall survival (OS) were the secondary aims. Results Among 22 patients enrolled at the first stage, 5 BRCA1 and 17 BRCA2, 16 (76%) were luminal tumors and 6 (24%) triple-negative BC (TNBC). In 21 patients, ORR and DCR were 43% and 76% (47% and 87% in luminal, 33% and 50% in TNBC), respectively. TTP was 7.1 months, DOR was 6.3 months, and median OS was not reached. Grade ≥3 adverse events (AEs) or serious AEs occurred in 5/22 patients (22.7%). Since the primary aim was not met, the study was terminated at the first stage. Conclusions Although the primary aim was not reached, data on efficacy and safety of pembrolizumab plus carboplatin in first-line visceral disease BRCA-related luminal mBC were provided and they need to be further investigated.</t>
  </si>
  <si>
    <t>Fernandes, Marta B.; Barata, João T.</t>
  </si>
  <si>
    <t>IL-7 and IL-7R in health and disease: An update through COVID times</t>
  </si>
  <si>
    <t>https://doi.org/10.1016/j.jbior.2022.100940</t>
  </si>
  <si>
    <t>The role of IL-7 and IL-7R for normal lymphoid development and an adequately functioning immune system has been recognized for long, with severe immune deficiency and lymphoid leukemia as extreme examples of the consequences of deregulation of the IL-7-IL-7R axis. In this review, we provide an update (focusing on the past couple of years) on IL-7 and IL-7R in health and disease. We highlight the findings on IL-7/IL-7R signaling mechanisms and the, sometimes controversial, impact of IL-7 and its receptor on leukocyte biology, COVID-19, acute lymphoblastic leukemia, and different solid tumors, as well as their relevance as therapeutic tools or targets.</t>
  </si>
  <si>
    <t>Wang, Chunsheng; Han, Linzhi; Zhang, Jianguo; Ji, Qian; Guo, Xiuli; Li, Yangyi; Li, Siqi; He, Jingyi; He, Fajian; Dai, Weijing; Li, Minghuan; Yu, Jinming; Chen, Dawei; Gong, Yan; Xie, Conghua</t>
  </si>
  <si>
    <t>Radiotherapy in combination with PD-1 and TIGIT blockade mediate antitumor abscopal effects and immune memory via CD8+ T cells</t>
  </si>
  <si>
    <t>https://doi.org/10.1016/j.canlet.2025.217935</t>
  </si>
  <si>
    <t>This study investigated the synergistic antitumor effects of radiotherapy combined with anti-PD-1 and anti-TIGIT antibodies (aPD-1/aTIGIT), focusing on primary and abscopal tumor control, immune mechanisms, and long-term immune memory. Using bilateral subcutaneous tumor models (LLC, CMT-167, B16-F10, MC38) in C57/BL6 mice, we demonstrated that triple therapy (radiotherapy + aPD-1 + aTIGIT) significantly enhanced tumor regression and systemic antitumor responses. Flow cytometry, multicolor immunofluorescence, and single-cell transcriptomics revealed that triple therapy amplified CD8+ T cell activation, reversed exhaustion, and increased tumor infiltration. M1 macrophages exhibited robust immune activation and enhanced interactions with CD8+ T cells, driven by upregulated NF-κB, STAT1, and chemokine pathways. Longitudinal Luminex cytokine profiling identified sustained increases in TNF-α, CXCL10, and CCL5 post-treatment, supporting macrophage-T cell crosstalk. Rechallenge experiments and adoptive CD8+ T cell transfers confirmed that triple therapy generated durable central memory CD8+ T cells, which mediated antigen-specific immune memory and prevented tumor recurrence. These findings establish CD8+ T cells as central mediators of abscopal effects and long-term immunity, highlighting the critical role of M1 macrophage polarization in amplifying therapeutic synergy. By elucidating the mechanisms underlying resistance to PD-1 monotherapy, this study provides a translatable strategy to enhance clinical outcomes through radiotherapy-immunotherapy combinations.</t>
  </si>
  <si>
    <t>Wolf, Yochai; Bartok, Osnat; Patkar, Sushant; Eli, Gitit Bar; Cohen, Sapir; Litchfield, Kevin; Levy, Ronen; Jiménez-Sánchez, Alejandro; Trabish, Sophie; Lee, Joo Sang; Karathia, Hiren; Barnea, Eilon; Day, Chi-Ping; Cinnamon, Einat; Stein, Ilan; Solomon, Adam; Bitton, Lital; Pérez-Guijarro, Eva; Dubovik, Tania; Shen-Orr, Shai S.; Miller, Martin L.; Merlino, Glenn; Levin, Yishai; Pikarsky, Eli; Eisenbach, Lea; Admon, Arie; Swanton, Charles; Ruppin, Eytan; Samuels, Yardena</t>
  </si>
  <si>
    <t>UVB-Induced Tumor Heterogeneity Diminishes Immune Response in Melanoma</t>
  </si>
  <si>
    <t>https://doi.org/10.1016/j.cell.2019.08.032</t>
  </si>
  <si>
    <t>Summary Although clonal neo-antigen burden is associated with improved response to immune therapy, the functional basis for this remains unclear. Here we study this question in a novel controlled mouse melanoma model that enables us to explore the effects of intra-tumor heterogeneity (ITH) on tumor aggressiveness and immunity independent of tumor mutational burden. Induction of UVB-derived mutations yields highly aggressive tumors with decreased anti-tumor activity. However, single-cell-derived tumors with reduced ITH are swiftly rejected. Their rejection is accompanied by increased T cell reactivity and a less suppressive microenvironment. Using phylogenetic analyses and mixing experiments of single-cell clones, we dissect two characteristics of ITH: the number of clones forming the tumor and their clonal diversity. Our analysis of melanoma patient tumor data recapitulates our results in terms of overall survival and response to immune checkpoint therapy. These findings highlight the importance of clonal mutations in robust immune surveillance and the need to quantify patient ITH to determine the response to checkpoint blockade.</t>
  </si>
  <si>
    <t>Focuses on clonal diversity and ICI response, not neoantigen vaccine identification/pipelines.</t>
  </si>
  <si>
    <t>Yuan, Li; Li, Sini; Zhu, Yixiang; Yang, Lin; Zhang, Xue; Qu, Yan; Wang, Zhijie; Duan, Jianchun; Zhong, Jia; Tian, Yanhua; Liu, Lihui; Sun, Boyang; Fei, Kailun; Liu, Zheng; Zhang, Jian; He, Yan; Guo, Yufeng; He, DanMing; Zhuang, Wei; Zhang, Jinsong; Ma, Zixiao; Bai, Hua; Wang, Jie</t>
  </si>
  <si>
    <t>ATAD2 is a potential immunotherapy target for patients with small cell lung cancer harboring HLA-A∗0201</t>
  </si>
  <si>
    <t>https://doi.org/10.1016/j.ebiom.2024.105515</t>
  </si>
  <si>
    <t>Summary Background Small cell lung cancer (SCLC) represents a highly aggressive neuroendocrine tumour with a dismal prognosis. Currently, the identification of a specific tumour antigen that can facilitate immune-based therapies for SCLC remains elusive. Methods We employed liquid chromatography–tandem mass spectrometry (LC–MS/MS) to analyse cancer/testis antigens (CTAs) in SCLC cell lines and human tumour specimens. Immunohistochemistry of clinical specimens was performed to compare protein expression in SCLC, non-small cell lung cancer (NSCLC), and matched normal-adjacent tissues. Additionally, publicly available RNA sequencing databases were interrogated to identify gene expression patterns in different SCLC subtypes and in different disease stages. Findings Distinct numbers and types of CTAs were identified across SCLC subtypes, with significantly higher expression levels of ATPase family AAA domain-containing protein 2 (ATAD2) observed in SCLC compared to normal adjacent tissues and NSCLC tissues. A dynamic expression pattern of ATAD2 was found throughout the clinical course of SCLC and exhibited a positive correlation with achaete-scute family bHLH transcription factor 1 (ASCL1) expression in SCLC. Immunopeptidomics analysis identified the YSDDDVPSV sequence derived from the HLA-A∗02:01 restriction epitope of ATAD2 as a highly promising tumour antigen candidate for potential immunotherapy applications. YSDDDVPSV immunopeptides were confirmed to be present in SCLC-A and SCLC-N with HLA-A∗02:01 restriction. Notably, HLA-A∗02:01 T cells exhibited a robust response upon stimulation with YSDDDVPSV immunopeptide pulsed by T2 cells. Interpretation Our findings highlight the potential of targeting the ATAD2 YSDDDVPSV immunopeptide for SCLC immunotherapy, thereby offering a promising avenue for the development of adoptive T cell therapies to effectively treat ASCL1-positive or NEUROD1-positive SCLC carrying HLA-A∗02:01. Funding This study was supported by the National key R&amp;D program of China (2022YFC2505000); National Natural Science Foundation of China (NSFC) general program (82272796) NSFC special program (82241229); CAMS Innovation Fund for Medical Sciences (CIFMS 2022-I2M-1-009); CAMS Key Laboratory of Translational Research on Lung Cancer (2018PT31035); Aiyou foundation (KY201701). National key R&amp;D program of China (2022YFC2505004). NSFC general program (81972905). Medical Oncology Key Foundation of Cancer Hospital Chinese Academy of Medical Sciences (CICAMS-MOCP2022012).</t>
  </si>
  <si>
    <t>Investigates Tumor-Associated Antigens (TAAs/CTAs) rather than mutation-derived Neoantigens.</t>
  </si>
  <si>
    <t>Chen, Yuqing; Wang, Dongfang; Li, Yingjie; Qi, Lu; Si, Wen; Bo, Yufei; Chen, Xueyan; Ye, Zhaochen; Fan, Hongtao; Liu, Baolin; Liu, Chang; Zhang, Li; Zhang, Xiaoyan; Li, Zhongwu; Zhu, Linna; Wu, Aiwen; Zhang, Zemin</t>
  </si>
  <si>
    <t>Spatiotemporal single-cell analysis decodes cellular dynamics underlying different responses to immunotherapy in colorectal cancer</t>
  </si>
  <si>
    <t>https://doi.org/10.1016/j.ccell.2024.06.009</t>
  </si>
  <si>
    <t>Summary Expanding the efficacy of immune checkpoint blockade (ICB) in colorectal cancer (CRC) presses for a comprehensive understanding of treatment responsiveness. Here, we analyze multiple sequential single-cell samples from 22 patients undergoing PD-1 blockade to map the evolution of local and systemic immunity of CRC patients. In tumors, we identify coordinated cellular programs exhibiting distinct response associations. Specifically, exhausted T (Tex) or tumor-reactive-like CD8+ T (Ttr-like) cells are closely related to treatment efficacy, and Tex cells show correlated proportion changes with multiple other tumor-enriched cell types following PD-1 blockade. In addition, we reveal the less-exhausted phenotype of blood-associated Ttr-like cells in tumors and find that their higher abundance suggests better treatment outcomes. Finally, a higher major histocompatibility complex (MHC) II-related signature in circulating CD8+ T cells at baseline is linked to superior responses. Our study provides insights into the spatiotemporal cellular dynamics following neoadjuvant PD-1 blockade in CRC.</t>
  </si>
  <si>
    <t>Zhou, Caicun; Li, Chongyang; Luo, Libo; Li, Xin; Jia, Keyi; He, Ning; Mao, Shiqi; Wang, Wanying; Shao, Chuchu; Liu, Xinyu; Huang, Kan; Yu, Yaxin; Cai, Xinlei; Chen, Yingxue; Dai, Zican; Li, Wei; Yu, Jia; Li, Jiayu; Shen, Feng; Wang, Zaiyong; He, Feng; Sun, Xing; Mao, Rongfu; Shi, Wei; Zhang, Jun; Jiang, Tao; Zhang, Zhe; Li, Fei; Ren, Shengxiang</t>
  </si>
  <si>
    <t>Anti-tumor efficacy of HRS-4642 and its potential combination with proteasome inhibition in KRAS G12D-mutant cancer</t>
  </si>
  <si>
    <t>https://doi.org/10.1016/j.ccell.2024.06.001</t>
  </si>
  <si>
    <t>Summary KRAS G12D is the most frequently mutated oncogenic KRAS subtype in solid tumors and remains undruggable in clinical settings. Here, we developed a high affinity, selective, long-acting, and non-covalent KRAS G12D inhibitor, HRS-4642, with an affinity constant of 0.083 nM. HRS-4642 demonstrated robust efficacy against KRAS G12D-mutant cancers both in vitro and in vivo. Importantly, in a phase 1 clinical trial, HRS-4642 exhibited promising anti-tumor activity in the escalating dosing cohorts. Furthermore, the sensitization and resistance spectrum for HRS-4642 was deciphered through genome-wide CRISPR-Cas9 screening, which unveiled proteasome as a sensitization target. We further observed that the proteasome inhibitor, carfilzomib, improved the anti-tumor efficacy of HRS-4642. Additionally, HRS-4642, either as a single agent or in combination with carfilzomib, reshaped the tumor microenvironment toward an immune-permissive one. In summary, this study provides potential therapies for patients with KRAS G12D-mutant cancers, for whom effective treatments are currently lacking.</t>
  </si>
  <si>
    <t>Anastasio, Giorgia; Felaco, Michela; Lamolinara, Alessia; Pizzo, Francesco del; Cacciagrano, Elisa; Mottini, Carla; Mutarelli, Margherita; Modugno, Francesca Di; Iezzi, Manuela; Cardone, Luca</t>
  </si>
  <si>
    <t>Enhancing PDAC therapy: Decitabine-olaparib synergy targets KRAS-dependent tumors</t>
  </si>
  <si>
    <t>https://doi.org/10.1016/j.isci.2025.111842</t>
  </si>
  <si>
    <t>Summary Pancreatic ductal adenocarcinoma (PDAC) shows limited response to chemotherapy, partly due to the absence of effective biomarkers for personalized treatment. Kirsten rat sarcoma viral oncogene homolog (KRAS) mutations are found in 90% of PDAC cases, and tumors dependent on KRAS (dKRAS) can be identified using gene expression signature scores. Previous research indicates that dKRAS-PDAC cells are sensitive to decitabine (DEC), an FDA-approved drug for hematological cancers, though its use in solid tumors is limited by side effects. We discovered that low-dose DEC combined with the poly (ADP-ribose) polymerase (PARP) inhibitor olaparib (OLA) enhances antitumor activity in dKRAS-PDAC. DEC induces DNA damage and activates the ataxia telangiectasia (ATR)/ataxia telangiectasia mutated (ATM)-mediated DNA damage response (DDR), with PARP1-mediated repair playing a key role. Inhibiting PARP with OLA further improves efficacy, even in BRCA1/2-wild-type and homologous recombination (HR)-proficient tumors but not in KRAS-independent tumors. The combination was especially effective in dKRAS-PDAC with a BRCA2 mutation, preventing metastasis growth. Our results support the clinical evaluation of DEC+OLA in PDAC.</t>
  </si>
  <si>
    <t>Best, Sarah A.; Gubser, Patrick M.; Sethumadhavan, Shalini; Kersbergen, Ariena; Abril, Yashira L. Negrón; Goldford, Joshua; Sellers, Katherine; Abeysekera, Waruni; Garnham, Alexandra L.; McDonald, Jackson A.; Weeden, Clare E.; Anderson, Dovile; Pirman, David; Roddy, Thomas P.; Creek, Darren J.; Kallies, Axel; Kingsbury, Gillian; Sutherland, Kate D.</t>
  </si>
  <si>
    <t>Glutaminase inhibition impairs CD8 T cell activation in STK11-/Lkb1-deficient lung cancer</t>
  </si>
  <si>
    <t>Cell Metabolism</t>
  </si>
  <si>
    <t>https://doi.org/10.1016/j.cmet.2022.04.003</t>
  </si>
  <si>
    <t>Summary The tumor microenvironment (TME) contains a rich source of nutrients that sustains cell growth and facilitate tumor development. Glucose and glutamine in the TME are essential for the development and activation of effector T cells that exert antitumor function. Immunotherapy unleashes T cell antitumor function, and although many solid tumors respond well, a significant proportion of patients do not benefit. In patients with KRAS-mutant lung adenocarcinoma, KEAP1 and STK11/Lkb1 co-mutations are associated with impaired response to immunotherapy. To investigate the metabolic and immune microenvironment of KRAS-mutant lung adenocarcinoma, we generated murine models that reflect the KEAP1 and STK11/Lkb1 mutational landscape in these patients. Here, we show increased glutamate abundance in the Lkb1-deficient TME associated with CD8 T cell activation in response to anti-PD1. Combination treatment with the glutaminase inhibitor CB-839 inhibited clonal expansion and activation of CD8 T cells. Thus, glutaminase inhibition negatively impacts CD8 T cells activated by anti-PD1 immunotherapy.</t>
  </si>
  <si>
    <t>Lin, Feng; Yin, Shenyi; Zhang, Zijian; Yu, Ying; Fang, Haoming; Liang, Zhen; Zhu, Rujie; Zhou, Haitao; Li, Jianjie; Cao, Kunxia; Guo, Weiming; Qin, Shan; Zhang, Yuxuan; Lu, Chenghao; Li, Han; Liu, Shibo; Zhang, Heng; Ye, Buqing; Lin, Jian; Li, Yan; Kang, Xiaozheng; Xi, Jianzhong Jeff; Chen, Peng R.</t>
  </si>
  <si>
    <t>Multimodal targeting chimeras enable integrated immunotherapy leveraging tumor-immune microenvironment</t>
  </si>
  <si>
    <t>https://doi.org/10.1016/j.cell.2024.10.016</t>
  </si>
  <si>
    <t>Summary Although immunotherapy has revolutionized cancer treatment, its efficacy is affected by multiple factors, particularly those derived from the complexity and heterogeneity of the tumor-immune microenvironment (TIME). Strategies that simultaneously and synergistically engage multiple immune cells in TIME remain highly desirable but challenging. Herein, we report a multimodal and programmable platform that enables the integration of multiple therapeutic modules into single agents for tumor-targeted co-engagement of multiple immune cells within TIME. We developed the triple orthogonal linker (T-Linker) technology to integrate various therapeutic small molecules and biomolecules as multimodal targeting chimeras (Multi-TACs). The EGFR-CD3-PDL1 Multi-TAC facilitated T-dendritic cell co-engagement to target solid tumors with excellent efficacy, as demonstrated in vitro, in several humanized mouse models and in patient-derived tumor models. Furthermore, Multi-TACs were constructed to coordinate T cells with other immune cell types. The highly modular and programmable feature of our Multi-TACs may find broad applications in immunotherapy and beyond.</t>
  </si>
  <si>
    <t>Burga, Rachel A.; Aksoy, Bulent Arman; Ao, Zheng; Tchaicha, Jeremy H.; Sethi, Dhruv K.; Ocando, Alonso Villasmil; Kulkarni, Gauri S.; Lajoie, Scott; Pedro, Kyle D.; Tremblay, Jack Ryan; Langley, Meghan; Primack, Benjamin; Young, Violet A.; Ross, Theresa; Khattar, Mithun; Sun, Dexue; Li, Dan Jun; Subramanian, Shyam; Ols, Michelle; Meulen, Jan ter</t>
  </si>
  <si>
    <t>IL-2-independent expansion, persistence, and antitumor activity in TIL expressing regulatable membrane-bound IL-15</t>
  </si>
  <si>
    <t>https://doi.org/10.1016/j.ymthe.2025.04.031</t>
  </si>
  <si>
    <t>Adoptive cell therapy using tumor-infiltrating lymphocytes (TIL) has demonstrated great potential for patients with treatment-refractory metastatic melanoma. However, the need for interleukin-2 (IL-2) co-administration during TIL cell therapy limits patient eligibility and restricts treatment to intensive care units due to the risk of severe side effects. Instead, engineering TIL with membrane-bound interleukin-15 (mbIL15) has the potential to promote TIL expansion, antitumor activity, and persistence of CD8+ T cells, without the use of IL-2. cytoTIL15 cells express mbIL15 fused to a drug-responsive domain (DRD) that is regulated by the Food and Drug Administration-approved small-molecule drug acetazolamide (ACZ). As such, cytoTIL15 cells are manufactured with ACZ instead of IL-2, in the presence of engineered feeder cells. The cytoTIL15 cell product exhibits ACZ dose-dependent expansion and persistence in vitro and in vivo and potent tumor-killing activity in human melanoma models in the absence of IL-2. In patient-derived xenograft (PDX) tumors, spatial profiling revealed infiltrating cytoTIL15 cells to be highly cytotoxic and less exhausted than non-engineered TIL. This novel platform creates a powerful, IL-2-free TIL cell therapy with a potentially improved tolerability and safety profile, while allowing individualized pharmacologic regulation of the TIL product.</t>
  </si>
  <si>
    <t>Singh, Sima; Glovi, Alessandra; Miglione, Antonella; Cimmino, Wanda; Iula, Gabriella; Antonelli, Lorenzo; Cesaris, Massimo Giuseppe De; Felli, Nina; Martinelli, Canio; Laurentiis, Michelino De; Giordano, Antonio; Cinti, Stefano</t>
  </si>
  <si>
    <t>Electrochemical (bio)sensors for cancer therapy monitoring</t>
  </si>
  <si>
    <t>Electrochimica Acta</t>
  </si>
  <si>
    <t>https://doi.org/10.1016/j.electacta.2025.146929</t>
  </si>
  <si>
    <t>Traditional therapeutic methods fail to meet the demands of cancer therapy complexity and precision medicine requirements. Real-time point-of-care (POC) monitoring through molecular feedback is essential for these systems. Electrochemical biosensors drive this transition through their combination of high sensitivity and specificity with their ability to fit into miniaturized platforms. The article investigates the proper implementation of electrochemical biosensors for cancer therapy monitoring in real-time settings. The systems track circulating chemotherapeutic agents together with tumor-derived nucleic acids including circulating tumor DNA (ctDNA) and microRNA (miRNA) and assess oxidative stress markers and immune checkpoint proteins. Their capabilities support early detection of treatment failure, resistance development, and dosing needs and further critical components of precision oncology. This review evaluates the process of integrating electrochemical biosensors into portable, wearable and implantable systems for continuous cancer therapy monitoring. The combination of microfluidics with wireless transmission and advanced materials leads to improved functionality and biocompatibility. The use of artificial intelligence (AI) for signal analysis enables healthcare providers to make adaptive treatment choices. The systems that use clinically validated technologies show promising capabilities for real-world deployment. In conclusion, electrochemical biosensors mark a turning point in cancer care. By enabling real-time, biologically informed, and patient-specific monitoring, they bridge the gap between therapy and precision. These systems have the potential to revolutionize cancer treatment by becoming an adaptive and intelligent process when properly integrated into clinical practice.</t>
  </si>
  <si>
    <t>Sharma, Padmanee; Pachynski, Russell K.; Narayan, Vivek; Fléchon, Aude; Gravis, Gwenaelle; Galsky, Matthew D.; Mahammedi, Hakim; Patnaik, Akash; Subudhi, Sumit K.; Ciprotti, Marika; Simsek, Burcin; Saci, Abdel; Hu, Yanhua; Han, G. Celine; Fizazi, Karim</t>
  </si>
  <si>
    <t>Nivolumab Plus Ipilimumab for Metastatic Castration-Resistant Prostate Cancer: Preliminary Analysis of Patients in the CheckMate 650 Trial</t>
  </si>
  <si>
    <t>https://doi.org/10.1016/j.ccell.2020.08.007</t>
  </si>
  <si>
    <t>Summary Metastatic castration-resistant prostate cancer (mCRPC) is immunologically “cold” and predominantly resistant to immune checkpoint therapy due to few tumor-infiltrating T cells. Ipilimumab (anti-CTLA-4) or anti-PD-1/PD-L1 monotherapy failed to show a significant benefit. Although the PD-1/PD-L1 pathway is minimally expressed in prostate tumors, we previously demonstrated that PD-1/PD-L1 expression increases as a compensatory inhibitory pathway in parallel with an ipilimumab-induced increase in tumor-infiltrating T cells. Here, we report the largest trial to date in mCRPC with anti-CTLA-4 plus anti-PD-1 (nivolumab 1 mg/kg plus ipilimumab 3 mg/kg; CheckMate 650, NCT02985957). With median follow-ups of 11.9 and 13.5 months in cohorts 1 (pre-chemotherapy; n = 45) and 2 (post-chemotherapy; n = 45), objective response rate was 25% and 10%, and median overall survival was 19.0 and 15.2 months, respectively. Four patients, two in each cohort, had complete responses. Exploratory studies identify potential biomarkers of response. Grade 3–4 treatment-related adverse events have occurred in ∼42%–53% of patients, with four treatment-related deaths. Therefore, dose/schedule modifications have been implemented.</t>
  </si>
  <si>
    <t>Kortum, Fabian; Hartmann, Nina; Bryan, Alexander; Glauß, Sonja; Altomonte, Jennifer</t>
  </si>
  <si>
    <t>Syncytial death mediated by oncolytic rVSV-NDV dynamically activates immunogenic apoptosis and necroptosis in human lung cancer cells</t>
  </si>
  <si>
    <t>https://doi.org/10.1016/j.omton.2025.201027</t>
  </si>
  <si>
    <t>Recent work has indicated that oncolytic virotherapy leads to immunogenic cell death (ICD) as an important mechanism of action; however, the underlying cell death pathways leading to ICD have been less explored. Our previous data demonstrated that chimeric oncolytic recombinant vesicular stomatitis virus-Newcastle disease virus (rVSV-NDV) has a strong immune-stimulating potential that seems to be mediated by immunogenic syncytial oncolysis. In this work, we aimed to investigate the role of apoptosis and necroptosis in mediating syncytial cell death. In human lung cancer cell lines (A549 and H1437), we demonstrate that fusogenic rVSV-NDV and the parental virus, rVSV, both dynamically engage apoptosis and necroptosis signaling to mediate oncolysis. Genetic deletion of key death regulators (caspase-3, caspase-8, RIPK1, RIPK3, and MLKL) by CRISPR-Cas9 further illustrated a cell line-dependent flexibility to switch to alternative, non-apoptotic or non-necroptotic pathways, while maintaining viral replication and net oncolysis. Interestingly, genetic deletion of caspase-3 prolonged the syncytial phenotype and delayed their collapse, suggesting a crucial role of caspases during syncytial death. In vitro coculture experiments further revealed that rVSV-NDV-derived oncolysates induced significantly higher levels of differentiation and activation of human monocyte-derived dendritic cells than non-fusogenic rVSV-infected oncolysates. This illustrates the superior immunogenic potential inherent in fusogenic oncolytic viruses and warrants their further preclinical evaluation as next-generation, immune-modulating oncolytic virotherapies.</t>
  </si>
  <si>
    <t>Focuses on viral oncolysis and cell death signaling, not neoantigen identification.</t>
  </si>
  <si>
    <t>Zhang, Wen; Zhai, Yihui; Cai, Ying; Gong, Xiang; Jiang, Yunxuan; Rong, Rong; Zheng, Chao; Zhu, Binyu; Zhu, Helen He; Wang, Hao; Li, Yaping; Zhang, Pengcheng</t>
  </si>
  <si>
    <t>Enhancing immunotherapy efficacy against MHC-I deficient triple-negative breast cancer using LCL161-loaded macrophage membrane-decorated nanoparticles</t>
  </si>
  <si>
    <t>Acta Pharmaceutica Sinica B</t>
  </si>
  <si>
    <t>https://doi.org/10.1016/j.apsb.2024.04.009</t>
  </si>
  <si>
    <t>Current cytotoxic T lymphocyte (CTL) activating immunotherapy requires a major histocompatibility complex I (MHC-I)-mediated presentation of tumor-associated antigens, which malfunctions in around half of patients with triple-negative breast cancer (TNBC). Here, we create a LCL161-loaded macrophage membrane decorated nanoparticle (LMN) for immunotherapy of MHC-I-deficient TNBC. SIRPα on the macrophage membrane helps LMNs recognize CD47-expressing cancer cells for targeted delivery of LCL161, which induces the release of high mobility group protein 1 and proinflammatory cytokines from cancer cells. The released cytokines and high mobility group protein 1 activate antitumor immunity by increasing the intratumoral density of the phagocytic macrophage subtype by 15 times and elevating the intratumoral concentration of CTL lymphotoxin by 4.6 folds. LMNs also block CD47-mediated phagocytosis suppression. LMNs inhibit the growth of MHC-I-deficient TNBC tumors, as well as those resistant to combined therapy of anti-PDL1 antibody and albumin-bound paclitaxel, and prolong the survival of animals, during which process CTLs also play important roles. This macrophage membrane-decorated nanoparticle presents a generalizable platform for increasing macrophage-mediated antitumor immunity for effective immunotherapy of MHC-I-deficient cancers.</t>
  </si>
  <si>
    <t>Salomé, Bérengère; Sfakianos, John P.; Ranti, Daniel; Daza, Jorge; Bieber, Christine; Charap, Andrew; Hammer, Christian; Banchereau, Romain; Farkas, Adam M.; Ruan, Dan Fu; Izadmehr, Sudeh; Geanon, Daniel; Kelly, Geoffrey; Real, Ronaldo M. de; Lee, Brian; Beaumont, Kristin G.; Shroff, Sanjana; Wang, Yuanshuo A.; Wang, Ying-chih; Thin, Tin Htwe; Garcia-Barros, Monica; Hegewisch-Solloa, Everardo; Mace, Emily M.; Wang, Li; O’Donnell, Timothy; Chowell, Diego; Fernandez-Rodriguez, Ruben; Skobe, Mihaela; Taylor, Nicole; Kim-Schulze, Seunghee; Sebra, Robert P.; Palmer, Doug; Clancy-Thompson, Eleanor; Hammond, Scott; Kamphorst, Alice O.; Malmberg, Karl-Johan; Marcenaro, Emanuela; Romero, Pedro; Brody, Rachel; Viard, Mathias; Yuki, Yuko; Martin, Maureen; Carrington, Mary; Mehrazin, Reza; Wiklund, Peter; Mellman, Ira; Mariathasan, Sanjeev; Zhu, Jun; Galsky, Matthew D.; Bhardwaj, Nina; Horowitz, Amir</t>
  </si>
  <si>
    <t>NKG2A and HLA-E define an alternative immune checkpoint axis in bladder cancer</t>
  </si>
  <si>
    <t>https://doi.org/10.1016/j.ccell.2022.08.005</t>
  </si>
  <si>
    <t>Summary Programmed cell death protein 1 (PD-1)/programmed death-ligand 1 (PD-L1)-blockade immunotherapies have limited efficacy in the treatment of bladder cancer. Here, we show that NKG2A associates with improved survival and responsiveness to PD-L1 blockade immunotherapy in bladder tumors that have high abundance of CD8+ T cells. In bladder tumors, NKG2A is acquired on CD8+ T cells later than PD-1 as well as other well-established immune checkpoints. NKG2A+ PD-1+ CD8+ T cells diverge from classically defined exhausted T cells through their ability to react to human leukocyte antigen (HLA) class I-deficient tumors using T cell receptor (TCR)-independent innate-like mechanisms. HLA-ABC expression by bladder tumors is progressively diminished as disease progresses, framing the importance of targeting TCR-independent anti-tumor functions. Notably, NKG2A+ CD8+ T cells are inhibited when HLA-E is expressed by tumors and partly restored upon NKG2A blockade in an HLA-E-dependent manner. Overall, our study provides a framework for subsequent clinical trials combining NKG2A blockade with other T cell-targeted immunotherapies, where tumors express higher levels of HLA-E.</t>
  </si>
  <si>
    <t>Neal, James T.; Li, Xingnan; Zhu, Junjie; Giangarra, Valeria; Grzeskowiak, Caitlin L.; Ju, Jihang; Liu, Iris H.; Chiou, Shin-Heng; Salahudeen, Ameen A.; Smith, Amber R.; Deutsch, Brian C.; Liao, Lillian; Zemek, Allison J.; Zhao, Fan; Karlsson, Kasper; Schultz, Liora M.; Metzner, Thomas J.; Nadauld, Lincoln D.; Tseng, Yuen-Yi; Alkhairy, Sahar; Oh, Coyin; Keskula, Paula; Mendoza-Villanueva, Daniel; Vega, Francisco M. De La; Kunz, Pamela L.; Liao, Joseph C.; Leppert, John T.; Sunwoo, John B.; Sabatti, Chiara; Boehm, Jesse S.; Hahn, William C.; Zheng, Grace X. Y.; Davis, Mark M.; Kuo, Calvin J.</t>
  </si>
  <si>
    <t>Organoid Modeling of the Tumor Immune Microenvironment</t>
  </si>
  <si>
    <t>https://doi.org/10.1016/j.cell.2018.11.021</t>
  </si>
  <si>
    <t>Summary In vitro cancer cultures, including three-dimensional organoids, typically contain exclusively neoplastic epithelium but require artificial reconstitution to recapitulate the tumor microenvironment (TME). The co-culture of primary tumor epithelia with endogenous, syngeneic tumor-infiltrating lymphocytes (TILs) as a cohesive unit has been particularly elusive. Here, an air-liquid interface (ALI) method propagated patient-derived organoids (PDOs) from &gt;100 human biopsies or mouse tumors in syngeneic immunocompetent hosts as tumor epithelia with native embedded immune cells (T, B, NK, macrophages). Robust droplet-based, single-cell simultaneous determination of gene expression and immune repertoire indicated that PDO TILs accurately preserved the original tumor T cell receptor (TCR) spectrum. Crucially, human and murine PDOs successfully modeled immune checkpoint blockade (ICB) with anti-PD-1- and/or anti-PD-L1 expanding and activating tumor antigen-specific TILs and eliciting tumor cytotoxicity. Organoid-based propagation of primary tumor epithelium en bloc with endogenous immune stroma should enable immuno-oncology investigations within the TME and facilitate personalized immunotherapy testing.</t>
  </si>
  <si>
    <t>Comen, Elizabeth; Budhu, Sadna; Elhanati, Yuval; Page, David; Rasalan-Ho, Teresa; Ritter, Erika; Wong, Phillip; Plitas, George; Patil, Sujata; Brogi, Edi; Jochelson, Maxine; Bryce, Yolanda; Solomon, Stephen B.; Norton, Larry; Merghoub, Taha; McArthur, Heather L.</t>
  </si>
  <si>
    <t>Preoperative immune checkpoint inhibition and cryoablation in early-stage breast cancer</t>
  </si>
  <si>
    <t>https://doi.org/10.1016/j.isci.2024.108880</t>
  </si>
  <si>
    <t>Summary Local cryoablation can engender systemic immune activation/anticancer responses in tumors otherwise resistant to immune checkpoint blockade (ICB). We evaluated the safety/tolerability of preoperative cryoablation plus ipilimumab and nivolumab in 5 early-stage/resectable breast cancers. The primary endpoint was met when all 5 patients underwent standard-of-care primary breast surgery undelayedly. Three patients developed transient hyperthyroidism; one developed grade 4 liver toxicity (resolved with supportive management). We compared this strategy with cryoablation and/or ipilimumab. Dual ICB plus cryoablation induced higher expression of T cell activation markers and serum Th1 cytokines and reduced immunosuppressive serum CD4+PD-1hi T cells, improving effector-to-suppressor T cell ratio. After dual ICB and before cryoablation, T cell receptor sequencing of 4 patients showed increased T cell clonality. In this small subset of patients, we provide preliminary evidence that preoperative cryoablation plus ipilimumab and nivolumab is feasible, inducing systemic adaptive immune activation potentially more robust than cryoablation with/without ipilimumab.</t>
  </si>
  <si>
    <t>Hawi, Georgio; Kim, Peter S.; Lee, Peter P.</t>
  </si>
  <si>
    <t>Optimisation of neoadjuvant pembrolizumab therapy for locally advanced MSI-H/dMMR colorectal cancer using data-driven delay integro-differential equations</t>
  </si>
  <si>
    <t>Journal of Theoretical Biology</t>
  </si>
  <si>
    <t>https://doi.org/10.1016/j.jtbi.2025.112231</t>
  </si>
  <si>
    <t>Colorectal cancer (CRC) poses a major public health challenge due to its increasing prevalence, particularly among younger populations. Microsatellite instability-high (MSI-H) CRC and deficient mismatch repair (dMMR) CRC constitute 15 % of all CRC and exhibit remarkable responsiveness to immunotherapy, especially with PD-1 inhibitors. Despite this, there is a significant need to optimise immunotherapeutic regimens to maximise clinical efficacy and patient quality of life. To address this, we employ a novel framework driven by delay integro-differential equations to model the interactions among cancer cells, immune cells, and immune checkpoints in locally advanced MSI-H/dMMR CRC (laMCRC). Several of these components are being modelled deterministically for the first time in cancer, paving the way for a deeper understanding of the complex underlying immune dynamics. We consider two compartments: the tumour site and the tumour-draining lymph node, incorporating phenomena such as dendritic cell (DC) migration, T cell proliferation, and CD8+ T cell exhaustion and reinvigoration. Parameter values and initial conditions are derived from experimental data, integrating various pharmacokinetic, bioanalytical, and radiographic studies, along with deconvolution of bulk RNA-sequencing data from the TCGA COADREAD and GSE26571 datasets. We finally optimised neoadjuvant treatment with pembrolizumab, a widely used PD-1 inhibitor, to balance efficacy, efficiency, and toxicity in laMCRC patients. We mechanistically analysed factors influencing treatment success and improved upon currently FDA-approved therapeutic regimens for metastatic MSI-H/dMMR CRC, demonstrating that a single medium-to-high dose of pembrolizumab may be sufficient for effective tumour eradication while being efficient, safe and practical.</t>
  </si>
  <si>
    <t>Soleimani, Shirin; Li, Xuan; Wang, Ben X.; Pedersen, Stephanie; Bruce, Jeffrey P.; Eagles, Jenna; Liu, Zhihui Amy; Bratman, Scott V.; Butler, Marcus O.; Hansen, Aaron R.; Bedard, Philippe L.; Lheureux, Stephanie; Spreafico, Anna; Razak, Albiruni; Siu, Lillian L.; Ohashi, Pamela S.; Pugh, Trevor J.</t>
  </si>
  <si>
    <t>T cell receptor repertoire in cell-free DNA as a proxy for tumor infiltrates in patients treated with pembrolizumab</t>
  </si>
  <si>
    <t>https://doi.org/10.1016/j.celrep.2025.116190</t>
  </si>
  <si>
    <t>Summary Profiling tumor and systemic T cell receptor (TCR) repertoires can identify features associated with the clinical benefit of patients with cancer on immune checkpoint blockade therapy. This study reports on the diversity and specificity analysis of TCR sequences from 58 tumor, 306 peripheral blood mononuclear cell (PBMC), and 73 cell-free DNA (cfDNA) samples from 81 patients with solid tumors treated with pembrolizumab. This analysis reveals that head and neck carcinomas have significantly lower PBMC diversity and shorter persistence of pembrolizumab-induced diversification compared to other cancers. Using GLIPHII (grouping lymphocyte interactions with paratope hotspots), we find that tumor-derived clonotypes form non-microbial specificity signatures are shared across patients and cancer types. Tumor-derived clonotypes are enriched in cfDNA compared to PBMCs, despite the diversity of cfDNA TCR repertories being two orders of magnitude lower than PBMCs. TCRs shared between tumors and cfDNAs persist in PBMCs beyond 50 weeks of treatment, suggesting that cfDNA captures clonotypes contributing to anti-tumor immune surveillance.</t>
  </si>
  <si>
    <t>Chen, Qi; Zhao, Binbin; Tan, Ziyang; Hedberg, Gustav; Wang, Jun; Gonzalez, Laura; Mugabo, Constantin Habimana; Johnsson, Anette; Negrini, Erika; Páez, Laura Piñero; Rodriguez, Lucie; James, Anna; Chen, Yang; Mikeš, Jaromír; Bernhardsson, Anna Karin; Reitzner, Stefan Markus; Walden, Ferdinand von; O’Neill, Olivia; Barcenilla, Hugo; Wang, Chunlin; Davis, Mark M.; Carlson, Lena-Maria; Pal, Niklas; Blomgren, Klas; Repsilber, Dirk; Herold, Nikolas; Lakshmikanth, Tadepally; Kogner, Per; Ljungblad, Linda; Brodin, Petter</t>
  </si>
  <si>
    <t>Systems-level immunomonitoring in children with solid tumors to enable precision medicine</t>
  </si>
  <si>
    <t>https://doi.org/10.1016/j.cell.2024.12.014</t>
  </si>
  <si>
    <t>Summary Cancer is the leading cause of death from disease in children. Survival depends not only on surgery, cytostatic drugs, and radiation but also on systemic immune responses. Factors influencing these immune responses in children of different ages and tumor types are unknown. Novel immunotherapies can enhance anti-tumor immune responses, but few children have benefited, and markers of effective responses are lacking. Here, we present a systems-level analysis of immune responses in 191 children within a population-based cohort with diverse tumors and reveal that age and tumor type shape immune responses differently. Systemic inflammation and cytotoxic T cell responses correlate with tumor mutation rates and immune cell infiltration. Clonally expanded T cell responses are rarely detected in blood or tumors at diagnosis but are sometimes elicited during treatment. Expanded T cells are similarly regulated in children and adults with more immunogenic cancers. This research aims to facilitate the development of precision immunotherapies for children with cancer.</t>
  </si>
  <si>
    <t>Cucolo, Lisa; Chen, Qingzhou; Qiu, Jingya; Yu, Yongjun; Klapholz, Max; Budinich, Krista A.; Zhang, Zhaojun; Shao, Yue; Brodsky, Igor E.; Jordan, Martha S.; Gilliland, D. Gary; Zhang, Nancy R.; Shi, Junwei; Minn, Andy J.</t>
  </si>
  <si>
    <t>The interferon-stimulated gene RIPK1 regulates cancer cell intrinsic and extrinsic resistance to immune checkpoint blockade</t>
  </si>
  <si>
    <t>https://doi.org/10.1016/j.immuni.2022.03.007</t>
  </si>
  <si>
    <t>Summary Interferon-gamma (IFN-γ) has pleiotropic effects on cancer immune checkpoint blockade (ICB), including roles in ICB resistance. We analyzed gene expression in ICB-sensitive versus ICB-resistant tumor cells and identified a strong association between interferon-mediated resistance and expression of Ripk1, a regulator of tumor necrosis factor (TNF) superfamily receptors. Genetic interaction screening revealed that in cancer cells, RIPK1 diverted TNF signaling through NF-κB and away from its role in cell death. This promoted an immunosuppressive chemokine program by cancer cells, enhanced cancer cell survival, and decreased infiltration of T and NK cells expressing TNF superfamily ligands. Deletion of RIPK1 in cancer cells compromised chemokine secretion, decreased ARG1+ suppressive myeloid cells linked to ICB failure in mice and humans, and improved ICB response driven by CASP8-killing and dependent on T and NK cells. RIPK1-mediated resistance required its ubiquitin scaffolding but not kinase function. Thus, cancer cells co-opt RIPK1 to promote cell-intrinsic and cell-extrinsic resistance to immunotherapy.</t>
  </si>
  <si>
    <t>Calderon, Francesca Alvarez; Kang, Byong H.; Kyrysyuk, Oleksandr; Zheng, Shiwei; Wang, Hao; Mathewson, Nathan D.; Luoma, Adrienne M.; Ning, Xiaohan; Pyrdol, Jason; Cao, Xuan; Suvà, Mario L.; Yuan, Guo-Cheng; Wittrup, K. Dane; Wucherpfennig, Kai W.</t>
  </si>
  <si>
    <t>Targeting of the CD161 inhibitory receptor enhances T-cell–mediated immunity against hematological malignancies</t>
  </si>
  <si>
    <t>https://doi.org/10.1182/blood.2023022882</t>
  </si>
  <si>
    <t>Abstract The CD161 inhibitory receptor is highly upregulated by tumor-infiltrating T cells in multiple human solid tumor types, and its ligand, CLEC2D, is expressed by both tumor cells and infiltrating myeloid cells. Here, we assessed the role of the CD161 receptor in hematological malignancies. Systematic analysis of CLEC2D expression using the Cancer Cell Line Encyclopedia revealed that CLEC2D messenger RNA was most abundant in hematological malignancies, including B-cell and T-cell lymphomas as well as lymphocytic and myelogenous leukemias. CLEC2D protein was detected by flow cytometry on a panel of cell lines representing a diverse set of hematological malignancies. We, therefore, used yeast display to generate a panel of high-affinity, fully human CD161 monoclonal antibodies (mAbs) that blocked CLEC2D binding. These mAbs were specific for CD161 and had a similar affinity for human and nonhuman primate CD161, a property relevant for clinical translation. A high-affinity CD161 mAb enhanced key aspects of T-cell function, including cytotoxicity, cytokine production, and proliferation, against B-cell lines originating from patients with acute lymphoblastic leukemia, diffuse large B-cell lymphoma, and Burkitt lymphoma. In humanized mouse models, this CD161 mAb enhanced T-cell–mediated immunity, resulting in a significant survival benefit. Single cell RNA-seq data demonstrated that CD161 mAb treatment enhanced expression of cytotoxicity genes by CD4 T cells as well as a tissue-residency program by CD4 and CD8 T cells that is associated with favorable survival outcomes in multiple human cancer types. These fully human mAbs, thus, represent potential immunotherapy agents for hematological malignancies.</t>
  </si>
  <si>
    <t>Xu, Jun-Yu; Zhang, Chunchao; Wang, Xiang; Zhai, Linhui; Ma, Yiming; Mao, Yousheng; Qian, Kun; Sun, Changqing; Liu, Zhiwei; Jiang, Shangwen; Wang, Minghui; Feng, Lin; Zhao, Lei; Liu, Ping; Wang, Bo; Zhao, Xin; Xie, Hui; Yang, Xiaoyun; Zhao, Liyuan; Chang, Yafei; Jia, Jingya; Wang, Xijun; Zhang, Yimin; Wang, Yaru; Yang, Yikun; Wu, Zhixiang; Yang, Longhai; Liu, Bin; Zhao, Teng; Ren, Shengguo; Sun, Aihua; Zhao, Yang; Ying, Wantao; Wang, Fei; Wang, Guangshun; Zhang, Yi; Cheng, Shujun; Qin, Jun; Qian, Xiaohong; Wang, Yi; Li, Jing; He, Fuchu; Xiao, Ting; Tan, Minjia</t>
  </si>
  <si>
    <t>Integrative Proteomic Characterization of Human Lung Adenocarcinoma</t>
  </si>
  <si>
    <t>https://doi.org/10.1016/j.cell.2020.05.043</t>
  </si>
  <si>
    <t>Summary Genomic studies of lung adenocarcinoma (LUAD) have advanced our understanding of the disease’s biology and accelerated targeted therapy. However, the proteomic characteristics of LUAD remain poorly understood. We carried out a comprehensive proteomics analysis of 103 cases of LUAD in Chinese patients. Integrative analysis of proteome, phosphoproteome, transcriptome, and whole-exome sequencing data revealed cancer-associated characteristics, such as tumor-associated protein variants, distinct proteomics features, and clinical outcomes in patients at an early stage or with EGFR and TP53 mutations. Proteome-based stratification of LUAD revealed three subtypes (S-I, S-II, and S-III) related to different clinical and molecular features. Further, we nominated potential drug targets and validated the plasma protein level of HSP 90β as a potential prognostic biomarker for LUAD in an independent cohort. Our integrative proteomics analysis enables a more comprehensive understanding of the molecular landscape of LUAD and offers an opportunity for more precise diagnosis and treatment.</t>
  </si>
  <si>
    <t>Joshi, Nikhil S.; Akama-Garren, Elliot H.; Lu, Yisi; Lee, Da-Yae; Chang, Gregory P.; Li, Amy; DuPage, Michel; Tammela, Tuomas; Kerper, Natanya R.; Farago, Anna F.; Robbins, Rebecca; Crowley, Denise M.; Bronson, Roderick T.; Jacks, Tyler</t>
  </si>
  <si>
    <t>Regulatory T Cells in Tumor-Associated Tertiary Lymphoid Structures Suppress Anti-tumor T Cell Responses</t>
  </si>
  <si>
    <t>https://doi.org/10.1016/j.immuni.2015.08.006</t>
  </si>
  <si>
    <t>Summary Infiltration of regulatory T (Treg) cells into many tumor types correlates with poor patient prognoses. However, mechanisms of intratumoral Treg cell function remain to be elucidated. We investigated Treg cell function in a genetically engineered mouse model of lung adenocarcinoma and found that Treg cells suppressed anti-tumor responses in tumor-associated tertiary lymphoid structures (TA-TLSs). TA-TLSs have been described in human lung cancers, but their function remains to be determined. TLSs in this model were spatially associated with &gt;90% of tumors and facilitated interactions between T cells and tumor-antigen-presenting dendritic cells (DCs). Costimulatory ligand expression by DCs and T cell proliferation rates increased in TA-TLSs upon Treg cell depletion, leading to tumor destruction. Thus, we propose that Treg cells in TA-TLSs can inhibit endogenous immune responses against tumors, and targeting these cells might provide therapeutic benefit for cancer patients.</t>
  </si>
  <si>
    <t>Ferrucci, Veronica; Asadzadeh, Fatemeh; Collina, Francesca; Siciliano, Roberto; Boccia, Angelo; Marrone, Laura; Spano, Daniela; Carotenuto, Marianeve; Chiarolla, Cristina Maria; Martino, Daniela De; Vita, Gennaro De; Macrì, Alessandra; Dassi, Luisa; Vandenbussche, Jonathan; Marino, Natascia; Cantile, Monica; Paolella, Giovanni; D'Andrea, Francesco; Bonito, Maurizio di; Gevaert, Kris; Zollo, Massimo</t>
  </si>
  <si>
    <t>Prune-1 drives polarization of tumor-associated macrophages (TAMs) within the lung metastatic niche in triple-negative breast cancer</t>
  </si>
  <si>
    <t>https://doi.org/10.1016/j.isci.2020.101938</t>
  </si>
  <si>
    <t>Summary M2-tumor-associated macrophages (M2-TAMs) in the tumor microenvironment represent a prognostic indicator for poor outcome in triple-negative breast cancer (TNBC). Here we show that Prune-1 overexpression in human TNBC patients has positive correlation to lung metastasis and infiltrating M2-TAMs. Thus, we demonstrate that Prune-1 promotes lung metastasis in a genetically engineered mouse model of metastatic TNBC augmenting M2-polarization of TAMs within the tumor microenvironment. Thus, this occurs through TGF-β enhancement, IL-17F secretion, and extracellular vesicle protein content modulation. We also find murine inactivating gene variants in human TNBC patient cohorts that are involved in activation of the innate immune response, cell adhesion, apoptotic pathways, and DNA repair. Altogether, we indicate that the overexpression of Prune-1, IL-10, COL4A1, ILR1, and PDGFB, together with inactivating mutations of PDE9A, CD244, Sirpb1b, SV140, Iqca1, and PIP5K1B genes, might represent a route of metastatic lung dissemination that need future prognostic validations.</t>
  </si>
  <si>
    <t>Li, Yulong; Wu, Xiangyang; Sheng, Caibin; Liu, Hailing; Liu, Huizhu; Tang, Yixuan; Liu, Chao; Ding, Qingyang; Xie, Bin; Xiao, Xi; Zheng, Rongbin; Yu, Quan; Guo, Zengdan; Ma, Jian; Wang, Jin; Gao, Jinghong; Tian, Mei; Wang, Wei; Zhou, Jia; Jiang, Li; Gu, Mengmeng; Shi, Sailing; Paull, Michael; Yang, Guanhua; Yang, Wei; Landau, Steve; Bao, Xingfeng; Hu, Xihao; Liu, X. Shirley; Xiao, Tengfei</t>
  </si>
  <si>
    <t>IGSF8 is an innate immune checkpoint and cancer immunotherapy target</t>
  </si>
  <si>
    <t>https://doi.org/10.1016/j.cell.2024.03.039</t>
  </si>
  <si>
    <t>Summary Antigen presentation defects in tumors are prevalent mechanisms of adaptive immune evasion and resistance to cancer immunotherapy, whereas how tumors evade innate immunity is less clear. Using CRISPR screens, we discovered that IGSF8 expressed on tumors suppresses NK cell function by interacting with human KIR3DL2 and mouse Klra9 receptors on NK cells. IGSF8 is normally expressed in neuronal tissues and is not required for cell survival in vitro or in vivo. It is overexpressed and associated with low antigen presentation, low immune infiltration, and worse clinical outcomes in many tumors. An antibody that blocks IGSF8-NK receptor interaction enhances NK cell killing of malignant cells in vitro and upregulates antigen presentation, NK cell-mediated cytotoxicity, and T cell signaling in vivo. In syngeneic tumor models, anti-IGSF8 alone, or in combination with anti-PD1, inhibits tumor growth. Our results indicate that IGSF8 is an innate immune checkpoint that could be exploited as a therapeutic target.</t>
  </si>
  <si>
    <t>Eschweiler, Simon; Wang, Alice; Ramírez-Suástegui, Ciro; Witzleben, Adrian von; Li, Yingcong; Chee, Serena J.; Simon, Hayley; Mondal, Monalisa; Ellis, Matthew; Thomas, Gareth J.; Chandra, Vivek; Ottensmeier, Christian H.; Vijayanand, Pandurangan</t>
  </si>
  <si>
    <t>JAML immunotherapy targets recently activated tumor-infiltrating CD8+ T cells</t>
  </si>
  <si>
    <t>https://doi.org/10.1016/j.celrep.2023.112040</t>
  </si>
  <si>
    <t>Summary Junctional adhesion molecule-like protein (JAML) serves as a co-stimulatory molecule in γδ T cells. While it has recently been described as a cancer immunotherapy target in mice, its potential to cause toxicity, specific mode of action with regard to its cellular targets, and whether it can be targeted in humans remain unknown. Here, we show that JAML is induced by T cell receptor engagement, reveal that this induction is linked to cis-regulatory interactions between the CD3D and JAML gene loci. When compared with other immunotherapy targets plagued by low target specificity and end-organ toxicity, we find JAML to be mostly restricted to and highly expressed by tissue-resident memory CD8+ T cells in multiple cancer types. By delineating the key cellular targets and functional consequences of agonistic anti-JAML therapy in a murine melanoma model, we show its specific mode of action and the reason for its synergistic effects with anti-PD-1.</t>
  </si>
  <si>
    <t>Gillette, Michael A.; Satpathy, Shankha; Cao, Song; Dhanasekaran, Saravana M.; Vasaikar, Suhas V.; Krug, Karsten; Petralia, Francesca; Li, Yize; Liang, Wen-Wei; Reva, Boris; Krek, Azra; Ji, Jiayi; Song, Xiaoyu; Liu, Wenke; Hong, Runyu; Yao, Lijun; Blumenberg, Lili; Savage, Sara R.; Wendl, Michael C.; Wen, Bo; Li, Kai; Tang, Lauren C.; MacMullan, Melanie A.; Avanessian, Shayan C.; Kane, M. Harry; Newton, Chelsea J.; Cornwell, MacIntosh; Kothadia, Ramani B.; Ma, Weiping; Yoo, Seungyeul; Mannan, Rahul; Vats, Pankaj; Kumar-Sinha, Chandan; Kawaler, Emily A.; Omelchenko, Tatiana; Colaprico, Antonio; Geffen, Yifat; Maruvka, Yosef E.; Leprevost, Felipe da Veiga; Wiznerowicz, Maciej; Gümüş, Zeynep H.; Veluswamy, Rajwanth R.; Hostetter, Galen; Heiman, David I.; Wyczalkowski, Matthew A.; Hiltke, Tara; Mesri, Mehdi; Kinsinger, Christopher R.; Boja, Emily S.; Omenn, Gilbert S.; Chinnaiyan, Arul M.; Rodriguez, Henry; Li, Qing Kay; Jewell, Scott D.; Thiagarajan, Mathangi; Getz, Gad; Zhang, Bing; Fenyö, David; Ruggles, Kelly V.; Cieslik, Marcin P.; Robles, Ana I.; Clauser, Karl R.; Govindan, Ramaswamy; Wang, Pei; Nesvizhskii, Alexey I.; Ding, Li; Mani, D. R.; Carr, Steven A.; Webster, Alex; Francis, Alicia; Charamut, Alyssa; Paulovich, Amanda G.; Perou, Amy M.; Godwin, Andrew K.; Karnuta, Andrii; Marrero-Oliveras, Annette; Hindenach, Barbara; Pruetz, Barbara; Kubisa, Bartosz; Druker, Brian J.; Birger, Chet; Jones, Corbin D.; Valley, Dana R.; Rohrer, Daniel C.; Zhou, Daniel Cui; Chan, Daniel W.; Chesla, David; Clark, David J.; Rykunov, Dmitry; Tan, Donghui; Ponomareva, Elena V.; Duffy, Elizabeth; Burks, Eric J.; Schadt, Eric E.; Bergstrom, Erik J.; Fedorov, Eugene S.; Malc, Ewa; Wilson, George D.; Chen, Hai-Quan; Krzystek, Halina M.; Liu, Hongwei; Culpepper, Houston; Sun, Hua; Zhang, Hui; Day, Jacob; Suh, James; Whiteaker, Jeffrey R.; Eschbacher, Jennifer; McGee, John; Ketchum, Karen A.; Rodland, Karin D.; Robinson, Karna; Hoadley, Katherine A.; Suzuki, Kei; Um, Ki Sung; Elburn, Kim; Wang, Liang-Bo; Chen, Lijun; Hannick, Linda; Qi, Liqun; Sokoll, Lori J.; Wojtyś, Małgorzata; Domagalski, Marcin J.; Gritsenko, Marina A.; Beasley, Mary B.; Monroe, Matthew E.; Ellis, Matthew J.; Dyer, Maureen; Burke, Meghan C.; Borucki, Melissa; Sun, Meng-Hong; Roehrl, Michael H.; Birrer, Michael J.; Noble, Michael; Schnaubelt, Michael; Vernon, Michael; Chaikin, Michelle; Krotevich, Mikhail; Khan, Munziba; Selvan, Myvizhi Esai; Roche, Nancy; Edwards, Nathan J.; Vatanian, Negin; Potapova, Olga; Grady, Pamela; McGarvey, Peter B.; Mieczkowski, Piotr; Hariharan, Pushpa; Madan, Rashna; Thangudu, Ratna R.; Smith, Richard D.; Welsh, Robert J.; Zelt, Robert; Mehra, Rohit; Matteotti, Ronald; Mareedu, Sailaja; Payne, Samuel H.; Cottingham, Sandra; Markey, Sanford P.; Chugh, Seema; Smith, Shaleigh; Tsang, Shirley; Cai, Shuang; Boca, Simina M.; Carter, Sonya; Gabriel, Stacey; Young, Stephanie De; Stein, Stephen E.; Shankar, Sunita; Krubit, Tanya; Liu, Tao; Skelly, Tara; Bauer, Thomas; Velvulou, Uma; Ozbek, Umut; Petyuk, Vladislav A.; Sovenko, Volodymyr; Bocik, William E.; Maggio, William W.; Chen, Xi; Shi, Yan; Wu, Yige; Hu, Yingwei; Liao, Yuxing; Zhang, Zhen; Shi, Zhiao</t>
  </si>
  <si>
    <t>Proteogenomic Characterization Reveals Therapeutic Vulnerabilities in Lung Adenocarcinoma</t>
  </si>
  <si>
    <t>https://doi.org/10.1016/j.cell.2020.06.013</t>
  </si>
  <si>
    <t>Summary To explore the biology of lung adenocarcinoma (LUAD) and identify new therapeutic opportunities, we performed comprehensive proteogenomic characterization of 110 tumors and 101 matched normal adjacent tissues (NATs) incorporating genomics, epigenomics, deep-scale proteomics, phosphoproteomics, and acetylproteomics. Multi-omics clustering revealed four subgroups defined by key driver mutations, country, and gender. Proteomic and phosphoproteomic data illuminated biology downstream of copy number aberrations, somatic mutations, and fusions and identified therapeutic vulnerabilities associated with driver events involving KRAS, EGFR, and ALK. Immune subtyping revealed a complex landscape, reinforced the association of STK11 with immune-cold behavior, and underscored a potential immunosuppressive role of neutrophil degranulation. Smoking-associated LUADs showed correlation with other environmental exposure signatures and a field effect in NATs. Matched NATs allowed identification of differentially expressed proteins with potential diagnostic and therapeutic utility. This proteogenomics dataset represents a unique public resource for researchers and clinicians seeking to better understand and treat lung adenocarcinomas.</t>
  </si>
  <si>
    <t>Peuker, Kenneth; Strigli, Anne; Tauriello, Daniele V. F.; Hendricks, Alexander; Schönfels, Witigo von; Burmeister, Greta; Brosch, Mario; Herrmann, Alexander; Krüger, Sandra; Nitsche, Jessica; Južnić, Lea; Geissler, Marc Marius; Hiergeist, Andreas; Gessner, André; Wirbel, Jakob; Ponnudurai, Ruby Priyadarshini; Tunger, Antje; Wehner, Rebekka; Stange, Daniel E.; Weitz, Jürgen; Aust, Daniela E.; Baretton, Gustavo B.; Schmitz, Marc; Röcken, Christoph; Hampe, Jochen; Hinz, Sebastian; Zeller, Georg; Chavakis, Triantafyllos; Schafmayer, Clemens; Batlle, Eduard; Zeissig, Sebastian</t>
  </si>
  <si>
    <t>Microbiota-dependent activation of the myeloid calcineurin-NFAT pathway inhibits B7H3- and B7H4-dependent anti-tumor immunity in colorectal cancer</t>
  </si>
  <si>
    <t>https://doi.org/10.1016/j.immuni.2022.03.008</t>
  </si>
  <si>
    <t>Summary Bacterial sensing by intestinal tumor cells contributes to tumor growth through cell-intrinsic activation of the calcineurin-NFAT axis, but the role of this pathway in other intestinal cells remains unclear. Here, we found that myeloid-specific deletion of calcineurin in mice activated protective CD8+ T cell responses and inhibited colorectal cancer (CRC) growth. Microbial sensing by myeloid cells promoted calcineurin- and NFAT-dependent interleukin 6 (IL-6) release, expression of the co-inhibitory molecules B7H3 and B7H4 by tumor cells, and inhibition of CD8+ T cell-dependent anti-tumor immunity. Accordingly, targeting members of this pathway activated protective CD8+ T cell responses and inhibited primary and metastatic CRC growth. B7H3 and B7H4 were expressed by the majority of human primary CRCs and metastases, which was associated with low numbers of tumor-infiltrating CD8+ T cells and poor survival. Therefore, a microbiota-, calcineurin-, and B7H3/B7H4-dependent pathway controls anti-tumor immunity, revealing additional targets for immune checkpoint inhibition in microsatellite-stable CRC.</t>
  </si>
  <si>
    <t>Wu, Hua-Jun; Temko, Daniel; Maliga, Zoltan; Moreira, Andre L.; Sei, Emi; Minussi, Darlan Conterno; Dean, Jamie; Lee, Charlotte; Xu, Qiong; Hochart, Guillaume; Jacobson, Connor A.; Yapp, Clarence; Schapiro, Denis; Sorger, Peter K.; Seeley, Erin H.; Navin, Nicholas; Downey, Robert J.; Michor, Franziska</t>
  </si>
  <si>
    <t>Spatial intra-tumor heterogeneity is associated with survival of lung adenocarcinoma patients</t>
  </si>
  <si>
    <t>Cell Genomics</t>
  </si>
  <si>
    <t>https://doi.org/10.1016/j.xgen.2022.100165</t>
  </si>
  <si>
    <t>Summary Intra-tumor heterogeneity (ITH) of human tumors is important for tumor progression, treatment response, and drug resistance. However, the spatial distribution of ITH remains incompletely understood. Here, we present spatial analysis of ITH in lung adenocarcinomas from 147 patients using multi-region mass spectrometry of &gt;5,000 regions, single-cell copy number sequencing of ∼2,000 single cells, and cyclic immunofluorescence of &gt;10 million cells. We identified two distinct spatial patterns among tumors, termed clustered and random geographic diversification (GD). These patterns were observed in the same samples using both proteomic and genomic data. The random proteomic GD pattern, which is characterized by decreased cell adhesion and lower levels of tumor-interacting endothelial cells, was significantly associated with increased risk of recurrence or death in two independent patient cohorts. Our study presents comprehensive spatial mapping of ITH in lung adenocarcinoma and provides insights into the mechanisms and clinical consequences of GD.</t>
  </si>
  <si>
    <t>Binnewies, Mikhail; Pollack, Joshua L.; Rudolph, Joshua; Dash, Subhadra; Abushawish, Marwan; Lee, Tian; Jahchan, Nadine S.; Canaday, Pamela; Lu, Erick; Norng, Manith; Mankikar, Shilpa; Liu, Victoria M.; Du, Xiaoyan; Chen, Amanda; Mehta, Ranna; Palmer, Rachael; Juric, Vladislava; Liang, Linda; Baker, Kevin P.; Reyno, Leonard; Krummel, Matthew F.; Streuli, Michel; Sriram, Venkataraman</t>
  </si>
  <si>
    <t>Targeting TREM2 on tumor-associated macrophages enhances immunotherapy</t>
  </si>
  <si>
    <t>https://doi.org/10.1016/j.celrep.2021.109844</t>
  </si>
  <si>
    <t>Summary Converting checkpoint inhibitor (CPI)-resistant individuals to being responsive requires identifying suppressive mechanisms. We identify TREM2+ tumor-associated macrophages (TAMs) as being correlated with exhausted CD8+ tumor-infiltrating lymphocytes (TILs) in mouse syngeneic tumor models and human solid tumors of multiple histological types. Fc domain-enhanced anti-TREM2 monoclonal antibody (mAb) therapy promotes anti-tumor immunity by elimination and modulation of TAM populations, which leads to enhanced CD8+ TIL infiltration and effector function. TREM2+ TAMs are most enriched in individuals with ovarian cancer, where TREM2 expression corresponds to disease grade accompanied by worse recurrence-free survival. In an aggressive orthotopic ovarian cancer model, anti-TREM2 mAb therapy drives potent anti-tumor immunity. These results highlight TREM2 as a highly attractive target for immunotherapy modulation in individuals who are refractory to CPI therapy and likely have a TAM-rich tumor microenvironment.</t>
  </si>
  <si>
    <t>Shi, Xinyu; Hu, Liling; Huang, Yongshi; Zhang, Mei-Fang; Ying, Xingfeng; Yuan, Xiaoyi; Wen, Nengqiao; Lu, Jiangli; Zou, Hanchen; Tan, Xiaohui; He, Qing-Yu; Wang, Fang; Yang, Hong; Zhang, Chris Zhiyi</t>
  </si>
  <si>
    <t>Integrative proteomic characterization of human lung adenocarcinoma with KRAS G12 mutations reveals molecular pathogenesis</t>
  </si>
  <si>
    <t>Journal of Advanced Research</t>
  </si>
  <si>
    <t>https://doi.org/10.1016/j.jare.2025.09.014</t>
  </si>
  <si>
    <t>Introduction Integrated proteogenomic studies of lung adenocarcinoma (LUAD) have provided unique insights with potential clinical effects. Comprehensive proteomic analyses are needed to better understand the molecular landscape of LUAD with KRAS G12 mutations. Objectives This study aims to characterize the proteogenomic profile of LUAD with KRAS G12 mutation variants. Methods We performed next-generation sequencing (NGS) on 9,479 solid tumors, including 3,523 lung cancers. Proteomic profiling was conducted on 96 LUAD patients with KRAS G12 mutations or wild-type status using liquid chromatography-tandem mass spectrometry (LC-MS/MS). The LUAD tumor immune microenvironment (TIME) was characterized by multiplex immunohistochemistry (mIHC), and protein–protein interactions (PPIs) in KRAS G12-mutant lung cancer cells were mapped using biotin-based proximity labeling. Results Genomic analysis revealed heterogeneous KRAS-informed mutational profiles across pan-cancer and lung cancer, with allele-specific resolution for KRAS G12 mutations. Proteomic profiling of KRAS G12-mutant LUAD delineated distinct molecular features and tumor progression hallmarks. Unsupervised clustering identified three molecular subtypes, with the immune modulation subtype (S2) characterized by KRAS G12C enrichment, aggressive clinical features, and the greatest potential benefit from immunotherapy. The immune landscape of LUAD showed increased immune cell infiltration in KRAS G12C-mutant tumors. Additionally, proximal proteomics mapped a landscape of gain-of-interactions driven by KRAS G12 mutations, with ion transporter SLC4A7 emerged as a potential effector in immune modulation in the G12C variant. Conclusions This comprehensive proteogenomic study provides insights into the molecular features of LUAD harboring KRAS G12 mutations, which may inform patient stratification and potential therapeutic approaches, pending further clinical validation.</t>
  </si>
  <si>
    <t>Perna, Fabiana; Berman, Samuel H.; Soni, Rajesh K.; Mansilla-Soto, Jorge; Eyquem, Justin; Hamieh, Mohamad; Hendrickson, Ronald C.; Brennan, Cameron W.; Sadelain, Michel</t>
  </si>
  <si>
    <t>Integrating Proteomics and Transcriptomics for Systematic Combinatorial Chimeric Antigen Receptor Therapy of AML</t>
  </si>
  <si>
    <t>https://doi.org/10.1016/j.ccell.2017.09.004</t>
  </si>
  <si>
    <t>Summary Chimeric antigen receptor (CAR) therapy targeting CD19 has yielded remarkable outcomes in patients with acute lymphoblastic leukemia. To identify potential CAR targets in acute myeloid leukemia (AML), we probed the AML surfaceome for overexpressed molecules with tolerable systemic expression. We integrated large transcriptomics and proteomics datasets from malignant and normal tissues, and developed an algorithm to identify potential targets expressed in leukemia stem cells, but not in normal CD34+CD38− hematopoietic cells, T cells, or vital tissues. As these investigations did not uncover candidate targets with a profile as favorable as CD19, we developed a generalizable combinatorial targeting strategy fulfilling stringent efficacy and safety criteria. Our findings indicate that several target pairings hold great promise for CAR therapy of AML.</t>
  </si>
  <si>
    <t>Kitajima, Shunsuke; Tani, Tetsuo; Springer, Benjamin F.; Campisi, Marco; Osaki, Tatsuya; Haratani, Koji; Chen, Minyue; Knelson, Erik H.; Mahadevan, Navin R.; Ritter, Jessica; Yoshida, Ryohei; Köhler, Jens; Ogino, Atsuko; Nozawa, Ryu-Suke; Sundararaman, Shriram K.; Thai, Tran C.; Homme, Mizuki; Piel, Brandon; Kivlehan, Sophie; Obua, Bonje N.; Purcell, Connor; Yajima, Mamiko; Barbie, Thanh U.; Lizotte, Patrick H.; Jänne, Pasi A.; Paweletz, Cloud P.; Gokhale, Prafulla C.; Barbie, David A.</t>
  </si>
  <si>
    <t>MPS1 inhibition primes immunogenicity of KRAS-LKB1 mutant lung cancer</t>
  </si>
  <si>
    <t>https://doi.org/10.1016/j.ccell.2022.08.015</t>
  </si>
  <si>
    <t>KRAS-LKB1 (KL) mutant lung cancers silence STING owing to intrinsic mitochondrial dysfunction, resulting in T cell exclusion and resistance to programmed cell death (ligand) 1 (PD-[L]1) blockade. Here we discover that KL cells also minimize intracellular accumulation of 2′3′-cyclic GMP-AMP (2′3′-cGAMP) to further avoid downstream STING and STAT1 activation. An unbiased screen to co-opt this vulnerability reveals that transient MPS1 inhibition (MPS1i) potently re-engages this pathway in KL cells via micronuclei generation. This effect is markedly amplified by epigenetic de-repression of STING and only requires pulse MPS1i treatment, creating a therapeutic window compared with non-dividing cells. A single course of decitabine treatment followed by pulse MPS1i therapy restores T cell infiltration in vivo, enhances anti-PD-1 efficacy, and results in a durable response without evidence of significant toxicity.</t>
  </si>
  <si>
    <t>Hua, Yichao; Vella, Gerlanda; Rambow, Florian; Allen, Elizabeth; Martinez, Asier Antoranz; Duhamel, Marie; Takeda, Akira; Jalkanen, Sirpa; Junius, Steffie; Smeets, Ann; Nittner, David; Dimmeler, Stefanie; Hehlgans, Thomas; Liston, Adrian; Bosisio, Francesca Maria; Floris, Giuseppe; Laoui, Damya; Hollmén, Maija; Lambrechts, Diether; Merchiers, Pascal; Marine, Jean-Christophe; Schlenner, Susan; Bergers, Gabriele</t>
  </si>
  <si>
    <t>Cancer immunotherapies transition endothelial cells into HEVs that generate TCF1+ T lymphocyte niches through a feed-forward loop</t>
  </si>
  <si>
    <t>https://doi.org/10.1016/j.ccell.2022.11.002</t>
  </si>
  <si>
    <t>Summary The lack of T cell infiltrates is a major obstacle to effective immunotherapy in cancer. Conversely, the formation of tumor-associated tertiary-lymphoid-like structures (TA-TLLSs), which are the local site of humoral and cellular immune responses against cancers, is associated with good prognosis, and they have recently been detected in immune checkpoint blockade (ICB)-responding patients. However, how these lymphoid aggregates develop remains poorly understood. By employing single-cell transcriptomics, endothelial fate mapping, and functional multiplex immune profiling, we demonstrate that antiangiogenic immune-modulating therapies evoke transdifferentiation of postcapillary venules into inflamed high-endothelial venules (HEVs) via lymphotoxin/lymphotoxin beta receptor (LT/LTβR) signaling. In turn, tumor HEVs boost intratumoral lymphocyte influx and foster permissive lymphocyte niches for PD1− and PD1+TCF1+ CD8 T cell progenitors that differentiate into GrzB+PD1+ CD8 T effector cells. Tumor-HEVs require continuous CD8 and NK cell-derived signals revealing that tumor HEV maintenance is actively sculpted by the adaptive immune system through a feed-forward loop.</t>
  </si>
  <si>
    <t>Khan, Kabir A.; Mitzner, Maresa Caunt; Cruz-Munoz, William; Li, Grant; Himmels, Patricia; Xu, Ping; Kuo, Hung Yang; Jesudason, Raj; Gogineni, Alvin; Weimer, Robby; Chow, Annabelle; Piskol, Robert; Michael, Iacovos P.; Ye, Weilan; Kerbel, Robert S.</t>
  </si>
  <si>
    <t>Modulation of fibronectin extracellular matrix enhances anti-tumor efficacy of immune checkpoint blockade</t>
  </si>
  <si>
    <t>https://doi.org/10.1016/j.xcrm.2025.102322</t>
  </si>
  <si>
    <t>Summary The success of immune checkpoint inhibitors is limited by multiple factors, including poor T cell infiltration and function within tumors, partly due to a dense extracellular matrix (ECM). Here, we investigate modulating the ECM by targeting integrin α5β1, a major fibronectin-binding and organizing integrin, to improve immunotherapy outcomes. Use of a function-blocking murinized α5β1 antibody reduces fibronectin fibril formation, enhances CD8+ T cell transendothelial migration, increases vascular permeability, and decreases vessel-associated collagen. These changes culminate in improving the effectiveness of PD-L1 blockade, alone or with chemotherapy, in the E0771 breast cancer model. Clinically, high integrin alpha 5 (ITGA5) expression correlates with worse survival in patients treated with atezolizumab as monotherapy or combined with chemotherapy or anti-angiogenic therapies in numerous clinical trials. Overall, our studies suggest that ECM-modulating approaches could be used as a future strategy to increase the proportion of patients who respond to immune checkpoint inhibition and other immunotherapies.</t>
  </si>
  <si>
    <t>Stanske, Mandy; Wienert, Stephan; Castillo-Tong, Dan Cacsire; Kreuzinger, Caroline; Vergote, Ignace; Lambrechts, Sandrijne; Gabra, Hani; Gourley, Charlie; Ganapathi, Ram N.; Kolaschinski, Ivonne; Budczies, Jan; Sehouli, Jalid; Ruscito, Ilary; Denkert, Carsten; Kulbe, Hagen; Schmitt, Wolfgang; Jöhrens, Korinna; Braicu, Ioana; Darb-Esfahani, Silvia</t>
  </si>
  <si>
    <t>Dynamics of the Intratumoral Immune Response during Progression of High-Grade Serous Ovarian Cancer</t>
  </si>
  <si>
    <t>https://doi.org/10.1016/j.neo.2018.01.007</t>
  </si>
  <si>
    <t>PURPOSE: Tumor-infiltrating lymphocytes (TILs) have an established impact on the prognosis of high-grade serous ovarian carcinoma (HGSOC), however, their role in recurrent ovarian cancer is largely unknown. We therefore systematically investigated TIL densities and MHC class I and II (MHC1, 2) expression in the progression of HGSOC. EXPERIMENTAL DESIGN: CD3+, CD4+, CD8+ TILs and MHC1, 2 expression were evaluated by immunohistochemistry on tissue microarrays in 113 paired primary and recurrent HGSOC. TILs were quantified by image analysis. All patients had been included to the EU-funded OCTIPS FP7 project. RESULTS: CD3+, CD4+, CD8+ TILs and MHC1 and MHC2 expression showed significant correlations between primary and recurrent tumor levels (Spearman rho 0.427, 0.533, 0.361, 0.456, 0.526 respectively; P&lt;.0001 each). Paired testing revealed higher CD4+ densities and MHC1 expression in recurrent tumors (Wilcoxon P=.034 and P=.018). There was also a shift towards higher CD3+ TILs levels in recurrent carcinomas when analyzing platinum-sensitive tumors only (Wilcoxon P=.026) and in pairs with recurrent tumor tissue from first relapse only (Wilcoxon P=.031). High MHC2 expression was the only parameter to be significantly linked to prolonged progression-free survival after first relapse (PFS2, log-rank P=.012). CONCLUSIONS: This is the first study that analyzed the development of TILs density and MHC expression in paired primary and recurrent HGSOC. The level of the antitumoral immune response in recurrent tumors was clearly dependent on the one in the primary tumor. Our data contribute to the understanding of temporal heterogeneity of HGSOC immune microenvironment and have implications for selection of samples for biomarker testing in the setting of immune-targeting therapeutics.</t>
  </si>
  <si>
    <t>Deng, Shouyan; Zhang, Yibo; Wang, Huanbin; Liang, Wenhua; Xie, Lu; Li, Ning; Fang, Yuan; Wang, Yiting; Liu, Jiayang; Chi, Hao; Sun, Yufan; Ye, Rui; Shan, Lishen; Shi, Jiawei; Shen, Zan; Wang, Yonggang; Wang, Shuhang; Brosseau, Jean-Philippe; Wang, Feng; Liu, Grace; Quan, Yingfei; Xu, Jie</t>
  </si>
  <si>
    <t>ITPRIPL1 binds CD3ε to impede T cell activation and enable tumor immune evasion</t>
  </si>
  <si>
    <t>https://doi.org/10.1016/j.cell.2024.03.019</t>
  </si>
  <si>
    <t>Summary Cancer immunotherapy has transformed treatment possibilities, but its effectiveness differs significantly among patients, indicating the presence of alternative pathways for immune evasion. Here, we show that ITPRIPL1 functions as an inhibitory ligand of CD3ε, and its expression inhibits T cells in the tumor microenvironment. The binding of ITPRIPL1 extracellular domain to CD3ε on T cells significantly decreased calcium influx and ZAP70 phosphorylation, impeding initial T cell activation. Treatment with a neutralizing antibody against ITPRIPL1 restrained tumor growth and promoted T cell infiltration in mouse models across various solid tumor types. The antibody targeting canine ITPRIPL1 exhibited notable therapeutic efficacy against naturally occurring tumors in pet clinics. These findings highlight the role of ITPRIPL1 (or CD3L1, CD3ε ligand 1) in impeding T cell activation during the critical “signal one” phase. This discovery positions ITPRIPL1 as a promising therapeutic target against multiple tumor types.</t>
  </si>
  <si>
    <t>Focuses on mouse and canine models; no specific human NSCLC data. Investigates a new checkpoint inhibitor target, not neoantigen pipelines or vaccines.</t>
  </si>
  <si>
    <t>Zhu, Zhuxian; Huang, Jianguo; Zhang, Yanling; Hou, Weiwei; Chen, Fei; Mo, Yin-Yuan; Zhang, Ziqiang</t>
  </si>
  <si>
    <t>Landscape of tumoral ecosystem for enhanced anti-PD-1 immunotherapy by gut Akkermansia muciniphila</t>
  </si>
  <si>
    <t>https://doi.org/10.1016/j.celrep.2024.114306</t>
  </si>
  <si>
    <t>Summary Gut Akkermansia muciniphila (Akk) has been implicated in impacting immunotherapy or oncogenesis. This study aims to dissect the Akk-associated tumor immune ecosystem (TIME) by single-cell profiling coupled with T cell receptor (TCR) sequencing. We adopted mouse cancer models under anti-PD-1 immunotherapy, combined with oral administration of three forms of Akk, including live Akk, pasteurized Akk (Akk-past), or its membrane protein Amuc_1100 (Amuc). We show that live Akk is most effective in activation of CD8 T cells by rescuing the exhausted type into cytotoxic subpopulations. Remarkably, only live Akk activates MHC-II-pDC pathways, downregulates CXCL3 in Bgn(+)Dcn(+) cancer-associated fibroblasts (CAFs), blunts crosstalk between Bgn(+)Dcn(+) CAFs and PD-L1(+) neutrophils by a CXCL3-PD-L1 axis, and further suppresses the crosstalk between PD-L1(+) neutrophils and CD8 T cells, leading to the rescue of exhausted CD8 T cells. Together, this comprehensive picture of the tumor ecosystem provides deeper insights into immune mechanisms associated with gut Akk-dependent anti-PD-1 immunotherapy.</t>
  </si>
  <si>
    <t>Focuses on microbiome-modulated immunotherapy, not neoantigen discovery or vaccines.</t>
  </si>
  <si>
    <t>Papadas, Athanasios; Deb, Gauri; Cicala, Alexander; Officer, Adam; Hope, Chelsea; Pagenkopf, Adam; Flietner, Evan; Morrow, Zachary T.; Emmerich, Philip; Wiesner, Joshua; Arauz, Garrett; Bansal, Varun; Esbona, Karla; Capitini, Christian M.; Matkowskyj, Kristina A.; Deming, Dustin A.; Politi, Katerina; Abrams, Scott I.; Harismendy, Olivier; Asimakopoulos, Fotis</t>
  </si>
  <si>
    <t>Stromal remodeling regulates dendritic cell abundance and activity in the tumor microenvironment</t>
  </si>
  <si>
    <t>https://doi.org/10.1016/j.celrep.2022.111201</t>
  </si>
  <si>
    <t>Summary Stimulatory type 1 conventional dendritic cells (cDC1s) engage in productive interactions with CD8+ effectors along tumor-stroma boundaries. The paradoxical accumulation of “poised” cDC1s within stromal sheets is unlikely to simply reflect passive exclusion from tumor cores. Drawing parallels with embryonic morphogenesis, we hypothesized that invasive margin stromal remodeling generates developmentally conserved cell fate cues that regulate cDC1 behavior. We find that, in human T cell-inflamed tumors, CD8+ T cells penetrate tumor nests, whereas cDC1s are confined within adjacent stroma that recurrently displays site-specific proteolysis of the matrix proteoglycan versican (VCAN), an essential organ-sculpting modification in development. VCAN is necessary, and its proteolytic fragment (matrikine) versikine is sufficient for cDC1 accumulation. Versikine does not influence tumor-seeding pre-DC differentiation; rather, it orchestrates a distinctive cDC1 activation program conferring exquisite sensitivity to DNA sensing, supported by atypical innate lymphoid cells. Thus, peritumoral stroma mimicking embryonic provisional matrix remodeling regulates cDC1 abundance and activity to elicit T cell-inflamed tumor microenvironments.</t>
  </si>
  <si>
    <t>Focuses on stromal matrix and dendritic cell infiltration, not neoantigen discovery.</t>
  </si>
  <si>
    <t>McGrail, Daniel J.; Garnett, Jeannine; Yin, Jun; Dai, Hui; Shih, David J. H.; Lam, Truong Nguyen Anh; Li, Yang; Sun, Chaoyang; Li, Yongsheng; Schmandt, Rosemarie; Wu, Ji Yuan; Hu, Limei; Liang, Yulong; Peng, Guang; Jonasch, Eric; Menter, David; Yates, Melinda S.; Kopetz, Scott; Lu, Karen H.; Broaddus, Russell; Mills, Gordon B.; Sahni, Nidhi; Lin, Shiaw-Yih</t>
  </si>
  <si>
    <t>Proteome Instability Is a Therapeutic Vulnerability in Mismatch Repair-Deficient Cancer</t>
  </si>
  <si>
    <t>https://doi.org/10.1016/j.ccell.2020.01.011</t>
  </si>
  <si>
    <t>Summary Deficient DNA mismatch repair (dMMR) induces a hypermutator phenotype that can lead to tumorigenesis; however, the functional impact of the high mutation burden resulting from this phenotype remains poorly explored. Here, we demonstrate that dMMR-induced destabilizing mutations lead to proteome instability in dMMR tumors, resulting in an abundance of misfolded protein aggregates. To compensate, dMMR cells utilize a Nedd8-mediated degradation pathway to facilitate clearance of misfolded proteins. Blockade of this Nedd8 clearance pathway with MLN4924 causes accumulation of misfolded protein aggregates, ultimately inducing immunogenic cell death in dMMR cancer cells. To leverage this immunogenic cell death, we combined MLN4924 treatment with PD1 inhibition and found the combination was synergistic, significantly improving efficacy over either treatment alone.</t>
  </si>
  <si>
    <t>Focuses on protein misfolding and checkpoint synergy, not neoantigen discovery pipelines or vaccine design.</t>
  </si>
  <si>
    <t>Mender, Ilgen; Zhang, Anli; Ren, Zhenhua; Han, Chuanhui; Deng, Yafang; Siteni, Silvia; Li, Huiyu; Zhu, Jiankun; Vemula, Aishwarya; Shay, Jerry W.; Fu, Yang-Xin</t>
  </si>
  <si>
    <t>Telomere Stress Potentiates STING-Dependent Anti-tumor Immunity</t>
  </si>
  <si>
    <t>https://doi.org/10.1016/j.ccell.2020.05.020</t>
  </si>
  <si>
    <t>Summary Telomerase is an attractive target for anti-tumor therapy as it is almost universally expressed in cancer cells. Here, we show that treatment with a telomere-targeting drug, 6-thio-2′-deoxyguanosine (6-thio-dG), leads to tumor regression through innate and adaptive immune-dependent responses in syngeneic and humanized mouse models of telomerase-expressing cancers. 6-thio-dG treatment causes telomere-associated DNA damages that are sensed by dendritic cells (DCs) and activates the host cytosolic DNA sensing STING/interferon I pathway, resulting in enhanced cross-priming capacity of DCs and tumor-specific CD8+ T cell activation. Moreover, 6-thio-dG overcomes resistance to checkpoint blockade in advanced cancer models. Our results unveil how telomere stress increases innate sensing and adaptive anti-tumor immunity and provide strong rationales for combining telomere-targeting therapy with immunotherapy.</t>
  </si>
  <si>
    <t>Focuses on a telomere-targeting drug, not a neoantigen prediction stack or vaccine.</t>
  </si>
  <si>
    <t>Chen, Yi-Ju; Roumeliotis, Theodoros I.; Chang, Ya-Hsuan; Chen, Ching-Tai; Han, Chia-Li; Lin, Miao-Hsia; Chen, Huei-Wen; Chang, Gee-Chen; Chang, Yih-Leong; Wu, Chen-Tu; Lin, Mong-Wei; Hsieh, Min-Shu; Wang, Yu-Tai; Chen, Yet-Ran; Jonassen, Inge; Ghavidel, Fatemeh Zamanzad; Lin, Ze-Shiang; Lin, Kuen-Tyng; Chen, Ching-Wen; Sheu, Pei-Yuan; Hung, Chen-Ting; Huang, Ke-Chieh; Yang, Hao-Chin; Lin, Pei-Yi; Yen, Ta-Chi; Lin, Yi-Wei; Wang, Jen-Hung; Raghav, Lovely; Lin, Chien-Yu; Chen, Yan-Si; Wu, Pei-Shan; Lai, Chi-Ting; Weng, Shao-Hsing; Su, Kang-Yi; Chang, Wei-Hung; Tsai, Pang-Yan; Robles, Ana I.; Rodriguez, Henry; Hsiao, Yi-Jing; Chang, Wen-Hsin; Sung, Ting-Yi; Chen, Jin-Shing; Yu, Sung-Liang; Choudhary, Jyoti S.; Chen, Hsuan-Yu; Yang, Pan-Chyr; Chen, Yu-Ju</t>
  </si>
  <si>
    <t>Proteogenomics of Non-smoking Lung Cancer in East Asia Delineates Molecular Signatures of Pathogenesis and Progression</t>
  </si>
  <si>
    <t>https://doi.org/10.1016/j.cell.2020.06.012</t>
  </si>
  <si>
    <t>Summary Lung cancer in East Asia is characterized by a high percentage of never-smokers, early onset and predominant EGFR mutations. To illuminate the molecular phenotype of this demographically distinct disease, we performed a deep comprehensive proteogenomic study on a prospectively collected cohort in Taiwan, representing early stage, predominantly female, non-smoking lung adenocarcinoma. Integrated genomic, proteomic, and phosphoproteomic analysis delineated the demographically distinct molecular attributes and hallmarks of tumor progression. Mutational signature analysis revealed age- and gender-related mutagenesis mechanisms, characterized by high prevalence of APOBEC mutational signature in younger females and over-representation of environmental carcinogen-like mutational signatures in older females. A proteomics-informed classification distinguished the clinical characteristics of early stage patients with EGFR mutations. Furthermore, integrated protein network analysis revealed the cellular remodeling underpinning clinical trajectories and nominated candidate biomarkers for patient stratification and therapeutic intervention. This multi-omic molecular architecture may help develop strategies for management of early stage never-smoker lung adenocarcinoma.</t>
  </si>
  <si>
    <t>Proteogenomic subtyping/biomarkers; no neoantigen prediction or vaccine focus.</t>
  </si>
  <si>
    <t>Chen, Rui; Coleborn, Elaina; Bhavsar, Chintan; Wang, Yue; Alim, Louisa; Wilkinson, Andrew N.; Tran, Michelle A.; Irgam, Gowri; Atluri, Sharat; Wong, Kiefer; Shim, Jae-Jun; Adityan, Siddharth; Lee, Ju-Seog; Overwijk, Willem W.; Steptoe, Raymond; Yang, Da; Wu, Sherry Y.</t>
  </si>
  <si>
    <t>miR-146a inhibits ovarian tumor growth in vivo via targeting immunosuppressive neutrophils and enhancing CD8+ T cell infiltration</t>
  </si>
  <si>
    <t>https://doi.org/10.1016/j.omto.2023.09.001</t>
  </si>
  <si>
    <t>Immunotherapies have emerged as promising strategies for cancer treatment. However, existing immunotherapies have poor activity in high-grade serous ovarian cancer (HGSC) due to the immunosuppressive tumor microenvironment and the associated low tumoral CD8+ T cell (CTL) infiltration. Through multiple lines of evidence, including integrative analyses of human HGSC tumors, we have identified miR-146a as a master regulator of CTL infiltration in HGSC. Tumoral miR-146a expression is positively correlated with anti-cancer immune signatures in human HGSC tumors, and delivery of miR-146a to tumors resulted in significant reduction in tumor growth in both ID8-p53−/− and IG10 murine HGSC models. Increasing miR-146a expression in tumors improved anti-tumor immune responses by decreasing immune suppressive neutrophils and increasing CTL infiltration. Mechanistically, miR-146a targets IL-1 receptor-associated kinase 1 and tumor necrosis factor receptor-associated factor 6 adaptor molecules of the transcription factor nuclear factor κB signaling pathway in ID8-p53−/− cells and decreases production of the downstream neutrophil chemoattractant, C-X-C motif chemokine ligand 1. In addition to HGSC, tumoral miR-146a expression also correlates strongly with CTL infiltration in other cancer types including thyroid, prostate, breast, and adrenocortical cancers. Altogether, our findings highlight the ability of miR-146a to overcome immune suppression and improve CTL infiltration in tumors.</t>
  </si>
  <si>
    <t>Investigates microRNA/chemokine signaling, not neoantigen discovery.</t>
  </si>
  <si>
    <t>Rosenberg, Miriam I.; Greenstein, Erez; Buchkovich, Martin; Peres, Ayelet; Santoni-Rugiu, Eric; Yang, Lei; Mikl, Martin; Vaksman, Zalman; Gibbs, David L.; Reshef, Dan; Salovin, Amy; Irwin, Meredith S.; Naranjo, Arlene; Ulitsky, Igor; Alarcon, Pedro A. de; Matthay, Katherine K.; Weigman, Victor; Yaari, Gur; Panzer, Jessica A.; Friedman, Nir; Maris, John M.</t>
  </si>
  <si>
    <t>Polyclonal lymphoid expansion drives paraneoplastic autoimmunity in neuroblastoma</t>
  </si>
  <si>
    <t>https://doi.org/10.1016/j.celrep.2023.112879</t>
  </si>
  <si>
    <t>Summary Neuroblastoma is a lethal childhood solid tumor of developing peripheral nerves. Two percent of children with neuroblastoma develop opsoclonus myoclonus ataxia syndrome (OMAS), a paraneoplastic disease characterized by cerebellar and brainstem-directed autoimmunity but typically with outstanding cancer-related outcomes. We compared tumor transcriptomes and tumor-infiltrating T and B cell repertoires from 38 OMAS subjects with neuroblastoma to 26 non-OMAS-associated neuroblastomas. We found greater B and T cell infiltration in OMAS-associated tumors compared to controls and showed that both were polyclonal expansions. Tertiary lymphoid structures (TLSs) were enriched in OMAS-associated tumors. We identified significant enrichment of the major histocompatibility complex (MHC) class II allele HLA-DOB∗01:01 in OMAS patients. OMAS severity scores were associated with the expression of several candidate autoimmune genes. We propose a model in which polyclonal auto-reactive B lymphocytes act as antigen-presenting cells and drive TLS formation, thereby supporting both sustained polyclonal T cell-mediated anti-tumor immunity and paraneoplastic OMAS neuropathology.</t>
  </si>
  <si>
    <t>Pediatric Neuroblastoma; not Human NSCLC. Focuses on paraneoplastic autoimmunity, not neoantigen discovery pipelines.</t>
  </si>
  <si>
    <t>Satpathy, Shankha; Krug, Karsten; Beltran, Pierre M. Jean; Savage, Sara R.; Petralia, Francesca; Kumar-Sinha, Chandan; Dou, Yongchao; Reva, Boris; Kane, M. Harry; Avanessian, Shayan C.; Vasaikar, Suhas V.; Krek, Azra; Lei, Jonathan T.; Jaehnig, Eric J.; Omelchenko, Tatiana; Geffen, Yifat; Bergstrom, Erik J.; Stathias, Vasileios; Christianson, Karen E.; Heiman, David I.; Cieslik, Marcin P.; Cao, Song; Song, Xiaoyu; Ji, Jiayi; Liu, Wenke; Li, Kai; Wen, Bo; Li, Yize; Gümüş, Zeynep H.; Selvan, Myvizhi Esai; Soundararajan, Rama; Visal, Tanvi H.; Raso, Maria G.; Parra, Edwin Roger; Babur, Özgün; Vats, Pankaj; Anand, Shankara; Schraink, Tobias; Cornwell, MacIntosh; Rodrigues, Fernanda Martins; Zhu, Houxiang; Mo, Chia-Kuei; Zhang, Yuping; Leprevost, Felipe da Veiga; Huang, Chen; Chinnaiyan, Arul M.; Wyczalkowski, Matthew A.; Omenn, Gilbert S.; Newton, Chelsea J.; Schurer, Stephan; Ruggles, Kelly V.; Fenyö, David; Jewell, Scott D.; Thiagarajan, Mathangi; Mesri, Mehdi; Rodriguez, Henry; Mani, Sendurai A.; Udeshi, Namrata D.; Getz, Gad; Suh, James; Li, Qing Kay; Hostetter, Galen; Paik, Paul K.; Dhanasekaran, Saravana M.; Govindan, Ramaswamy; Ding, Li; Robles, Ana I.; Clauser, Karl R.; Nesvizhskii, Alexey I.; Wang, Pei; Carr, Steven A.; Zhang, Bing; Mani, D. R.; Gillette, Michael A.; Green, Alex; Molinolo, Alfredo; Francis, Alicia; Paulovich, Amanda G.; Karnuta, Andrii; Colaprico, Antonio; Hindenach, Barbara; Pruetz, Barbara L.; Kubisa, Bartosz; Druker, Brian J.; Huynh, Carissa; Goldthwaite, Charles A.; Birger, Chet; Kinsinger, Christopher R.; Jones, Corbin D.; Rohrer, Dan; Valley, Dana R.; Chan, Daniel W.; Chesla, David; Hansel, Donna; Ponomareva, Elena V.; Duffy, Elizabeth; Burks, Eric; Schadt, Eric E.; Fedorov, Eugene S.; An, Eunkyung; Ding, Fei; Wilson, George D.; Batra, Harsh; Zhang, Hui; Maas, Jennifer E.; Eschbacher, Jennifer; Ketchum, Karen A.; Rodland, Karin D.; Hoadley, Katherine A.; Suzuki, Kei; Um, Ki Sung; Qi, Liqun; Bernard, Lori; Wiznerowicz, Maciej; Wojtyś, Małgorzata; Domagalski, Marcin J.; Ellis, Matthew J.; Dyer, Maureen A.; Borucki, Melissa; Anurag, Meenakshi; Birrer, Michael J.; Xu, Midie; Krotevich, Mikhail; Roche, Nancy; Edwards, Nathan J.; Vatanian, Negin; Mucci, Neil R.; Maunganidze, Nicollette; Gabrovski, Nikolay; Potapova, Olga; Fadare, Oluwole; Grady, Pamela; McGarvey, Peter B.; Hariharan, Pushpa; Thangudu, Ratna R.; Montgomery, Rebecca; Pandurengan, Renganayaki; Smith, Richard D.; Welsh, Robert J.; Mareedu, Sailaja; Payne, Samuel H.; Cottingham, Sandra; Singh, Shilpi; Tsang, Shirley X.; Cai, Shuang; Gabriel, Stacey; Liu, Tao; Hiltke, Tara; Vashist, Tanmayi; Bauer, Thomas; Sovenko, Volodymyr; Tourtellotte, Warren G.; Ma, Weiping; Bocik, William; Hasan, Wohaib; Jing, Xiaojun; Tang, Ximing; Liao, Yuxing; Yvonne; Shutack; Zhang, Zhen; Hanhan, Ziad</t>
  </si>
  <si>
    <t>A proteogenomic portrait of lung squamous cell carcinoma</t>
  </si>
  <si>
    <t>https://doi.org/10.1016/j.cell.2021.07.016</t>
  </si>
  <si>
    <t>Summary Lung squamous cell carcinoma (LSCC) remains a leading cause of cancer death with few therapeutic options. We characterized the proteogenomic landscape of LSCC, providing a deeper exposition of LSCC biology with potential therapeutic implications. We identify NSD3 as an alternative driver in FGFR1-amplified tumors and low-p63 tumors overexpressing the therapeutic target survivin. SOX2 is considered undruggable, but our analyses provide rationale for exploring chromatin modifiers such as LSD1 and EZH2 to target SOX2-overexpressing tumors. Our data support complex regulation of metabolic pathways by crosstalk between post-translational modifications including ubiquitylation. Numerous immune-related proteogenomic observations suggest directions for further investigation. Proteogenomic dissection of CDKN2A mutations argue for more nuanced assessment of RB1 protein expression and phosphorylation before declaring CDK4/6 inhibition unsuccessful. Finally, triangulation between LSCC, LUAD, and HNSCC identified both unique and common therapeutic vulnerabilities. These observations and proteogenomics data resources may guide research into the biology and treatment of LSCC.</t>
  </si>
  <si>
    <t>Relevant/Validate</t>
  </si>
  <si>
    <t>Beutgen, Vanessa M.; Shinkevich, Veronika; Pörschke, Johanna; Meena, Celina; Steitz, Anna M.; Strandmann, Elke Pogge von; Graumann, Johannes; Gómez-Serrano, María</t>
  </si>
  <si>
    <t>Secretome Analysis Using Affinity Proteomics and Immunoassays: A Focus on Tumor Biology</t>
  </si>
  <si>
    <t>https://doi.org/10.1016/j.mcpro.2024.100830</t>
  </si>
  <si>
    <t>The study of the cellular secretome using proteomic techniques continues to capture the attention of the research community across a broad range of topics in biomedical research. Due to their untargeted nature, independence from the model system used, historically superior depth of analysis, as well as comparative affordability, mass spectrometry-based approaches traditionally dominate such analyses. More recently, however, affinity-based proteomic assays have massively gained in analytical depth, which together with their high sensitivity, dynamic range coverage as well as high throughput capabilities render them exquisitely suited to secretome analysis. In this review, we revisit the analytical challenges implied by secretomics and provide an overview of affinity-based proteomic platforms currently available for such analyses, using the study of the tumor secretome as an example for basic and translational research.</t>
  </si>
  <si>
    <t>Focuses on secreted protein biomarkers, not mutation-derived neoantigens. and its a review article</t>
  </si>
  <si>
    <t>Ma, Xinyue; Wang, Qiuman; Sun, Chenggong; Agarwal, Indu; Wu, Huan; Chen, Jingying; Zhao, Chen; Qi, Gonghua; Teng, Qiuli; Yuan, Cunzhong; Yan, Shi; Peng, Jiali; Li, Rongrong; Song, Kun; Zhang, Qing; Kong, Beihua</t>
  </si>
  <si>
    <t>Targeting TCF19 sensitizes MSI endometrial cancer to anti-PD-1 therapy by alleviating CD8+ T cell exhaustion via TRIM14-IFN-β axis</t>
  </si>
  <si>
    <t>https://doi.org/10.1016/j.celrep.2023.112944</t>
  </si>
  <si>
    <t>Summary Immune checkpoint blockade (ICB) therapies display clinical efficacy in microsatellite instable (MSI) endometrial cancer (EC) treatment, the key mechanism of which is reversing T cell exhaustion and restoration of anti-tumor immunity. Here, we demonstrate that transcription factor 19 (TCF19), one of the most significantly differentially expressed genes between MSI and microsatellite stable (MSS) patients in The Cancer Genome Atlas (TCGA)-EC cohort, is associated with poor prognosis and immune exhaustion signature. Specifically, TCF19 is significantly elevated in MSI EC, which in turn promotes tripartite motif-containing 14 (TRIM14) transcription and correlates with hyperactive signaling of the TANK-binding kinase 1 (TBK1)-interferon regulatory factor 3 (IRF3)-interferon β (IFN-β) pathway. The TCF19-TRIM14 axis promotes tumorigenicity under non-immunological background, and the enhanced downstream secretion of IFN-β facilitates CD8+ T cell exhaustion through cell differentiation reprogramming. Finally, using humanized models, we show that a combination of TCF19 inhibition and ICB therapy demonstrates more effective anti-tumor responses. Together, our study indicates that targeting TCF19 is a potent strategy for alleviating CD8+ T cell exhaustion and synergizing with ICB in tumor treatment.</t>
  </si>
  <si>
    <t>Endometrial Cancer; not Human NSCLC. Focuses on gene-driven T-cell exhaustion, not neoantigen discovery pipelines.</t>
  </si>
  <si>
    <t>Saha, Dipongkor; Martuza, Robert L.; Rabkin, Samuel D.</t>
  </si>
  <si>
    <t>Macrophage Polarization Contributes to Glioblastoma Eradication by Combination Immunovirotherapy and Immune Checkpoint Blockade</t>
  </si>
  <si>
    <t>https://doi.org/10.1016/j.ccell.2017.07.006</t>
  </si>
  <si>
    <t>Summary Glioblastoma is an immunosuppressive, fatal brain cancer that contains glioblastoma stem-like cells (GSCs). Oncolytic herpes simplex virus (oHSV) selectively replicates in cancer cells while inducing anti-tumor immunity. oHSV G47Δ expressing murine IL-12 (G47Δ-mIL12), antibodies to immune checkpoints (CTLA-4, PD-1, PD-L1), or dual combinations modestly extended survival of a mouse glioma model. However, the triple combination of anti-CTLA-4, anti-PD-1, and G47Δ-mIL12 cured most mice in two glioma models. This treatment was associated with macrophage influx and M1-like polarization, along with increased T effector to T regulatory cell ratios. Immune cell depletion studies demonstrated that CD4+ and CD8+ T cells as well as macrophages are required for synergistic curative activity. This combination should be translatable to the clinic and other immunosuppressive cancers.</t>
  </si>
  <si>
    <t>Focuses on oncolytic virus and checkpoint synergy, not neoantigen discovery pipelines. Mouse Glioblastoma models; not Human NSCLC.</t>
  </si>
  <si>
    <t>Baird, Liam; Yamamoto, Masayuki</t>
  </si>
  <si>
    <t>Immunoediting of KEAP1-NRF2 mutant tumours is required to circumvent NRF2-mediated immune surveillance</t>
  </si>
  <si>
    <t>Redox Biology</t>
  </si>
  <si>
    <t>https://doi.org/10.1016/j.redox.2023.102904</t>
  </si>
  <si>
    <t>In human cancer, activating mutations in the KEAP1-NRF2 pathway are frequently observed, and positively selected for, as they confer the cytoprotective functions of the transcription factor NRF2 on the cancer cells. This results in the development of aggressive tumours which are resistant to treatment with chemotherapeutic compounds. Recent clinical developments have also revealed that NRF2-activated cancers are similarly resistant to immune checkpoint inhibitor drugs. As the mechanism of action of these immune modulating therapies is tangential to the classical cytoprotective function of NRF2, it is unclear how aberrant NRF2 activity could impact the anti-cancer functionality of the immune system. In this context, we found that in human cancer, NRF2-activated cells are highly immunoedited, which allows the cancer cells to escape immune surveillance and develop into malignant tumours. This immunoediting takes the form of reduced antigen presentation by the MHC-I complex, coupled with reduced expression of activating ligands for NK cells. Together, these modifications to the immunogenicity of NRF2-activated cancers inhibit immune effector cell infiltration and engagement, and contribute to the formation of the immunologically cold tumour microenvironment which is a characteristic feature of NRF2-activated cancers.</t>
  </si>
  <si>
    <t>Focuses on immune evasion/cold tumors, not neoantigen discovery or vaccines.</t>
  </si>
  <si>
    <t>Hollern, Daniel P.; Xu, Nuo; Thennavan, Aatish; Glodowski, Cherise; Garcia-Recio, Susana; Mott, Kevin R.; He, Xiaping; Garay, Joseph P.; Carey-Ewend, Kelly; Marron, David; Ford, John; Liu, Siyao; Vick, Sarah C.; Martin, Miguel; Parker, Joel S.; Vincent, Benjamin G.; Serody, Jonathan S.; Perou, Charles M.</t>
  </si>
  <si>
    <t>B Cells and T Follicular Helper Cells Mediate Response to Checkpoint Inhibitors in High Mutation Burden Mouse Models of Breast Cancer</t>
  </si>
  <si>
    <t>https://doi.org/10.1016/j.cell.2019.10.028</t>
  </si>
  <si>
    <t>Summary This study identifies mechanisms mediating responses to immune checkpoint inhibitors using mouse models of triple-negative breast cancer. By creating new mammary tumor models, we find that tumor mutation burden and specific immune cells are associated with response. Further, we developed a rich resource of single-cell RNA-seq and bulk mRNA-seq data of immunotherapy-treated and non-treated tumors from sensitive and resistant murine models. Using this, we uncover that immune checkpoint therapy induces T follicular helper cell activation of B cells to facilitate the anti-tumor response in these models. We also show that B cell activation of T cells and the generation of antibody are key to immunotherapy response and propose a new biomarker for immune checkpoint therapy. In total, this work presents resources of new preclinical models of breast cancer with large mRNA-seq and single-cell RNA-seq datasets annotated for sensitivity to therapy and uncovers new components of response to immune checkpoint inhibitors.</t>
  </si>
  <si>
    <t>Mouse/human breast cancer models; not Human NSCLC. Focuses on B cell/Tfh cell mechanisms in ICI, not neoantigen discovery pipelines.</t>
  </si>
  <si>
    <t>Li, Jing; Lee, Younghee; Li, Yanjian; Jiang, Yu; Lu, Huiping; Zang, Wenjuan; Zhao, Xiaohong; Liu, Liguo; Chen, Yang; Tan, Haidong; Yang, Zhiying; Zhang, Michael Q.; Mak, Tak W.; Ni, Ling; Dong, Chen</t>
  </si>
  <si>
    <t>Co-inhibitory Molecule B7 Superfamily Member 1 Expressed by Tumor-Infiltrating Myeloid Cells Induces Dysfunction of Anti-tumor CD8+ T Cells</t>
  </si>
  <si>
    <t>https://doi.org/10.1016/j.immuni.2018.03.018</t>
  </si>
  <si>
    <t>Summary The molecular mechanisms whereby CD8+ T cells become “exhausted” in the tumor microenvironment remain unclear. Programmed death ligand-1 (PD-L1) is upregulated on tumor cells and PD-1-PD-L1 blockade has significant efficacy in human tumors; however, most patients do not respond, suggesting additional mechanisms underlying T cell exhaustion. B7 superfamily member 1 (B7S1), also called B7-H4, B7x, or VTCN1, negatively regulates T cell activation. Here we show increased B7S1 expression on myeloid cells from human hepatocellular carcinoma correlated with CD8+ T cell dysfunction. B7S1 inhibition suppressed development of murine tumors. Putative B7S1 receptor was co-expressed with PD-1 but not T cell immunoglobulin and mucin-domain containing-3 (Tim-3) at an activated state of early tumor-infiltrating CD8+ T cells, and B7S1 promoted T cell exhaustion, possibly through Eomes overexpression. Combinatorial blockade of B7S1 and PD-1 synergistically enhanced anti-tumor immune responses. Collectively, B7S1 initiates dysfunction of tumor-infiltrating CD8+ T cells and may be targeted for cancer immunotherapy.</t>
  </si>
  <si>
    <t>Investigates a checkpoint protein, not a neoantigen discovery pipeline or vaccine. Human HCC and mouse models; no NSCLC data.</t>
  </si>
  <si>
    <t>Vargas, Frederick Arce; Furness, Andrew J. S.; Litchfield, Kevin; Joshi, Kroopa; Rosenthal, Rachel; Ghorani, Ehsan; Solomon, Isabelle; Lesko, Marta H.; Ruef, Nora; Roddie, Claire; Henry, Jake Y.; Spain, Lavinia; Aissa, Assma Ben; Georgiou, Andrew; Wong, Yien Ning Sophia; Smith, Myles; Strauss, Dirk; Hayes, Andrew; Nicol, David; O'Brien, Tim; Mårtensson, Linda; Ljungars, Anne; Teige, Ingrid; Frendéus, Björn; Harrington, Kevin; Melcher, Alan; Wotherspoon, Andrew; Francis, Nicholas; Challacombe, Ben; Fernando, Archana; Hazell, Steve; Chandra, Ashish; Pickering, Lisa; Lynch, Joanna; Rudman, Sarah; Chowdhury, Simon; Harrison-Phipps, Karen; Varia, Mary; Horsfield, Catherine; Polson, Alexander; Stamp, Gordon; O'Donnell, Marie; Drake, William; Hill, Peter; Hrouda, David; Mayer, Eric; Olsburgh, Jonathan; Kooiman, Gordon; O'Connor, Kevin; Stewart, Grant; Aitchison, Michael; Tran, Maxine; Fotiadis, Nicos; Verma, Hema; Lopez, Jose; Lester, Jason; Morgan, Fiona; Kornaszewska, Malgorzata; Attanoos, Richard; Adams, Haydn; Davies, Helen; Fennell, Dean; Shaw, Jacqui; Quesne, John Le; Nakas, Apostolos; Rathinam, Sridhar; Monteiro, William; Marshall, Hilary; Nelson, Louise; Bennett, Jonathan; Riley, Joan; Primrose, Lindsay; Martinson, Luke; Anand, Girija; Khan, Sajid; Nicolson, Marianne; Kerr, Keith; Palmer, Shirley; Remmen, Hardy; Miller, Joy; Buchan, Keith; Chetty, Mahendran; Gomersall, Lesley; Lock, Sara; Naidu, Babu; Langman, Gerald; Trotter, Simon; Bellamy, Mary; Bancroft, Hollie; Kerr, Amy; Kadiri, Salma; Webb, Joanne; Middleton, Gary; Djearaman, Madava; Summers, Yvonne; Califano, Raffaele; Taylor, Paul; Shah, Rajesh; Krysiak, Piotr; Rammohan, Kendadai; Fontaine, Eustace; Booton, Richard; Evison, Matthew; Crosbie, Phil; Moss, Stuart; Idries, Faiza; Novasio, Juliette; Joseph, Leena; Bishop, Paul; Chaturvedi, Anshuman; Quinn, Anne Marie; Doran, Helen; leek, Angela; Harrison, Phil; Moore, Katrina; Waddington, Rachael; Blackhall, Fiona; Rogan, Jane; Smith, Elaine; Dive, Caroline; Brady, Ged; Rothwell, Dominic; Gulati, Sakshi; Chemie, Francesca; Tugwood, Jonathan; Pierce, Jackie; Lawrence, David; Hayward, Martin; Panagiotopoulos, Nikolaos; George, Robert; Patrini, Davide; Falzon, Mary; Borg, Elaine; Khiroya, Reena; Jamal-Hanjani, Mariam; Wilson, Gareth; Birkbak, Nicolai Juul; Watkins, Thomas; McGranahan, Nicholas; Abbosh, Christopher; Horswell, Stuart; Mitter, Richard; Escudero, Mickael; Stewart, Aengus; Rowan, Andrew; Hiley, Crispin; Goldman, Jacki; Ahmed, Asia; Taylor, Magali; Choudhary, Junaid; Shaw, Penny; Veeriah, Raju; Czyzewska-Khan, Justyna; Johnson, Diana; Laycock, Joanne; Hynds, Robert; Sunderland, Mariana Werner; Reading, James; Novelli, Marco; Oukrif, Dahmane; Janes, Sam; Forster, Martin; Ahmad, Tanya; Lee, Siow Ming; Loo, Peter van; Herrero, Javier; Hartley, John; Stone, Richard Kevin; Denner, Tamara; Costa, Marta; Begum, Sharmin; Phillimore, Ben; Chambers, Tim; Nye, Emma; Ward, Sophie; Elgar, Greg; Al-Bakir, Maise; Carnell, Dawn; Mendes, Ruheena; George, Jeremy; Navani, Neal; Papadatos-Pastos, Dionysis; Scarci, Marco; Gorman, Pat; Lowe, Helen; Ensell, Leah; Moore, David; MacKenzie, Mairead; Wilcox, Maggie; Bell, Harriet; Hackshaw, Allan; Ngai, Yenting; Smith, Sean; Gower, Nicole; Ottensmeier, Christian; Chee, Serena; Johnson, Benjamin; Alzetani, Aiman; Shaw, Emily; Lim, Eric; Sousa, Paulo De; Barbosa, Monica Tavares; Nicholson, Andrew; Bowman, Alex; Jordan, Simon; Rice, Alexandra; Raubenheimer, Hilgardt; Proli, Chiara; Cufari, Maria Elena; Ronquillo, John Carlo; Kwayie, Angela; Bhayani, Harshil; Hamilton, Morag; Bakar, Yusura; Mensah, Natalie; Ambrose, Lyn; Devaraj, Anand; Buderi, Silviu; Finch, Jonathan; Azcarate, Leire; Chavan, Hema; Green, Sophie; Mashinga, Hillaria; Lau, Kelvin; Sheaff, Michael; Schmid, Peter; Conibear, John; Ezhil, Veni; Prakash, Vineet; Danson, Sarah; Bury, Jonathan; Edwards, John; Hill, Jennifer; Matthews, Sue; Kitsanta, Yota; Suvarna, Kim; Shackcloth, Michael; Gosney, John; Postmus, Pieter; Feeney, Sarah; Asante-Siaw, Julius; Russell, Peter; Light, Teresa; Horey, Tracey; Blyth, Kevin; Dick, Craig; Kirk, Alan; Pule, Martin; Marafioti, Teresa; Gore, Martin; Larkin, James; Turajlic, Samra; Swanton, Charles; Peggs, Karl S.; Quezada, Sergio A.</t>
  </si>
  <si>
    <t>Fc Effector Function Contributes to the Activity of Human Anti-CTLA-4 Antibodies</t>
  </si>
  <si>
    <t>https://doi.org/10.1016/j.ccell.2018.02.010</t>
  </si>
  <si>
    <t>Summary With the use of a mouse model expressing human Fc-gamma receptors (FcγRs), we demonstrated that antibodies with isotypes equivalent to ipilimumab and tremelimumab mediate intra-tumoral regulatory T (Treg) cell depletion in vivo, increasing the CD8+ to Treg cell ratio and promoting tumor rejection. Antibodies with improved FcγR binding profiles drove superior anti-tumor responses and survival. In patients with advanced melanoma, response to ipilimumab was associated with the CD16a-V158F high affinity polymorphism. Such activity only appeared relevant in the context of inflamed tumors, explaining the modest response rates observed in the clinical setting. Our data suggest that the activity of anti-CTLA-4 in inflamed tumors may be improved through enhancement of FcγR binding, whereas poorly infiltrated tumors will likely require combination approaches.</t>
  </si>
  <si>
    <t>Human Melanoma and mouse models; no NSCLC data. Investigates checkpoint antibody mechanisms, not a neoantigen discovery pipeline or vaccine.</t>
  </si>
  <si>
    <t>Zhu, Mingrui; Kim, Jiwoong; Deng, Qing; Ricciuti, Biagio; Alessi, Joao V.; Eglenen-Polat, Buse; Bender, Matthew E.; Huang, Hai-Cheng; Kowash, Ryan R.; Cuevas, Ileana; Bennett, Zachary T.; Gao, Jinming; Minna, John D.; Castrillon, Diego H.; Awad, Mark M.; Xu, Lin; Akbay, Esra A.</t>
  </si>
  <si>
    <t>Loss of p53 and mutational heterogeneity drives immune resistance in an autochthonous mouse lung cancer model with high tumor mutational burden</t>
  </si>
  <si>
    <t>https://doi.org/10.1016/j.ccell.2023.09.006</t>
  </si>
  <si>
    <t>Summary The role of tumor mutational burden (TMB) in shaping tumor immunity is a key question that has not been addressable using genetically engineered mouse models (GEMMs) of lung cancer. To induce TMB in lung GEMMs, we expressed an ultra-mutator variant of DNA polymerase-E (POLE)P286R in lung epithelial cells. Introduction of PoleP286R allele into KrasG12D and KrasG12D; p53L/L (KP) models significantly increase their TMB. Immunogenicity and sensitivity to immune checkpoint blockade (ICB) induced by Pole is partially dependent on p53. Corroborating these observations, survival of NSCLC patients whose tumors have TP53truncating mutations is shorter than those with TP53WT with immunotherapy. Immune resistance is in part through reduced antigen presentation and in part due to mutational heterogeneity. Total STING protein levels are elevated in Pole mutated KP tumors creating a vulnerability. A stable polyvalent STING agonist or p53 induction increases sensitivity to immunotherapy offering therapeutic options in these polyclonal tumors.</t>
  </si>
  <si>
    <t>Havunen, Riikka; Siurala, Mikko; Sorsa, Suvi; Grönberg-Vähä-Koskela, Susanna; Behr, Michael; Tähtinen, Siri; Santos, João Manuel; Karell, Pauliina; Rusanen, Juuso; Nettelbeck, Dirk M.; Ehrhardt, Anja; Kanerva, Anna; Hemminki, Akseli</t>
  </si>
  <si>
    <t>Oncolytic Adenoviruses Armed with Tumor Necrosis Factor Alpha and Interleukin-2 Enable Successful Adoptive Cell Therapy</t>
  </si>
  <si>
    <t>https://doi.org/10.1016/j.omto.2016.12.004</t>
  </si>
  <si>
    <t>Adoptive cell therapy holds much promise in the treatment of cancer but results in solid tumors have been modest. The notable exception is tumor-infiltrating lymphocyte (TIL) therapy of melanoma, but this approach only works with high-dose preconditioning chemotherapy and systemic interleukin (IL)-2 postconditioning, both of which are associated with toxicities. To improve and broaden the applicability of adoptive cell transfer, we constructed oncolytic adenoviruses coding for human IL-2 (hIL2), tumor necrosis factor alpha (TNF-α), or both. The viruses showed potent antitumor efficacy against human tumors in immunocompromised severe combined immunodeficiency (SCID) mice. In immunocompetent Syrian hamsters, we combined the viruses with TIL transfer and were able to cure 100% of the animals. Cured animals were protected against tumor re-challenge, indicating a memory response. Arming with IL-2 and TNF-α increased the frequency of both CD4+ and CD8+ TILs in vivo and augmented splenocyte proliferation ex vivo, suggesting that the cytokines were important for T cell persistence and proliferation. Cytokine expression was limited to tumors and treatment-related signs of systemic toxicity were absent, suggesting safety. To conclude, cytokine-armed oncolytic adenoviruses enhanced adoptive cell therapy by favorable alteration of the tumor microenvironment. A clinical trial is in progress to study the utility of Ad5/3-E2F-d24-hTNFa-IRES-hIL2 (TILT-123) in human patients with cancer.</t>
  </si>
  <si>
    <t>Preclinical models (mice/hamsters); no human NSCLC data in abstract. Focuses on TIL therapy and oncolytic viruses, not neoantigen discovery pipelines.</t>
  </si>
  <si>
    <t>Godfrey, James; Tumuluru, Sravya; Bao, Riyue; Leukam, Michael; Venkataraman, Girish; Phillip, John; Fitzpatrick, Carrie; McElherne, James; MacNabb, Brendan W.; Orlowski, Robert; Smith, Sonali M.; Kline, Justin</t>
  </si>
  <si>
    <t>PD-L1 gene alterations identify a subset of diffuse large B-cell lymphoma harboring a T-cell–inflamed phenotype</t>
  </si>
  <si>
    <t>https://doi.org/10.1182/blood-2018-10-879015</t>
  </si>
  <si>
    <t>Abstract Programmed death-ligand 1 (PD-L1) expression on malignant cells is a dominant immune escape mechanism across a variety of human cancers. A unique genetic mechanism underlying PD-L1 upregulation has been uncovered in classical Hodgkin lymphoma (cHL), in which copy gains of the chromosomal region (9p24.1) containing the programmed death-1 (PD-1) ligands PD-L1 and PD-L2 are recurrently observed. While chromosome 9p24.1 copy-number alterations are ubiquitous in cHL, they also occur in diffuse large B-cell lymphoma (DLBCL), albeit with a lower incidence. Here, fluorescence in situ hybridization was used to identify DLBCLs harboring PD-L1 gene alterations, thereby enabling a characterization of the immunogenomic landscape of these lymphomas. Among 105 DLBCL cases analyzed, PD-L1 alterations were identified in 27%. PD-L1 alterations were highly enriched among non–germinal center DLBCLs and exhibited robust PD-L1 protein expression. These lymphomas were heavily infiltrated by clonally restricted T cells and frequently downregulated human leukocyte antigen expression. RNA sequencing of PD-L1–altered DLBCLs revealed upregulation of genes involved in negative T-cell regulation and NF-κB pathway activation, while whole-exome sequencing identified frequent mutations in genes involved in antigen presentation and T-cell costimulation. Many of these findings were validated in a large external data set. Interestingly, DLBCL patients with PD-L1 alterations had inferior progression-free survival following front-line chemoimmunotherapy; however, in the relapsed/refractory setting, PD-L1 alterations were associated with response to anti-PD-1 therapy. Collectively, our results indicate that PD-L1 alterations identify a unique biological subset of DLBCL in which an endogenous antilymphoma immune response has been activated, and that is associated with responsiveness to PD-1 blockade therapy.</t>
  </si>
  <si>
    <t>B-cell Lymphomas (DLBCL/cHL); not Human NSCLC and Focuses on PD-L1 genetic alterations and checkpoint response, not neoantigen discovery.</t>
  </si>
  <si>
    <t>Arimori, Takao; Mihara, Emiko; Suzuki, Hiroyuki; Ohishi, Tomokazu; Tanaka, Tomohiro; Kaneko, Mika K.; Takagi, Junichi; Kato, Yukinari</t>
  </si>
  <si>
    <t>Locally misfolded HER2 expressed on cancer cells is a promising target for development of cancer-specific antibodies</t>
  </si>
  <si>
    <t>https://doi.org/10.1016/j.str.2024.02.007</t>
  </si>
  <si>
    <t>Summary Overexpression of human epidermal growth factor receptor 2 (HER2) in breast and gastric cancers is associated with a poor prognosis, making it an important therapeutic target. Here, we establish a novel cancer-specific anti-HER2 antibody, H2Mab-214. H2Mab-214 reacts with HER2 on cancer cells, but unlike the therapeutic antibody trastuzumab, it does not react with HER2 on normal cells in flow cytometry measurements. A crystal structure suggests that H2Mab-214 recognizes a structurally disrupted region in the HER2 domain IV, which normally forms a β-sheet. We show that this misfolding is inducible by site-directed mutagenesis mimicking the disulfide bond defects that also may occur in cancer cells, indicating that the local misfolding in the Cys-rich domain IV governs the cancer-specificity of H2Mab-214. Furthermore, we show that H2Mab-214 effectively suppresses tumor growth in xenograft mouse models. Our findings offer a potential strategy for developing cancer-specific therapeutic antibodies that target partially misfolded cell surface receptors.</t>
  </si>
  <si>
    <t>Investigates an antibody targeting misfolded HER2, not a neoantigen discovery pipeline or vaccine. and its Breast/Gastric cancer; no human NSCLC data</t>
  </si>
  <si>
    <t>Sørensen, Rikke Bæk; Hadrup, Sine Reker; Svane, Inge Marie; Hjortsø, Mads Christian; Straten, Per thor; Andersen, Mads Hald</t>
  </si>
  <si>
    <t>Indoleamine 2,3-dioxygenase specific, cytotoxic T cells as immune regulators</t>
  </si>
  <si>
    <t>https://doi.org/10.1182/blood-2010-06-288498</t>
  </si>
  <si>
    <t>Abstract Indoleamine 2,3-dioxygenase (IDO) is an immunoregulatory enzyme that is implicated in suppressing T-cell immunity in normal and pathologic settings. Here, we describe that spontaneous cytotoxic T-cell reactivity against IDO exists not only in patients with cancer but also in healthy persons. We show that the presence of such IDO-specific CD8+ T cells boosted T-cell immunity against viral or tumor-associated antigens by eliminating IDO+ suppressive cells. This had profound effects on the balance between interleukin-17 (IL-17)–producing CD4+ T cells and regulatory T cells. Furthermore, this caused an increase in the production of the proinflammatory cytokines IL-6 and tumor necrosis factor-α while decreasing the IL-10 production. Finally, the addition of IDO-inducing agents (ie, the TLR9 ligand cytosine-phosphate-guanosine, soluble cytotoxic T lymphocyte–associated antigen 4, or interferon γ) induced IDO-specific T cells among peripheral blood mononuclear cells from patients with cancer as well as healthy donors. In the clinical setting, IDO may serve as an important and widely applicable target for immunotherapeutic strategies in which IDO plays a significant regulatory role. We describe for the first time effector T cells with a general regulatory function that may play a vital role for the mounting or maintaining of an effective adaptive immune response. We suggest terming such effector T cells “supporter T cells.”</t>
  </si>
  <si>
    <t>Targets a TAA (IDO), not a mutation-derived neoantigen.</t>
  </si>
  <si>
    <t>Delvecchio, Francesca R.; Fincham, Rachel E. A.; Spear, Sarah; Clear, Andrew; Roy-Luzarraga, Marina; Balkwill, Frances R.; Gribben, John G.; Bombardieri, Michele; Hodivala-Dilke, Kairbaan; Capasso, Melania; Kocher, Hemant M.</t>
  </si>
  <si>
    <t>Pancreatic Cancer Chemotherapy Is Potentiated by Induction of Tertiary Lymphoid Structures in Mice</t>
  </si>
  <si>
    <t>Cellular and Molecular Gastroenterology and Hepatology</t>
  </si>
  <si>
    <t>https://doi.org/10.1016/j.jcmgh.2021.06.023</t>
  </si>
  <si>
    <t>Background and aims The presence of tertiary lymphoid structures (TLSs) may confer survival benefit to patients with pancreatic ductal adenocarcinoma (PDAC), in an otherwise immunologically inert malignancy. Yet, the precise role in PDAC has not been elucidated. Here, we aim to investigate the structure and role of TLSs in human and murine pancreatic cancer. Methods Multicolor immunofluorescence and immunohistochemistry were used to fully characterize TLSs in human and murine (transgenic [KPC (KrasG12D, p53R172H, Pdx-1-Cre)] and orthotopic) pancreatic cancer. An orthotopic murine model was developed to study the development of TLSs and the effect of the combined chemotherapy and immunotherapy on tumor growth. Results Mature, functional TLSs are not ubiquitous in human PDAC and KPC murine cancers and are absent in the orthotopic murine model. TLS formation can be induced in the orthotopic model of PDAC after intratumoral injection of lymphoid chemokines (CXCL13/CCL21). Coadministration of systemic chemotherapy (gemcitabine) and intratumoral lymphoid chemokines into orthotopic tumors altered immune cell infiltration ,facilitating TLS induction and potentiating antitumor activity of chemotherapy. This resulted in significant tumor reduction, an effect not achieved by either treatment alone. Antitumor activity seen after TLS induction is associated with B cell-mediated dendritic cell activation. Conclusions This study provides supportive evidence that TLS induction may potentiate the antitumor activity of chemotherapy in a murine model of PDAC. A detailed understanding of TLS kinetics and their induction, owing to multiple host and tumor factors, may help design personalized therapies harnessing the potential of immune-oncology.</t>
  </si>
  <si>
    <t>Pancreatic Cancer (PDAC); not Human NSCLC. Focuses on TLS induction via chemokines, not neoantigen discovery or vaccines.</t>
  </si>
  <si>
    <t>Wu, Mingming; Yang, Shiyue; Yang, Zhentao; Fan, Jian; Lomeli, Shirley H.; Dharanipragada, Prashanthi; Moriceau, Gatien; Damoiseaux, Robert; Kelley, Mark C.; Prieto-Granada, Carlos N.; Giubellino, Alessio; Nosrati, Mehdi; Kashani-Sabet, Mohammed; Kim, Kevin B.; Johnson, Douglas B.; Liu, Sixue; Lo, Roger S.</t>
  </si>
  <si>
    <t>Genomic copy-number variants drive apoptotic evasion underlying acquired resistance to immune checkpoint inhibitors</t>
  </si>
  <si>
    <t>https://doi.org/10.1016/j.immuni.2025.10.001</t>
  </si>
  <si>
    <t>Summary Patients who initially respond to immune checkpoint inhibitors (ICIs) often relapse. Here, we studied how disease-progressive (DP) clinical melanomas evolve genomically to acquire ICI resistance. Compared to patient-matched pretreatment tumors, DP tumors recurrently amplified and/or deleted anti-apoptotic and/or pro-apoptotic genes, respectively. By chronic exposure to killer T cells or ICI therapy, we derived acquired-resistant (AR) human melanoma cell lines and murine melanoma tumors that recapitulate co-occurrent copy-number variants (CNVs) of apoptotic genes observed in DP melanomas. AR and DP subclones expanded shared, private, and, in some subclones, preexistent driver CNVs. Compared to isogenic parental cells, AR melanoma cells attenuated apoptotic priming but, with overexpression of deleted pro-apoptotic genes, recovered mitochondrial priming and sensitivity to killer T cells or ICIs. In mice, pharmacologically reducing the apoptotic threshold of ICI persisters prevented relapses. Thus, CNVs can drive the evolution of resistance to ICIs in melanoma, with tumor cell-intrinsic apoptotic threshold representing a target to curtail persister evolution.</t>
  </si>
  <si>
    <t>It focuses on resistance mechanisms rather than the neoantigen identification and validation pipelines required for the analysis</t>
  </si>
  <si>
    <t>Ravi, Arvind; Hellmann, Matthew D.; Arniella, Monica B.; Holton, Mark; Freeman, Samuel S.; Naranbhai, Vivek; Stewart, Chip; Leshchiner, Ignaty; Kim, Jaegil; Akiyama, Yo; Griffin, Aaron T.; Vokes, Natalie I.; Sakhi, Mustafa; Kamesan, Vashine; Rizvi, Hira; Ricciuti, Biagio; Forde, Patrick M.; Anagnostou, Valsamo; Riess, Jonathan W.; Gibbons, Don L.; Pennell, Nathan A.; Velcheti, Vamsidhar; Digumarthy, Subba R.; Mino-Kenudson, Mari; Califano, Andrea; Heymach, John V.; Herbst, Roy S.; Brahmer, Julie R.; Schalper, Kurt A.; Velculescu, Victor E.; Henick, Brian S.; Rizvi, Naiyer; Jänne, Pasi A.; Awad, Mark M.; Chow, Andrew; Greenbaum, Benjamin D.; Luksza, Marta; Shaw, Alice T.; Wolchok, Jedd; Hacohen, Nir; Getz, Gad; Gainor, Justin F.</t>
  </si>
  <si>
    <t>Genomic and transcriptomic analysis of checkpoint blockade response in advanced non-small cell lung cancer</t>
  </si>
  <si>
    <t>Nature Genetics</t>
  </si>
  <si>
    <t>10.1038/s41588-023-01355-5</t>
  </si>
  <si>
    <t>Anti-PD-1/PD-L1 agents have transformed the treatment landscape of advanced non-small cell lung cancer (NSCLC). To expand our understanding of the molecular features underlying response to checkpoint inhibitors in NSCLC, we describe here the first joint analysis of the Stand Up To Cancer-Mark Foundation cohort, a resource of whole exome and/or RNA sequencing from 393 patients with NSCLC treated with anti-PD-(L)1 therapy, along with matched clinical response annotation. We identify a number of associations between molecular features and outcome, including (1) favorable (for example, ATM altered) and unfavorable (for example, TERT amplified) genomic subgroups, (2) a prominent association between expression of inducible components of the immunoproteasome and response and (3) a dedifferentiated tumor-intrinsic subtype with enhanced response to checkpoint blockade. Taken together, results from this cohort demonstrate the complexity of biological determinants underlying immunotherapy outcomes and reinforce the discovery potential of integrative analysis within large, well-curated, cancer-specific cohorts.</t>
  </si>
  <si>
    <t>PubMed</t>
  </si>
  <si>
    <t>Caushi, Justina X.; Zhang, Jiajia; Ji, Zhicheng; Vaghasia, Ajay; Zhang, Boyang; Hsiue, Emily Han-Chung; Mog, Brian J.; Hou, Wenpin; Justesen, Sune; Blosser, Richard; Tam, Ada; Anagnostou, Valsamo; Cottrell, Tricia R.; Guo, Haidan; Chan, Hok Yee; Singh, Dipika; Thapa, Sampriti; Dykema, Arbor G.; Burman, Poromendro; Choudhury, Begum; Aparicio, Luis; Cheung, Laurene S.; Lanis, Mara; Belcaid, Zineb; El Asmar, Margueritta; Illei, Peter B.; Wang, Rulin; Meyers, Jennifer; Schuebel, Kornel; Gupta, Anuj; Skaist, Alyza; Wheelan, Sarah; Naidoo, Jarushka; Marrone, Kristen A.; Brock, Malcolm; Ha, Jinny; Bush, Errol L.; Park, Bernard J.; Bott, Matthew; Jones, David R.; Reuss, Joshua E.; Velculescu, Victor E.; Chaft, Jamie E.; Kinzler, Kenneth W.; Zhou, Shibin; Vogelstein, Bert; Taube, Janis M.; Hellmann, Matthew D.; Brahmer, Julie R.; Merghoub, Taha; Forde, Patrick M.; Yegnasubramanian, Srinivasan; Ji, Hongkai; Pardoll, Drew M.; Smith, Kellie N.</t>
  </si>
  <si>
    <t>Transcriptional programs of neoantigen-specific TIL in anti-PD-1-treated lung cancers</t>
  </si>
  <si>
    <t>Nature</t>
  </si>
  <si>
    <t>10.1038/s41586-021-03752-4</t>
  </si>
  <si>
    <t>PD-1 blockade unleashes CD8 T cells1, including those specific for mutation-associated neoantigens (MANA), but factors in the tumour microenvironment can inhibit these T cell responses. Single-cell transcriptomics have revealed global T cell dysfunction programs in tumour-infiltrating lymphocytes (TIL). However, the majority of TIL do not recognize tumour antigens2, and little is known about transcriptional programs of MANA-specific TIL. Here, we identify MANA-specific T cell clones using the MANA functional expansion of specific T cells assay3 in neoadjuvant anti-PD-1-treated non-small cell lung cancers (NSCLC). We use their T cell receptors as a 'barcode' to track and analyse their transcriptional programs in the tumour microenvironment using coupled single-cell RNA sequencing and T cell receptor sequencing. We find both MANA- and virus-specific clones in TIL, regardless of response, and MANA-, influenza- and Epstein-Barr virus-specific TIL each have unique transcriptional programs. Despite exposure to cognate antigen, MANA-specific TIL express an incompletely activated cytolytic program. MANA-specific CD8 T cells have hallmark transcriptional programs of tissue-resident memory (TRM) cells, but low levels of interleukin-7 receptor (IL-7R) and are functionally less responsive to interleukin-7 (IL-7) compared with influenza-specific TRM cells. Compared with those from responding tumours, MANA-specific clones from non-responding tumours express T cell receptors with markedly lower ligand-dependent signalling, are largely confined to HOBIThigh TRM subsets, and coordinately upregulate checkpoints, killer inhibitory receptors and inhibitors of T cell activation. These findings provide important insights for overcoming resistance to PD-1 blockade.</t>
  </si>
  <si>
    <t>Skoulidis, Ferdinandos; Araujo, Haniel A.; Do, Minh Truong; Qian, Yu; Sun, Xin; Galan-Cobo, Ana; Le, John T.; Montesion, Meagan; Palmer, Rachael; Jahchan, Nadine; Juan, Joseph M.; Min, Chengyin; Yu, Yi; Pan, Xuewen; Arbour, Kathryn C.; Vokes, Natalie; Schmidt, Stephanie T.; Molkentine, David; Owen, Dwight H.; Memmott, Regan; Patil, Pradnya D.; Marmarelis, Melina E.; Awad, Mark M.; Murray, Joseph C.; Hellyer, Jessica A.; Gainor, Justin F.; Dimou, Anastasios; Bestvina, Christine M.; Shu, Catherine A.; Riess, Jonathan W.; Blakely, Collin M.; Pecot, Chad V.; Mezquita, Laura; Tabbó, Fabrizio; Scheffler, Matthias; Digumarthy, Subba; Mooradian, Meghan J.; Sacher, Adrian G.; Lau, Sally C. M.; Saltos, Andreas N.; Rotow, Julia; Johnson, Rocio Perez; Liu, Corinne; Stewart, Tyler; Goldberg, Sarah B.; Killam, Jonathan; Walther, Zenta; Schalper, Kurt; Davies, Kurtis D.; Woodcock, Mark G.; Anagnostou, Valsamo; Marrone, Kristen A.; Forde, Patrick M.; Ricciuti, Biagio; Venkatraman, Deepti; Van Allen, Eliezer M.; Cummings, Amy L.; Goldman, Jonathan W.; Shaish, Hiram; Kier, Melanie; Katz, Sharyn; Aggarwal, Charu; Ni, Ying; Azok, Joseph T.; Segal, Jeremy; Ritterhouse, Lauren; Neal, Joel W.; Lacroix, Ludovic; Elamin, Yasir Y.; Negrao, Marcelo V.; Le, Xiuning; Lam, Vincent K.; Lewis, Whitney E.; Kemp, Haley N.; Carter, Brett; Roth, Jack A.; Swisher, Stephen; Lee, Richard; Zhou, Teng; Poteete, Alissa; Kong, Yifan; Takehara, Tomohiro; Paula, Alvaro Guimaraes; Parra Cuentas, Edwin R.; Behrens, Carmen; Wistuba, Ignacio I.; Zhang, Jianjun; Blumenschein, George R.; Gay, Carl; Byers, Lauren A.; Gibbons, Don L.; Tsao, Anne; Lee, J. Jack; Bivona, Trever G.; Camidge, D. Ross; Gray, Jhannelle E.; Leighl, Natasha B.; Levy, Benjamin; Brahmer, Julie R.; Garassino, Marina C.; Gandara, David R.; Garon, Edward B.; Rizvi, Naiyer A.; Scagliotti, Giorgio Vittorio; Wolf, Jürgen; Planchard, David; Besse, Benjamin; Herbst, Roy S.; Wakelee, Heather A.; Pennell, Nathan A.; Shaw, Alice T.; Jänne, Pasi A.; Carbone, David P.; Hellmann, Matthew D.; Rudin, Charles M.; Albacker, Lee; Mann, Helen; Zhu, Zhou; Lai, Zhongwu; Stewart, Ross; Peters, Solange; Johnson, Melissa L.; Wong, Kwok K.; Huang, Alan; Winslow, Monte M.; Rosen, Michael J.; Winters, Ian P.; Papadimitrakopoulou, Vassiliki A.; Cascone, Tina; Jewsbury, Philip; Heymach, John V.</t>
  </si>
  <si>
    <t>CTLA4 blockade abrogates KEAP1/STK11-related resistance to PD-(L)1 inhibitors</t>
  </si>
  <si>
    <t>10.1038/s41586-024-07943-7</t>
  </si>
  <si>
    <t>For patients with advanced non-small-cell lung cancer (NSCLC), dual immune checkpoint blockade (ICB) with CTLA4 inhibitors and PD-1 or PD-L1 inhibitors (hereafter, PD-(L)1 inhibitors) is associated with higher rates of anti-tumour activity and immune-related toxicities, when compared with treatment with PD-(L)1 inhibitors alone. However, there are currently no validated biomarkers to identify which patients will benefit from dual ICB1,2. Here we show that patients with NSCLC who have mutations in the STK11 and/or KEAP1 tumour suppressor genes derived clinical benefit from dual ICB with the PD-L1 inhibitor durvalumab and the CTLA4 inhibitor tremelimumab, but not from durvalumab alone, when added to chemotherapy in the randomized phase III POSEIDON trial3. Unbiased genetic screens identified loss of both of these tumour suppressor genes as independent drivers of resistance to PD-(L)1 inhibition, and showed that loss of Keap1 was the strongest genomic predictor of dual ICB efficacy-a finding that was confirmed in several mouse models of Kras-driven NSCLC. In both mouse models and patients, KEAP1 and STK11 alterations were associated with an adverse tumour microenvironment, which was characterized by a preponderance of suppressive myeloid cells and the depletion of CD8+ cytotoxic T cells, but relative sparing of CD4+ effector subsets. Dual ICB potently engaged CD4+ effector cells and reprogrammed the tumour myeloid cell compartment towards inducible nitric oxide synthase (iNOS)-expressing tumoricidal phenotypes that-together with CD4+ and CD8+ T cells-contributed to anti-tumour efficacy. These data support the use of chemo-immunotherapy with dual ICB to mitigate resistance to PD-(L)1 inhibition in patients with NSCLC who have STK11 and/or KEAP1 alterations.</t>
  </si>
  <si>
    <t>it explains why some NSCLC neoantigens might fail to trigger an immune response</t>
  </si>
  <si>
    <t>Kwok, Gerry; Yau, Thomas C. C.; Chiu, Joanne W.; Tse, Eric; Kwong, Yok-Lam</t>
  </si>
  <si>
    <t>Pembrolizumab (Keytruda)</t>
  </si>
  <si>
    <t>Human Vaccines &amp; Immunotherapeutics</t>
  </si>
  <si>
    <t>10.1080/21645515.2016.1199310</t>
  </si>
  <si>
    <t>The programmed cell death protein 1 (PD1) is one of the checkpoints that regulates the immune response. Ligation of PD1 with its ligands PDL1 and PDL2 results in transduction of negative signals to T-cells. PD1 expression is an important mechanism contributing to the exhausted effector T-cell phenotype. The expression of PD1 on effector T-cells and PDL1 on neoplastic cells enables tumor cells to evade anti-tumor immunity. Blockade of PD1 is an important immunotherapeutic strategy for cancers. Pembrolizumab (Keytruda) is a humanized monoclonal anti-PD1 antibody that has been extensively investigated in numerous malignancies. In melanoma refractory to targeted therapy, pembrolizumab induced overall response rates (ORRs) of 21-34%. It was superior to another immune checkpoint inhibitor ipilimumab (Yervoy) in stage III/IV unresectable melanoma. In refractory non-small cell lung cancer (NSCLC), pembrolizumab induced ORRs of 19-25%. Based on these results, pembrolizumab was approved by the USA FDA for the treatment of advanced melanoma and NSCLC. Tumor cell PDL1 expression may be a valid response predictor. Molecular analysis also showed that tumors with high gene mutation burdens, which might result in the formation of more tumor-related neo-antigens, had better responses to pembrolizumab. In malignancies including lymphomas and other solid tumors, preliminary data showed that ORRs of around 20-50 % could be achieved. Adverse events occurred in up to 60% of patients, but grade 3/4 toxicities were observed in &lt;10% of cases. Immune-related adverse events including thyroid dysfunction, hepatitis and pneumonitis are more serious and may lead to cessation of treatment.</t>
  </si>
  <si>
    <t>Review article, not primary research and Focuses on Pembrolizumab (ICI), not neoantigen identification or vaccines.</t>
  </si>
  <si>
    <t>Maier, Barbara; Leader, Andrew M.; Chen, Steven T.; Tung, Navpreet; Chang, Christie; LeBerichel, Jessica; Chudnovskiy, Aleksey; Maskey, Shrisha; Walker, Laura; Finnigan, John P.; Kirkling, Margaret E.; Reizis, Boris; Ghosh, Sourav; D'Amore, Natalie Roy; Bhardwaj, Nina; Rothlin, Carla V.; Wolf, Andrea; Flores, Raja; Marron, Thomas; Rahman, Adeeb H.; Kenigsberg, Ephraim; Brown, Brian D.; Merad, Miriam</t>
  </si>
  <si>
    <t>A conserved dendritic-cell regulatory program limits antitumour immunity</t>
  </si>
  <si>
    <t>10.1038/s41586-020-2134-y</t>
  </si>
  <si>
    <t>Checkpoint blockade therapies have improved cancer treatment, but such immunotherapy regimens fail in a large subset of patients. Conventional type 1 dendritic cells (DC1s) control the response to checkpoint blockade in preclinical models and are associated with better overall survival in patients with cancer, reflecting the specialized ability of these cells to prime the responses of CD8+ T cells1-3. Paradoxically, however, DC1s can be found in tumours that resist checkpoint blockade, suggesting that the functions of these cells may be altered in some lesions. Here, using single-cell RNA sequencing in human and mouse non-small-cell lung cancers, we identify a cluster of dendritic cells (DCs) that we name 'mature DCs enriched in immunoregulatory molecules' (mregDCs), owing to their coexpression of immunoregulatory genes (Cd274, Pdcd1lg2 and Cd200) and maturation genes (Cd40, Ccr7 and Il12b). We find that the mregDC program is expressed by canonical DC1s and DC2s upon uptake of tumour antigens. We further find that upregulation of the programmed death ligand 1 protein-a key checkpoint molecule-in mregDCs is induced by the receptor tyrosine kinase AXL, while upregulation of interleukin (IL)-12 depends strictly on interferon-γ and is controlled negatively by IL-4 signalling. Blocking IL-4 enhances IL-12 production by tumour-antigen-bearing mregDC1s, expands the pool of tumour-infiltrating effector T cells and reduces tumour burden. We have therefore uncovered a regulatory module associated with tumour-antigen uptake that reduces DC1 functionality in human and mouse cancers.</t>
  </si>
  <si>
    <t>Focuses on dendritic cell maturation and regulatory modules, not neoantigen discovery or vaccines.</t>
  </si>
  <si>
    <t>Gonzalez, Teresita; Muminovic, Meri; Nano, Olger; Vulfovich, Michel</t>
  </si>
  <si>
    <t>Folate Receptor Alpha-A Novel Approach to Cancer Therapy</t>
  </si>
  <si>
    <t>International Journal of Molecular Sciences</t>
  </si>
  <si>
    <t>10.3390/ijms25021046</t>
  </si>
  <si>
    <t>Folate receptor α (FR) was discovered many decades ago, along with drugs that target intracellular folate metabolism, such as pemetrexed and methotrexate. Folate is taken up by the cell via this receptor, which also targeted by many cancer agents due to the over-expression of the receptor by cancer cells. FR is a membrane-bound glycosyl-phosphatidylinositol (GPI) anchor glycoprotein encoded by the folate receptor 1 (FOLR1) gene. FR plays a significant role in DNA synthesis, cell proliferation, DNA repair, and intracellular signaling, all of which are essential for tumorigenesis. FR is more prevalent in cancer cells compared to normal tissues, which makes it an excellent target for oncologic therapeutics. FRα is found in many cancer types, including ovarian cancer, non-small-cell lung cancer (NSCLC), and colon cancer. FR is widely used in antibody drug conjugates, small-molecule-drug conjugates, and chimeric antigen-receptor T cells. Current oncolytic therapeutics include mirvetuximab soravtansine, and ongoing clinical trials are underway to investigate chimeric antigen receptor T cells (CAR-T cells) and vaccines. Additionally, FRα has been used in a myriad of other applications, including as a tool in the identification of tumor types, and as a prognostic marker, as a surrogate of chemotherapy resistance. As such, FRα identification has become an essential part of precision medicine.</t>
  </si>
  <si>
    <t>Review article, not primary research. Investigates a TAA (Folate Receptor), not mutation-derived neoantigens</t>
  </si>
  <si>
    <t>Kerdidani, Dimitra; Aerakis, Emmanouil; Verrou, Kleio-Maria; Angelidis, Ilias; Douka, Katerina; Maniou, Maria-Anna; Stamoulis, Petros; Goudevenou, Katerina; Prados, Alejandro; Tzaferis, Christos; Ntafis, Vasileios; Vamvakaris, Ioannis; Kaniaris, Evangelos; Vachlas, Konstantinos; Sepsas, Evangelos; Koutsopoulos, Anastasios; Potaris, Konstantinos; Tsoumakidou, Maria</t>
  </si>
  <si>
    <t>Lung tumor MHCII immunity depends on in situ antigen presentation by fibroblasts</t>
  </si>
  <si>
    <t>The Journal of Experimental Medicine</t>
  </si>
  <si>
    <t>10.1084/jem.20210815</t>
  </si>
  <si>
    <t>A key unknown of the functional space in tumor immunity is whether CD4 T cells depend on intratumoral MHCII cancer antigen recognition. MHCII-expressing, antigen-presenting cancer-associated fibroblasts (apCAFs) have been found in breast and pancreatic tumors and are considered to be immunosuppressive. This analysis shows that antigen-presenting fibroblasts are frequent in human lung non-small cell carcinomas, where they seem to actively promote rather than suppress MHCII immunity. Lung apCAFs directly activated the TCRs of effector CD4 T cells and at the same time produced C1q, which acted on T cell C1qbp to rescue them from apoptosis. Fibroblast-specific MHCII or C1q deletion impaired CD4 T cell immunity and accelerated tumor growth, while inducing C1qbp in adoptively transferred CD4 T cells expanded their numbers and reduced tumors. Collectively, we have characterized in the lungs a subset of antigen-presenting fibroblasts with tumor-suppressive properties and propose that cancer immunotherapies might be strongly dependent on in situ MHCII antigen presentation.</t>
  </si>
  <si>
    <t>Focuses on stromal MHC-II presentation and T-cell apoptosis, not neoantigen discovery.</t>
  </si>
  <si>
    <t>van 't Land, Freek R.; Willemsen, Marcella; Bezemer, Koen; van der Burg, Sjoerd H.; van den Bosch, Thierry P. P.; Doukas, Michail; Fellah, Amine; Kolijn, P. Martijn; Langerak, Anton W.; Moskie, Miranda; van der Oost, Elise; Rozendaal, Nina E. M.; Baart, Sara J.; Aerts, Joachim G. J. V.; van Eijck, Casper H. J.</t>
  </si>
  <si>
    <t>Dendritic Cell-Based Immunotherapy in Patients With Resected Pancreatic Cancer</t>
  </si>
  <si>
    <t>Journal of Clinical Oncology: Official Journal of the American Society of Clinical Oncology</t>
  </si>
  <si>
    <t>10.1200/JCO.23.02585</t>
  </si>
  <si>
    <t>PURPOSE: Immunotherapies have shown limited responses in patients with advanced pancreatic cancer. Recently, we reported that dendritic cell (DC)-based immunotherapy induced T-cell responses against pancreatic cancer antigens. The primary objective of this study was to determine the efficacy of DC-based immunotherapy to prevent recurrence of disease. METHODS: This was a single-center, open-label, single-arm, combined phase I/II trial. The primary end point was the 2-year recurrence-free survival (RFS) rate. A 2-year RFS rate of ≥60% was defined as a clinically meaningful improvement. We included patients with pancreatic cancer after resection and completion of standard-of-care (SOC) treatment without recurrent disease on cross-sectional imaging. Patients were treated with autologous DCs pulsed with an allogeneic mesothelioma tumor cell lysate, comprising antigens also expressed in pancreatic ductal adenocarcinoma. RESULTS: Thirty-eight patients were included in the analysis of the primary end point (47% male, 53% female). The median age was 62 years (IQR, 55-68). Twenty-eight patients (74%) received five DC vaccinations and completed the study protocol. Three patients (8%) received four vaccinations, and seven patients (16%) received three vaccinations. After a median follow-up of 25.5 months, 26 patients (68%) had not developed recurrence of disease. The estimated 2-year RFS was 64%. Vaccination led to the enrichment of circulating activated CD4+ T cells and the detection of treatment-induced immune responses in vitro. T-cell receptor-sequencing analyses of a resected solitary lung metastasis showed influx of vaccine-specific T cells. CONCLUSION: This study reached its primary end point of a 2-year RFS rate of ≥60% following pancreatectomy after SOC treatment and adjuvant DC-based immunotherapy in patients with pancreatic cancer. These results warrant a future randomized trial.</t>
  </si>
  <si>
    <t>Pancreatic cancer patients; not Human NSCLC. Targets shared TAAs (lysate-based), not mutation-derived neoantigens.</t>
  </si>
  <si>
    <t>10.1016/j.immuni.2021.02.014</t>
  </si>
  <si>
    <t>To identify disease-relevant T cell receptors (TCRs) with shared antigen specificity, we analyzed 778,938 TCRβ chain sequences from 178 non-small cell lung cancer patients using the GLIPH2 (grouping of lymphocyte interactions with paratope hotspots 2) algorithm. We identified over 66,000 shared specificity groups, of which 435 were clonally expanded and enriched in tumors compared to adjacent lung. The antigenic epitopes of one such tumor-enriched specificity group were identified using a yeast peptide-HLA A∗02:01 display library. These included a peptide from the epithelial protein TMEM161A, which is overexpressed in tumors and cross-reactive epitopes from Epstein-Barr virus and E. coli. Our findings suggest that this cross-reactivity may underlie the presence of virus-specific T cells in tumor infiltrates and that pathogen cross-reactivity may be a feature of multiple cancers. The approach and analytical pipelines generated in this work, as well as the specificity groups defined here, present a resource for understanding the T cell response in cancer.</t>
  </si>
  <si>
    <t>Focuses on TCR cross-reactivity and TAAs, not mutation-derived neoantigens.</t>
  </si>
  <si>
    <t>Wang, Ke; Chen, Xiaohong; Lin, Peng; Wu, Jiao; Huang, Qiang; Chen, Zhi-Nan; Tian, Jiale; Wang, Hao; Tian, Ye; Shi, Mingyan; Qian, Meirui; Hui, Bengang; Zhu, Yumeng; Li, Ling; Yao, Rui; Bian, Huijie; Zhu, Ping; Chen, Ruo; Chen, Liang</t>
  </si>
  <si>
    <t>CD147-K148me2-Driven Tumor Cell-Macrophage Crosstalk Provokes NSCLC Immunosuppression via the CCL5/CCR5 Axis</t>
  </si>
  <si>
    <t>Advanced Science</t>
  </si>
  <si>
    <t>10.1002/advs.202400611</t>
  </si>
  <si>
    <t>Immunosuppression is a major hallmark of tumor progression in non-small cell lung cancer (NSCLC). Cluster of differentiation 147 (CD147), an important pro-tumorigenic factor, is closely linked to NSCLC immunosuppression. However, the role of CD147 di-methylation in the immunosuppressive tumor microenvironment (TME) remains unclear. Here, di-methylation of CD147 at Lys148 (CD147-K148me2) is identified as a common post-translational modification (PTM) in NSCLC that is significantly associated with unsatisfying survival outcomes among NSCLC sufferers, especially those in the advanced stages of the disease. The methyltransferase NSD2 catalyzes CD147 to generate CD147-K148me2. Further analysis demonstrates that CD147-K148me2 reestablishes the immunosuppressive TME and promotes NSCLC progression. Mechanistically, this modification promotes the interaction between cyclophilin A (CyPA) and CD147, and in turn, increases CCL5 gene transcription by activating p38-ZBTB32 signaling, leading to increased NSCLC cell-derived CCL5 secretion. Subsequently, CD147-K148me2-mediated CCL5 upregulation facilitates M2-like tumor-associated macrophage (TAM) infiltration in NSCLC tissues via CCL5/CCR5 axis-dependent intercellular crosstalk between tumor cells and macrophages, which is inhibited by blocking CD147-K148me2 with the targeted antibody 12C8. Overall, this study reveals the role of CD147-K148me2-driven intercellular crosstalk in the development of NSCLC immunosuppression, and provides a potential interventional strategy for PTM-targeted NSCLC therapy.</t>
  </si>
  <si>
    <t>Focuses on PTM-driven immunosuppression, not neoantigen discovery.</t>
  </si>
  <si>
    <t>Wu, Da-Wei; Jia, Shuo-Peng; Xing, Shu-Jun; Ma, Hai-Lan; Wang, Xin; Tang, Qi-Yu; Li, Zi-Wei; Wu, Qing; Bai, Min; Zhang, Xin-Yong; Fu, Xiao-Feng; Jia, Ming-Ming; Tang, Yu; Chen, Li; Li, Ning</t>
  </si>
  <si>
    <t>Personalized neoantigen cancer vaccines: current progression, challenges and a bright future</t>
  </si>
  <si>
    <t>Clinical and Experimental Medicine</t>
  </si>
  <si>
    <t>10.1007/s10238-024-01436-7</t>
  </si>
  <si>
    <t>Tumor neoantigens possess specific immunogenicity and personalized therapeutic vaccines based on neoantigens which have shown promising results in some clinical trials, with broad application prospects. However, the field is developing rapidly and there are currently few relevant review articles. Summarizing and analyzing the status of global personalized neoantigen vaccine clinical trials will provide important data for all stakeholders in drug development. Based on the Trialtrove database, a retrospective analysis was conducted using trial quantity as a key indicator for neo-adjuvant and adjuvant therapy anti-PD-1/PD-L1 clinical trials initiated before the end of 2022. The time trend of newly initiated trials was investigated. The sponsor type, host country, treatment mode, combination strategy, tested drugs, and targeted cancer types of these trials were summarized. As of December 2022, a total of 199 trials were included in the analysis. Among these studies, Phase I studies were the most numerous (119, 59.8%), and Phase I studies have been the predominant study type since 2015. Peptide vaccines were the largest neoantigen vaccines type, accounting for 64.8% of all clinical trials. Based on peptide delivery platforms, the proportion of trials was highest for the DC system (32, 16.1%), followed by LNP (11, 5.5%), LPX (11, 5.5%), and viruses (7, 3.5%). Most vaccines were applied in trials as a monotherapy (133/199, 66.8%), meanwhile combining immunotherapeutic drugs was the most common form for combination therapy. In terms of indications, the largest number of trials involved three or more unspecified solid tumors (50/199, 25.1%), followed by non-small cell lung cancer (24/199, 12.1%) and pancreatic cancer (15/199, 7.5%). The clinical development of personalized neoantigen cancer vaccines is still in the early stage. A clear shift in delivery systems from peptides to DC and liposomal platforms, with the largest number of studies in Asia, collectively marks a new era in the field. The adjuvant or maintenance therapy, and the combination treatment with ICIs are becoming the important clinical development orientation. As research on tumor-immune interactions intensifies, the design, development, and application of neoantigen vaccines are bound to develop rapidly, which will bring a new revolution in the future cancer treatment.</t>
  </si>
  <si>
    <t>Retrospective database analysis/Review; not primary research.</t>
  </si>
  <si>
    <t>Komuro, Hiroyasu; Shinohara, Shuichi; Fukushima, Yasunori; Demachi-Okamura, Ayako; Muraoka, Daisuke; Masago, Katsuhiro; Matsui, Takuya; Sugita, Yusuke; Takahashi, Yusuke; Nishida, Reina; Takashima, Chieko; Ohki, Takashi; Shigematsu, Yoshiki; Watanabe, Fumiaki; Adachi, Katsutoshi; Fukuyama, Takashi; Hamana, Hiroshi; Kishi, Hiroyuki; Miura, Daiki; Tanaka, Yuki; Onoue, Kousuke; Onoguchi, Kazuhide; Yamashita, Yoshiko; Stratford, Richard; Clancy, Trevor; Yamaguchi, Rui; Kuroda, Hiroaki; Doi, Kiyoshi; Iwata, Hisashi; Matsushita, Hirokazu</t>
  </si>
  <si>
    <t>Single-cell sequencing on CD8+ TILs revealed the nature of exhausted T cells recognizing neoantigen and cancer/testis antigen in non-small cell lung cancer</t>
  </si>
  <si>
    <t>Journal for Immunotherapy of Cancer</t>
  </si>
  <si>
    <t>10.1136/jitc-2023-007180</t>
  </si>
  <si>
    <t>BACKGROUND: CD8+tumor infiltrating lymphocytes (TILs) are often observed in non-small cell lung cancers (NSCLC). However, the characteristics of CD8+ TILs, especially T-cell populations specific for tumor antigens, remain poorly understood. METHODS: High throughput single-cell RNA sequencing and single-cell T-cell receptor (TCR) sequencing were performed on CD8+ TILs from three surgically-resected lung cancer specimens. Dimensional reduction for clustering was performed using Uniform Manifold Approximation and Projection. CD8+ TIL TCR specific for the cancer/testis antigen KK-LC-1 and for predicted neoantigens were investigated. Differentially-expressed gene analysis, Gene Set Enrichment Analysis (GSEA) and single sample GSEA was performed to characterize antigen-specific T cells. RESULTS: A total of 6998 CD8+ T cells was analyzed, divided into 10 clusters according to their gene expression profile. An exhausted T-cell (exhausted T (Tex)) cluster characterized by the expression of ENTPD1 (CD39), TOX, PDCD1 (PD1), HAVCR2 (TIM3) and other genes, and by T-cell oligoclonality, was identified. The Tex TCR repertoire (Tex-TCRs) contained nine different TCR clonotypes recognizing five tumor antigens including a KK-LC-1 antigen and four neoantigens. By re-clustering the tumor antigen-specific T cells (n=140), it could be seen that the individual T-cell clonotypes were present on cells at different stages of differentiation and functional states even within the same Tex cluster. Stimulating these T cells with predicted cognate peptide indicated that TCR signal strength and subsequent T-cell proliferation and cytokine production was variable but always higher for neoantigens than KK-LC-1. CONCLUSIONS: Our approach focusing on T cells with an exhausted phenotype among CD8+ TILs may facilitate the identification of tumor antigens and clarify the nature of the antigen-specific T cells to specify the promising immunotherapeutic targets in patients with NSCLC.</t>
  </si>
  <si>
    <t>Schoenfeld, Jonathan D.; Giobbie-Hurder, Anita; Ranasinghe, Srinika; Kao, Katrina Z.; Lako, Ana; Tsuji, Junko; Liu, Yang; Brennick, Ryan C.; Gentzler, Ryan D.; Lee, Carrie; Hubbard, Joleen; Arnold, Susanne M.; Abbruzzese, James L.; Jabbour, Salma K.; Uboha, Nataliya V.; Stephans, Kevin L.; Johnson, Jennifer M.; Park, Haeseong; Villaruz, Liza C.; Sharon, Elad; Streicher, Howard; Ahmed, Mansoor M.; Lyon, Hayley; Cibuskis, Carrie; Lennon, Niall; Jhaveri, Aashna; Yang, Lin; Altreuter, Jennifer; Gunasti, Lauren; Weirather, Jason L.; Mak, Raymond H.; Awad, Mark M.; Rodig, Scott J.; Chen, Helen X.; Wu, Catherine J.; Monjazeb, Arta M.; Hodi, F. Stephen</t>
  </si>
  <si>
    <t>Durvalumab plus tremelimumab alone or in combination with low-dose or hypofractionated radiotherapy in metastatic non-small-cell lung cancer refractory to previous PD(L)-1 therapy: an open-label, multicentre, randomised, phase 2 trial</t>
  </si>
  <si>
    <t>The Lancet. Oncology</t>
  </si>
  <si>
    <t>10.1016/S1470-2045(21)00658-6</t>
  </si>
  <si>
    <t>BACKGROUND: Patients with non-small-cell lung cancer (NSCLC) that is resistant to PD-1 and PD-L1 (PD[L]-1)-targeted therapy have poor outcomes. Studies suggest that radiotherapy could enhance antitumour immunity. Therefore, we investigated the potential benefit of PD-L1 (durvalumab) and CTLA-4 (tremelimumab) inhibition alone or combined with radiotherapy. METHODS: This open-label, multicentre, randomised, phase 2 trial was done by the National Cancer Institute Experimental Therapeutics Clinical Trials Network at 18 US sites. Patients aged 18 years or older with metastatic NSCLC, an Eastern Cooperative Oncology Group performance status of 0 or 1, and progression during previous PD(L)-1 therapy were eligible. They were randomly assigned (1:1:1) in a web-based system by the study statistician using a permuted block scheme (block sizes of three or six) without stratification to receive either durvalumab (1500 mg intravenously every 4 weeks for a maximum of 13 cycles) plus tremelimumab (75 mg intravenously every 4 weeks for a maximum of four cycles) alone or with low-dose (0·5 Gy delivered twice per day, repeated for 2 days during each of the first four cycles of therapy) or hypofractionated radiotherapy (24 Gy total delivered over three 8-Gy fractions during the first cycle only), 1 week after initial durvalumab-tremelimumab administration. Study treatment was continued until 1 year or until progression. The primary endpoint was overall response rate (best locally assessed confirmed response of a partial or complete response) and, along with safety, was analysed in patients who received at least one dose of study therapy. The trial is registered with ClinicalTrials.gov, NCT02888743, and is now complete. FINDINGS: Between Aug 24, 2017, and March 29, 2019, 90 patients were enrolled and randomly assigned, of whom 78 (26 per group) were treated. This trial was stopped due to futility assessed in an interim analysis. At a median follow-up of 12·4 months (IQR 7·8-15·1), there were no differences in overall response rates between the durvalumab-tremelimumab alone group (three [11·5%, 90% CI 1·2-21·8] of 26 patients) and the low-dose radiotherapy group (two [7·7%, 0·0-16·3] of 26 patients; p=0·64) or the hypofractionated radiotherapy group (three [11·5%, 1·2-21·8] of 26 patients; p=0·99). The most common grade 3-4 adverse events were dyspnoea (two [8%] in the durvalumab-tremelimumab alone group; three [12%] in the low-dose radiotherapy group; and three [12%] in the hypofractionated radiotherapy group) and hyponatraemia (one [4%] in the durvalumab-tremelimumab alone group vs two [8%] in the low-dose radiotherapy group vs three [12%] in the hypofractionated radiotherapy group). Treatment-related serious adverse events occurred in one (4%) patient in the durvalumab-tremelimumab alone group (maculopapular rash), five (19%) patients in the low-dose radiotherapy group (abdominal pain, diarrhoea, dyspnoea, hypokalemia, and respiratory failure), and four (15%) patients in the hypofractionated group (adrenal insufficiency, colitis, diarrhoea, and hyponatremia). In the low-dose radiotherapy group, there was one death from respiratory failure potentially related to study therapy. INTERPRETATION: Radiotherapy did not increase responses to combined PD-L1 plus CTLA-4 inhibition in patients with NSCLC resistant to PD(L)-1 therapy. However, PD-L1 plus CTLA-4 therapy could be a treatment option for some patients. Future studies should refine predictive biomarkers in this setting. FUNDING: The US National Institutes of Health and the Dana-Farber Cancer Institute.</t>
  </si>
  <si>
    <t>Investigates ICI + Radiotherapy synergy, not neoantigen discovery or vaccines.</t>
  </si>
  <si>
    <t>Zhang, Xiaoshen; Wang, Xuanhe; Wen, Yaokai; Chen, Shen; Zhou, Caicun; Wu, Fengying</t>
  </si>
  <si>
    <t>Single-cell transcriptomics reveal metastatic CLDN4+ cancer cells underlying the recurrence of malignant pleural effusion in patients with advanced non-small-cell lung cancer</t>
  </si>
  <si>
    <t>Clinical and Translational Medicine</t>
  </si>
  <si>
    <t>10.1002/ctm2.1649</t>
  </si>
  <si>
    <t>BACKGROUND: Recurrent malignant pleural effusion (MPE) resulting from non-small-cell lung cancer (NSCLC) is easily refractory to conventional therapeutics and lacks predictive markers. The cellular or genetic signatures of recurrent MPE still remain largely uncertain. METHODS: 16 NSCLC patients with pleural effusions were recruited, followed by corresponding treatments based on primary tumours. Non-recurrent or recurrent MPE was determined after 3-6 weeks of treatments. The status of MPE was verified by computer tomography (CT) and cytopathology, and the baseline pleural fluids were collected for single-cell RNA sequencing (scRNA-seq). Samples were then integrated and profiled. Cellular communications and trajectories were inferred by bioinformatic algorithms. Comparative analysis was conducted and the results were further validated by quantitative polymerase chain reaction (qPCR) in a larger MPE cohort from the authors' centre (n = 64). RESULTS: The scRNA-seq revealed that 33 590 cells were annotated as 7 major cell types and further characterized into 14 cell clusters precisely. The cell cluster C1, classified as Epithelial Cell Adhesion Molecule (EpCAM)+ metastatic cancer cell and correlated with activation of tight junction and adherence junction, was significantly enriched in the recurrent MPE group, in which Claudin-4 (CLDN4) was identified. The subset cell cluster C3 of C1, which was enriched in recurrent MPE and demonstrated a phenotype of ameboidal-type cell migration, also showed a markedly higher expression of CLDN4. Meanwhile, the expression of CLDN4 was positively correlated with E74 Like ETS Transcription Factor 3 (ELF3), EpCAM and Tumour Associated Calcium Signal Transducer 2 (TACSTD2), independent of driver-gene status. CLDN4 was also found to be associated with the expression of Hypoxia Inducible Factor 1 Subunit Alpha (HIF1A) and Vascular Endothelial Growth Factor A (VEGFA), and the cell cluster C1 was the major mediator in cellular communication of VEGFA signalling. In the extensive MPE cohort, a notably increased expression of CLDN4 in cells from pleural effusion among patients diagnosed with recurrent MPE was observed, compared with the non-recurrent group, which was also associated with a trend towards worse overall survival (OS). CONCLUSIONS: CLDN4 could be considered as a predictive marker of recurrent MPE among patients with advanced NSCLC. Further validation for its clinical value in cohorts with larger sample size and in-depth mechanism studies on its biological function are warranted. TRIAL REGISTRATION: Not applicable.</t>
  </si>
  <si>
    <t>Focuses on metastatic biomarkers (CLDN4), not neoantigen discovery or vaccines.</t>
  </si>
  <si>
    <t>Chow, Andrew; Uddin, Fathema Z.; Liu, Michael; Dobrin, Anton; Nabet, Barzin Y.; Mangarin, Levi; Lavin, Yonit; Rizvi, Hira; Tischfield, Sam E.; Quintanal-Villalonga, Alvaro; Chan, Joseph M.; Shah, Nisargbhai; Allaj, Viola; Manoj, Parvathy; Mattar, Marissa; Meneses, Maximiliano; Landau, Rebecca; Ward, Mariana; Kulick, Amanda; Kwong, Charlene; Wierzbicki, Matthew; Yavner, Jessica; Egger, Jacklynn; Chavan, Shweta S.; Farillas, Abigail; Holland, Aliya; Sridhar, Harsha; Ciampricotti, Metamia; Hirschhorn, Daniel; Guan, Xiangnan; Richards, Allison L.; Heller, Glenn; Mansilla-Soto, Jorge; Sadelain, Michel; Klebanoff, Christopher A.; Hellmann, Matthew D.; Sen, Triparna; de Stanchina, Elisa; Wolchok, Jedd D.; Merghoub, Taha; Rudin, Charles M.</t>
  </si>
  <si>
    <t>10.1016/j.immuni.2022.12.001</t>
  </si>
  <si>
    <t>Improved identification of anti-tumor T cells is needed to advance cancer immunotherapies. CD39 expression is a promising surrogate of tumor-reactive CD8+ T cells. Here, we comprehensively profiled CD39 expression in human lung cancer. CD39 expression enriched for CD8+ T cells with features of exhaustion, tumor reactivity, and clonal expansion. Flow cytometry of 440 lung cancer biospecimens revealed weak association between CD39+ CD8+ T cells and tumoral features, such as programmed death-ligand 1 (PD-L1), tumor mutation burden, and driver mutations. Immune checkpoint blockade (ICB), but not cytotoxic chemotherapy, increased intratumoral CD39+ CD8+ T cells. Higher baseline frequency of CD39+ CD8+ T cells conferred improved clinical outcomes from ICB therapy. Furthermore, a gene signature of CD39+ CD8+ T cells predicted benefit from ICB, but not chemotherapy, in a phase III clinical trial of non-small cell lung cancer. These findings highlight CD39 as a proxy of tumor-reactive CD8+ T cells in human lung cancer.</t>
  </si>
  <si>
    <t>Focuses on a T-cell biomarker (CD39), not neoantigen discovery or vaccines.</t>
  </si>
  <si>
    <t>Du, X.; Li, F.; Lizee, G.; Hwu, P.; Deng, L.; Talukder, A.; Hawke, D.; Zou, Q.; Roszik, J.; Stairs, M.; Feng, W.; Jackson, K.; Chen, C.; Zhang, M.; Huo, C.; Chiu, Y.; Wang, Y.; Zhou, S.; Zhang, Y.; Xu, J.</t>
  </si>
  <si>
    <t>Clinical study of personalized neoantigen peptide vaccination in advanced NSCLC patients</t>
  </si>
  <si>
    <t>Web of Science Nextgen</t>
  </si>
  <si>
    <t>Apavaloaei, Anca; Zhao, Qingchuan; Hesnard, Leslie; Cahuzac, Maxime; Durette, Chantal; Larouche, Jean-David; Hardy, Marie-Pierre; Vincent, Krystel; Brochu, Sylvie; Laverdure, Jean-Philippe; Lanoix, Joël; Courcelles, Mathieu; Gendron, Patrick; Lajoie, Mathieu; Ruiz Cuevas, Maria Virginia; Kina, Eralda; Perrault, Julie; Humeau, Juliette; Ehx, Grégory; Lemieux, Sébastien; Watson, Ian R.; Speiser, Daniel E.; Bassani-Sternberg, Michal; Thibault, Pierre; Perreault, Claude</t>
  </si>
  <si>
    <t>Tumor antigens preferentially derive from unmutated genomic sequences in melanoma and non-small cell lung cancer</t>
  </si>
  <si>
    <t>Nature Cancer</t>
  </si>
  <si>
    <t>10.1038/s43018-025-00979-2</t>
  </si>
  <si>
    <t>Melanoma and non-small cell lung cancer (NSCLC) display exceptionally high mutational burdens. Hence, immune targeting in these cancers has primarily focused on tumor antigens (TAs) predicted to derive from nonsynonymous mutations. Using comprehensive proteogenomic analyses, we identified 589 TAs in cutaneous melanoma (n = 505) and NSCLC (n = 90). Of these, only 1% were derived from mutated sequences, which was explained by a low RNA expression of most nonsynonymous mutations and their localization outside genomic regions proficient for major histocompatibility complex (MHC) class I-associated peptide generation. By contrast, 99% of TAs originated from unmutated genomic sequences specific to cancer (aberrantly expressed tumor-specific antigens (aeTSAs), n = 220), overexpressed in cancer (tumor-associated antigens (TAAs), n = 165) or specific to the cell lineage of origin (lineage-specific antigens (LSAs), n = 198). Expression of aeTSAs was epigenetically regulated, and most were encoded by noncanonical genomic sequences. aeTSAs were shared among tumor samples, were immunogenic and could contribute to the response to immune checkpoint blockade observed in previous studies, supporting their immune targeting across cancers.</t>
  </si>
  <si>
    <t>Raez, Luis E.; Fein, Steven; Podack, Eckhard R.</t>
  </si>
  <si>
    <t>Lung cancer immunotherapy</t>
  </si>
  <si>
    <t>Clinical Medicine &amp; Research</t>
  </si>
  <si>
    <t>10.3121/cmr.3.4.221</t>
  </si>
  <si>
    <t>Recent insights into anti-tumor immunotherapy have led to a wave of clinical trials involving immunotherapy for lung cancer. Vaccines have evolved from nonspecific immune stimulants, like Bacillus Calmette-Guerin (BCG), to much more specific and potent strategies, some of which generate active immune responses against tumor-associated antigens. Understanding the mechanisms of anti-tumor immunity and identifying target antigens will likely improve these therapeutic strategies and provide them with a niche in the future of lung cancer therapy.</t>
  </si>
  <si>
    <t>could be used only for historical context in the Introduction.</t>
  </si>
  <si>
    <t>Yuan, Zhiwei; Yu, Taiyan; Wang, Xu; Meng, Kelin; Wang, Tianlai; Wang, Boyu; Xi, Yu; Wang, Congjian; Zeng, Chenxi; Hu, Shaojie; Tian, Yitao; Xiong, Hui; Wang, Qi; Zou, Wenbin; Wang, Xue; Gao, Yi; Fu, Xiangning; Li, Lequn</t>
  </si>
  <si>
    <t>Glutamine deprivation confers immunotherapy resistance by inhibiting IFN-γ signaling in cancer cells</t>
  </si>
  <si>
    <t>Pharmacological Research</t>
  </si>
  <si>
    <t>10.1016/j.phrs.2025.107643</t>
  </si>
  <si>
    <t>Glutamine metabolism is emerging as a target for improving immunotherapy efficacy. However, the outcomes remain inconclusive. Given that the tumor-intrinsic response to interferon-γ (IFN-γ) is a key determinant of immunotherapy efficacy, we investigated whether and how glutamine deprivation in cancer cells affects their response to IFN-γ. By using human lung cancer cell lines, patient-derived tumor explants, and a syngeneic mouse model of lung cancer, we demonstrated that glutamine deprivation reduced the IFN-γ-driven response in cancer cells by promoting autophagy-dependent IFN-γ receptor (IFNGR1) degradation and rendering tumors resistant to anti-PD-1 or anti-PD-L1 therapy. Treatment with V9302, an inhibitor of the alanine-serine-cysteine transporter (ASCT2), enhanced the IFN-γ-driven response of cancer cells and increased the efficacy of PD-1 blockade therapy. Mechanistic analysis revealed that V9302 inhibited autophagy by impairing lysosomal activity independent of glutamine deprivation, likely because of its physiochemical properties, thereby preventing IFNGR1 degradation. Moreover, V9302 also increased Glut1 expression through the inhibition of lysosomal pathway-dependent degradation of Glut1 and consequently increased cancer cell glucose uptake, in turn retaining the levels of intracellular alpha-ketoglutarate (α-KG) and ATP, which are involved in maintaining IFN-γ signal transduction in cancer cells. In support of these findings, targeting lysosomal activity with chloroquine (CQ) also increased IFNGR1 expression and the IFN-γ-driven response in cancer cells. The administration of CQ increased the sensitivity of ASCT2-deficient tumors to anti-PD-L1 therapy. Glutamine deprivation per se leads to resistance to immunotherapy, whereas V9302 treatment results in increased immunotherapy efficacy through impaired lysosomal activity, which is independent of glutamine deprivation.</t>
  </si>
  <si>
    <t>Focuses on glutamine metabolism and IFN-γ signaling, not neoantigen discovery or vaccines.</t>
  </si>
  <si>
    <t>Robles-Oteíza, Camila; Hastings, Katherine; Choi, Jungmin; Sirois, Isabelle; Ravi, Arvind; Expósito, Francisco; de Miguel, Fernando; Knight, James R.; López-Giráldez, Francesc; Choi, Hyejin; Socci, Nicholas D.; Merghoub, Taha; Awad, Mark; Getz, Gad; Gainor, Justin; Hellmann, Matthew D.; Caron, Étienne; Kaech, Susan M.; Politi, Katerina</t>
  </si>
  <si>
    <t>Hypoxia is linked to acquired resistance to immune checkpoint inhibitors in lung cancer</t>
  </si>
  <si>
    <t>10.1084/jem.20231106</t>
  </si>
  <si>
    <t>Despite the established use of immune checkpoint inhibitors (ICIs) to treat non-small cell lung cancer (NSCLC), only a subset of patients benefit from treatment and ∼50% of patients whose tumors respond eventually develop acquired resistance (AR). To identify novel drivers of AR, we generated murine Msh2 knock-out (KO) lung tumors that initially responded but eventually developed AR to anti-PD-1, alone or in combination with anti-CTLA-4. Resistant tumors harbored decreased infiltrating T cells and reduced cancer cell-intrinsic MHC-I and MHC-II levels, yet remained responsive to IFNγ. Resistant tumors contained extensive regions of hypoxia, and a hypoxia signature derived from single-cell transcriptional profiling of resistant cancer cells was associated with decreased progression-free survival in a cohort of NSCLC patients treated with anti-PD-1/PD-L1 therapy. Targeting hypoxic tumor regions using a hypoxia-activated pro-drug delayed AR to ICIs in murine Msh2 KO tumors. Thus, this work provides a rationale for targeting tumor metabolic features, such as hypoxia, in combination with immune checkpoint inhibition.</t>
  </si>
  <si>
    <t>Focuses on hypoxia-driven resistance to ICIs, not neoantigen discovery</t>
  </si>
  <si>
    <t>Stevens, Dieter; Ingels, Joline; Van Lint, Sandra; Vandekerckhove, Bart; Vermaelen, Karim</t>
  </si>
  <si>
    <t>Dendritic Cell-Based Immunotherapy in Lung Cancer</t>
  </si>
  <si>
    <t>Frontiers in Immunology</t>
  </si>
  <si>
    <t>10.3389/fimmu.2020.620374</t>
  </si>
  <si>
    <t>Lung cancer remains the leading cause of cancer-related death worldwide. The advent of immune checkpoint inhibitors has led to a paradigm shift in the treatment of metastatic non-small cell and small cell lung cancer. However, despite prolonged overall survival, only a minority of the patients derive clinical benefit from these treatments suggesting that the full anti-tumoral potential of the immune system is not being harnessed yet. One way to overcome this problem is to combine immune checkpoint blockade with different strategies aimed at inducing or restoring cellular immunity in a tumor-specific, robust, and durable way. Owing to their unique capacity to initiate and regulate T cell responses, dendritic cells have been extensively explored as tools for immunotherapy in many tumors, including lung cancer. In this review, we provide an update on the nearly twenty years of experience with dendritic cell-based immunotherapy in lung cancer. We summarize the main results from the early phase trials and give an overview of the future perspectives within this field.</t>
  </si>
  <si>
    <t>its a review and General DC-therapy history; lacks specific neoantigen prediction pipeline mapping.</t>
  </si>
  <si>
    <t>Rowe, Julie; Cen, Putao</t>
  </si>
  <si>
    <t>TroVax in colorectal cancer</t>
  </si>
  <si>
    <t>10.4161/21645515.2014.973323</t>
  </si>
  <si>
    <t>Currently, the backbone of therapy for metastatic disease is cytotoxic chemotherapy, along with the recent addition of targeted therapy based on molecular markers with KRAS testing. Despite the improvement in survival for metastatic colon cancer, newer agents are still needed. The clinical activity of TroVax in metastatic colon cancer has been studied in a small number of clinical trials. There is evidence that supports the vaccine's ability to induce humoral and cellular responses, as demonstrated by positive 5T4 and MVA-specific antibody titers and cellular proliferation assays. Future strategies should focus on investigating the immunomodulatory effects of chemotherapy in conjunction with TroVax, understanding the optimal dosing and schedule of the combination, and examining potential predictive biomarkers to determine which patients may benefit from immunotherapy from those who do not.</t>
  </si>
  <si>
    <t>Primary focus on Colorectal Cancer; NSCLC data not the focus</t>
  </si>
  <si>
    <t>Kelly, Ronan J.; Giaccone, Giuseppe</t>
  </si>
  <si>
    <t>Lung cancer vaccines</t>
  </si>
  <si>
    <t>Cancer Journal</t>
  </si>
  <si>
    <t>10.1097/PPO.0b013e318233e6b4</t>
  </si>
  <si>
    <t>To date, in lung cancer, early attempts to modulate the immune system via vaccine-based therapeutics have been unsuccessful. An improved understanding of tumor immunology has facilitated the production of more sophisticated lung cancer vaccines. It is anticipated that it will likely require multiple epitopes of a diverse set of genes restricted to multiple haplotypes to generate a truly effective vaccine that is able to overcome the various immunologic escape mechanisms that tumors employ. Other issues to overcome include optimal patient selection, which adjuvant agent to use, and how to adequately monitor for an immunologic response. This review discusses the most promising vaccination strategies for non-small cell lung cancer including the allogeneic tumor cell vaccine belagenpumatucel-L, which is a mixture of 4 allogeneic non-small cell lung cancer cell lines genetically modified to secrete an antisense oligonucleotide to transforming growth factor β2 and 3 other target protein-specific vaccines designed to induce responses against melanoma-associated antigen A3, mucin 1, and epidermal growth factor.</t>
  </si>
  <si>
    <t>Review article, not primary research.</t>
  </si>
  <si>
    <t>Scheetz, Lindsay; Park, Kyung Soo; Li, Qiao; Lowenstein, Pedro R.; Castro, Maria G.; Schwendeman, Anna; Moon, James J.</t>
  </si>
  <si>
    <t>Engineering patient-specific cancer immunotherapies</t>
  </si>
  <si>
    <t>Nature Biomedical Engineering</t>
  </si>
  <si>
    <t>10.1038/s41551-019-0436-x</t>
  </si>
  <si>
    <t>Research into the immunological processes implicated in cancer has yielded a basis for the range of immunotherapies that are now considered the fourth pillar of cancer treatment (alongside surgery, radiotherapy and chemotherapy). For some aggressive cancers, such as advanced non-small-cell lung carcinoma, combination immunotherapies have resulted in unprecedented treatment efficacy for responding patients, and have become frontline therapies. Individualized immunotherapy, enabled by the identification of patient-specific mutations, neoantigens and biomarkers, and facilitated by advances in genomics and proteomics, promises to broaden the responder patient population. In this Perspective, we give an overview of immunotherapies leveraging engineering approaches, including the design of biomaterials, delivery strategies and nanotechnology solutions, for the realization of individualized cancer treatments such as nanoparticle vaccines customized with neoantigens, cell therapies based on patient-derived dendritic cells and T cells, and combinations of theranostic strategies. Developments in precision cancer immunotherapy will increasingly rely on the adoption of engineering principles.</t>
  </si>
  <si>
    <t>Perspective/Review article, not primary research.</t>
  </si>
  <si>
    <t>Rossetti, Renata Ariza Marques; Tordesillas, Leticia; Beatty, Matthew S.; Cianne, Junior; Martinez Planes, Elena; Du, Dongliang; Snedal, Sebastian; Wang, Chao; Perez, Bradford A.; Berglund, Anders; Chen, Yian Ann; Sarnaik, Amod; Mulé, James J.; Creelan, Benjamin; Pilon-Thomas, Shari; Abate-Daga, Daniel</t>
  </si>
  <si>
    <t>CD40L stimulates tumor-infiltrating B-cells and improves ex vivo TIL expansion</t>
  </si>
  <si>
    <t>10.1136/jitc-2024-011066</t>
  </si>
  <si>
    <t>BACKGROUND: Adoptive transfer of tumor-infiltrating lymphocytes (TIL) is now a Food and Drug Administration (FDA)-approved treatment for melanoma. While this is a major milestone, there is room for improvement to increase clinical response rates and to further optimize the manufacturing of TIL products. In this study, we characterized the association of tumor-infiltrating B-cells (TIL-B) and tertiary lymphoid structures (TLSs) with clinical response to TIL therapy and tested whether the presence of B-cells in the tumor can be leveraged to optimize TIL manufacture. METHODS: Tumor sections from TIL responders (R, n=9) and non-responders (NR, n=11) were analyzed by RNA sequencing, and immune cell content was estimated in silico. To study the association between B-cells and TIL expansion, we quantified B-cell subsets and TIL phenotype by flow cytometry. CD40L-induced effects on melanoma-infiltrating B-cells were analyzed by flow cytometry and scRNA-sequencing. RESULTS: Tumors from TIL clinical responders had greater abundance of class-switched B-cells (p=0.007) and a greater TLS score (p=0.03) than those of NRs. In addition, greater abundance of B-cells (p≤0.05) and switched memory B-cells (CD27+ IgD-, p≤0.05) in the tumors were associated with greater TIL expansion. Stimulation of TIL-B through addition of CD40L during TIL ex vivo culture improved their expansion success rate from 33% to 67% (p=0.03). Similarly, the addition of CD40L to non-small cell lung cancer (NSCLC) TIL cultures shortened the manufacturing period by 1 week. Moreover, CD40L-enhanced TIL showed more stem-like T-cells (CD39- CD69-, p≤0.05) and an enrichment of neoantigen-reactive T-cell clones in NSCLC TIL. Gene expression analysis showed that CD40L induced gene expression changes in TIL-B after 48 hours in culture (126 differentially expressed genes (DEGs)), with minimal to no changes observed in other immune cell types (including 12 DEG in macrophages, 10 DEG in dendritic cells, and none in monocytes). B-cell DEGs included upregulated co-stimulatory ligands (CD83, CD58), chemokines (CCL22, CCL17), among others. CD40L-induced upregulation of CD58 by melanoma infiltrating B-cells was associated with successful TIL expansion. CONCLUSIONS: Our results show that CD40L-stimulated B-cells can be leveraged to enhance the quality and quantity of TIL. Clinical trial NCT05681780 is currently testing this concept applied to NSCLC TIL.</t>
  </si>
  <si>
    <t>Wurz, Gregory T.; Kao, Chiao-Jung; Wolf, Michael; DeGregorio, Michael W.</t>
  </si>
  <si>
    <t>Tecemotide: an antigen-specific cancer immunotherapy</t>
  </si>
  <si>
    <t>10.4161/hv.29836</t>
  </si>
  <si>
    <t>The identification of tumor-associated antigens (TAA) has made possible the development of antigen-specific cancer immunotherapies such as tecemotide. One of those is mucin 1 (MUC1), a cell membrane glycoprotein expressed on some epithelial tissues such as breast and lung. In cancer, MUC1 becomes overexpressed and aberrantly glycosylated, exposing the immunogenic tandem repeat units in the extracellular domain of MUC1. Designed to target tumor associated MUC1, tecemotide is being evaluated in Phase III clinical trials for treatment of unresectable stage IIIA/IIIB non-small cell lung cancer (NSCLC) as maintenance therapy following chemoradiotherapy. Additional Phase II studies in other indications are ongoing. This review discusses the preclinical and clinical development of tecemotide, ongoing preclinical studies of tecemotide in human MUC1 transgenic mouse models of breast and lung cancer, and the potential application of these models for optimizing the timing of chemoradiotherapy and tecemotide immunotherapy to achieve the best treatment outcome for patients.</t>
  </si>
  <si>
    <t>Bradbury, Penelope A.; Shepherd, Frances A.</t>
  </si>
  <si>
    <t>Immunotherapy for lung cancer</t>
  </si>
  <si>
    <t>Journal of Thoracic Oncology: Official Publication of the International Association for the Study of Lung Cancer</t>
  </si>
  <si>
    <t>10.1097/JTO.0b013e318174e9a7</t>
  </si>
  <si>
    <t>Reports of tumor regression after infection date back as far as 1550 bc. In the twentieth century, Dr. William Coley, witnessing regression of a malignant tumor in one of his patients after a bacterial infection, developed the first cancer treatment vaccine derived from killed bacteria, with some reported success. However, despite decades of research, no specific, active tumor vaccine has been approved for the treatment of cancer. In lung cancer, initial attempts to modulate the immune system with nonspecific therapies were unsuccessful. However, more sophisticated specific vaccines have now been developed, and an increasing number are being evaluated in randomized phase 3 trials, raising hopes that vaccines may be an additional novel therapy for patients with lung cancer. This article reviews the following seven vaccines, which have entered randomized trials: L-BLP25 (Stimuvax), BEC-2, 1E10, PF-3512676 (Promune), melanoma-associated antigen A3 immunotherapeutic, granulocyte-macrophage colony-stimulating factor-transduced allogeneic cancer cellular immunotherapy, and belagenpumatucel-L (Lucanix).</t>
  </si>
  <si>
    <t>Review article, not primary research. Focuses on TAAs (MUC1, MAGE-A3) and whole-cell vaccines, not neoantigens</t>
  </si>
  <si>
    <t>Addeo, Alfredo; Friedlaender, Alex; Giovannetti, Elisa; Russo, Alessandro; de Miguel-Perez, Diego; Arrieta, Oscar; Cardona, Andres F.; Rolfo, Christian</t>
  </si>
  <si>
    <t>A New Generation of Vaccines in the Age of Immunotherapy</t>
  </si>
  <si>
    <t>Current Oncology Reports</t>
  </si>
  <si>
    <t>10.1007/s11912-021-01130-x</t>
  </si>
  <si>
    <t>PURPOSE OF REVIEW: Cancer vaccines are one of the most extensively studied immunotherapy type in solid tumors. Despite favorable presuppositions, so far, the use of cancer vaccines has been associated with disappointing results. However, a new generation of vaccines has been developed, promising to revolutionize the immunotherapy field. RECENT FINDINGS: In this review, we aim to highlight the advances in cancer vaccines and the remaining hurdles to overcome. Cancer vaccination has experienced tremendous progress in the last decade, with myriad promising developments. Future efforts should focus on optimization of target identification, streamlining of most appropriate vaccination strategies, and adjuvant development, as well as predictive biomarker identification. Cautious optimism is warranted in the face of early successes seen in recent clinical trials for oncolytic vaccines. If an approach were to prove successful, it could revolutionize cancer therapy the way ICIs did in the previous decade.</t>
  </si>
  <si>
    <t>Narrative review, not primary research. Focuses on next-generation vaccines and neoantigen targeting</t>
  </si>
  <si>
    <t>Su, Shu; Chen, Fungjun; Xu, Mingyuan; Liu, Baorui; Wang, Lifeng</t>
  </si>
  <si>
    <t>Recent advances in neoantigen vaccines for treating non-small cell lung cancer</t>
  </si>
  <si>
    <t>Thoracic Cancer</t>
  </si>
  <si>
    <t>10.1111/1759-7714.15126</t>
  </si>
  <si>
    <t>The breakthrough of programmed cell death protein 1 (PD-1) blockade therapy has changed the clinical treatment of non-small cell lung cancer (NSCLC) in the past few years. The success of PD-1 blockade therapy has been attributed to high tumor mutation burden and high immunogenicity of lung cancer cells. To further improve the efficacy of NSCLC immunotherapy and overcome the resistance of lung cancer cells to immune checkpoint blockade, new approaches that enhance the active immune response, such as neoantigen vaccines and cellular-based therapies, are urgently required. Neoantigens are considered ideal targets for cancer immunotherapy because of their high immunogenicity and specificity. In this mini review, we first discuss the current advances in neoantigen vaccines for treating cancers and then review the results of preclinical studies and early-phase human clinical trials of neoantigen-based therapies for NSCLC. Finally, we focus on the identification of neoantigens in patients with NSCLC and review the candidate mutations reported by recent studies and our investigations. The review concludes that, in addition to immune checkpoint blockade, approaches targeting neoantigens are promising for improving the efficacy of NSCLC immunotherapy.</t>
  </si>
  <si>
    <t>Directly maps neoantigen identification and vaccine development. but review</t>
  </si>
  <si>
    <t>Abascal, Jensen; Oh, Michael S.; Liclican, Elvira L.; Dubinett, Steven M.; Salehi-Rad, Ramin; Liu, Bin</t>
  </si>
  <si>
    <t>Dendritic Cell Vaccination in Non-Small Cell Lung Cancer: Remodeling the Tumor Immune Microenvironment</t>
  </si>
  <si>
    <t>Cells</t>
  </si>
  <si>
    <t>10.3390/cells12192404</t>
  </si>
  <si>
    <t>Non-small-cell lung cancer (NSCLC) remains one of the leading causes of death worldwide. While NSCLCs possess antigens that can potentially elicit T cell responses, defective tumor antigen presentation and T cell activation hinder host anti-tumor immune responses. The NSCLC tumor microenvironment (TME) is composed of cellular and soluble mediators that can promote or combat tumor growth. The composition of the TME plays a critical role in promoting tumorigenesis and dictating anti-tumor immune responses to immunotherapy. Dendritic cells (DCs) are critical immune cells that activate anti-tumor T cell responses and sustain effector responses. DC vaccination is a promising cellular immunotherapy that has the potential to facilitate anti-tumor immune responses and transform the composition of the NSCLC TME via tumor antigen presentation and cell-cell communication. Here, we will review the features of the NSCLC TME with an emphasis on the immune cell phenotypes that directly interact with DCs. Additionally, we will summarize the major preclinical and clinical approaches for DC vaccine generation and examine how effective DC vaccination can transform the NSCLC TME toward a state of sustained anti-tumor immune signaling.</t>
  </si>
  <si>
    <t>General DC-therapy summary; lacks specific neoantigen pipeline mapping.</t>
  </si>
  <si>
    <t>Zaidi, Neeha</t>
  </si>
  <si>
    <t>Can Personalized Neoantigens Raise the T Cell Bar?</t>
  </si>
  <si>
    <t>10.1016/j.cell.2020.09.053</t>
  </si>
  <si>
    <t>Ott et al. report the results of a phase 1B study in which a personalized neoantigen vaccine was combined with programmed death receptor-1 blockade in patients with advanced cancers. The study provides a framework for combinatorial vaccine therapies that could mount robust T cell responses, enhance tumor killing, and provide clinical benefit.</t>
  </si>
  <si>
    <t>Wang, Ke; Huang, Wan; Chen, Ruo; Lin, Peng; Zhang, Tao; Ni, Yun-Feng; Li, Hao; Wu, Jiao; Sun, Xiu-Xuan; Geng, Jie-Jie; Zhu, Yu-Meng; Nan, Gang; Zhang, Wei; Chen, Xi; Zhu, Ping; Bian, Huijie; Chen, Zhi-Nan</t>
  </si>
  <si>
    <t>Di-methylation of CD147-K234 Promotes the Progression of NSCLC by Enhancing Lactate Export</t>
  </si>
  <si>
    <t>10.1016/j.cmet.2020.12.010</t>
  </si>
  <si>
    <t>CD147 is a tumor-associated glycoprotein that regulates cell metabolism. However, CD147 methylation and its subsequent role in cancer cell metabolism remain unclear. Here, we detect CD147 di-methylation in 16 non-small-cell lung cancer (NSCLC) tissues using liquid chromatography-tandem mass spectrometry. CD147 is di-methylated to CD147-K234me2 by lysine methyltransferase 5A (KMT5A). The increase in KMT5A expression boosts the levels of CD147-K234me2, further promoting the interaction between CD147 and monocarboxylate transporter 4 (MCT4), which enhances the translocation of MCT4 from the cytoplasm to the membrane. Overexpression of CD147-K234me2 and KMT5A enhances glycolysis and lactate export in NSCLC cells. Clinical analysis shows that high CD147-K234me2 expression is significantly related to cancer progression and overall survival, and has prognostic significance in individuals with NSCLC, especially for those in the early stages. Our findings indicate that CD147-K234me2 plays a critical role in cancer metabolism, and it can be a highly promising therapeutic target for NSCLC.</t>
  </si>
  <si>
    <t>Focuses on metabolism and protein signaling, not neoantigen discovery or vaccines</t>
  </si>
  <si>
    <t>Tagliamonte, Maria; Petrizzo, Annacarmen; Tornesello, Maria Lina; Buonaguro, Franco M.; Buonaguro, Luigi</t>
  </si>
  <si>
    <t>Antigen-specific vaccines for cancer treatment</t>
  </si>
  <si>
    <t>10.4161/21645515.2014.973317</t>
  </si>
  <si>
    <t>Vaccines targeting pathogens are generally effective and protective because based on foreign non-self antigens which are extremely potent in eliciting an immune response. On the contrary, efficacy of therapeutic cancer vaccines is still disappointing. One of the major reasons for such poor outcome, among others, is the difficulty of identifying tumor-specific target antigens which should be unique to the tumors or, at least, overexpressed on the tumors as compared to normal cells. Indeed, this is the only option to overcome the peripheral immune tolerance and elicit a non toxic immune response. New and more potent strategies are now available to identify specific tumor-associated antigens for development of cancer vaccine approaches aiming at eliciting targeted anti-tumor cellular responses. In the last years this aspect has been addressed and many therapeutic vaccination strategies based on either whole tumor cells or specific antigens have been and are being currently evaluated in clinical trials. This review summarizes the current state of cancer vaccines, mainly focusing on antigen-specific approaches.</t>
  </si>
  <si>
    <t>Discusses general solid tumors (NSCLC implied). and a narrative review</t>
  </si>
  <si>
    <t>Łuksza, Marta; Riaz, Nadeem; Makarov, Vladimir; Balachandran, Vinod P.; Hellmann, Matthew D.; Solovyov, Alexander; Rizvi, Naiyer A.; Merghoub, Taha; Levine, Arnold J.; Chan, Timothy A.; Wolchok, Jedd D.; Greenbaum, Benjamin D.</t>
  </si>
  <si>
    <t>A neoantigen fitness model predicts tumour response to checkpoint blockade immunotherapy</t>
  </si>
  <si>
    <t>10.1038/nature24473</t>
  </si>
  <si>
    <t>Checkpoint blockade immunotherapies enable the host immune system to recognize and destroy tumour cells. Their clinical activity has been correlated with activated T-cell recognition of neoantigens, which are tumour-specific, mutated peptides presented on the surface of cancer cells. Here we present a fitness model for tumours based on immune interactions of neoantigens that predicts response to immunotherapy. Two main factors determine neoantigen fitness: the likelihood of neoantigen presentation by the major histocompatibility complex (MHC) and subsequent recognition by T cells. We estimate these components using the relative MHC binding affinity of each neoantigen to its wild type and a nonlinear dependence on sequence similarity of neoantigens to known antigens. To describe the evolution of a heterogeneous tumour, we evaluate its fitness as a weighted effect of dominant neoantigens in the subclones of the tumour. Our model predicts survival in anti-CTLA-4-treated patients with melanoma and anti-PD-1-treated patients with lung cancer. Importantly, low-fitness neoantigens identified by our method may be leveraged for developing novel immunotherapies. By using an immune fitness model to study immunotherapy, we reveal broad similarities between the evolution of tumours and rapidly evolving pathogens.</t>
  </si>
  <si>
    <t>Pan, Xiaoyu; Zhang, Yang-Wen-Qing; Dai, Caixia; Zhang, Junyu; Zhang, Minghe; Chen, Xi</t>
  </si>
  <si>
    <t>Applications of mRNA Delivery in Cancer Immunotherapy</t>
  </si>
  <si>
    <t>International Journal of Nanomedicine</t>
  </si>
  <si>
    <t>10.2147/IJN.S500520</t>
  </si>
  <si>
    <t>Cancer treatment is continually advancing, with immunotherapy gaining prominence as a standard modality that has markedly improved the management of various malignancies. Despite these advancements, the efficacy of immunotherapy remains variable, with certain cancers exhibiting limited response and patient outcomes differing considerably. Thus, enhancing the effectiveness of immunotherapy is imperative. A promising avenue is mRNA delivery, employing carriers such as liposomes, peptide nanoparticles, inorganic nanoparticles, and exosomes to introduce mRNA cargos encoding tumor antigens, immune-stimulatory, or immune-modulatory molecules into the tumor immune microenvironment (TIME). This method aims to activate the immune system to target and eradicate tumor cells. In this review, we introduce the characteristics and limitations of these carriers and summarize the application and mechanisms of currently prevalent cargos in mRNA-based tumor treatment. Additionally, given the significant clinical application of immune checkpoint inhibitors (ICIs) and chimeric antigen receptor (CAR)-based cell therapies in solid tumors (including melanoma, non-small-cell lung cancer, head and neck squamous cell carcinoma, triple-negative breast cancer, gastric cancer) and leukemia, which have become first-line treatments, we highlight and discuss recent progress in combining mRNA delivery with ICIs, CAR-T, CAR-NK, and CAR-macrophage therapies. This combination enhances the targeting capabilities and efficacy of ICIs and CAR-cell-based therapies, while also mitigating the long-term off-target toxicities associated with conventional methods. Finally, we analyze the limitations of current mRNA delivery systems, such as nuclease-induced mRNA instability, immunogenicity risks, complex carrier production, and knowledge gaps concerning dosing and safety. Addressing these challenges is crucial for unlocking the potential of mRNA in cancer immunotherapy. Overall, exploring mRNA delivery enriches our comprehension of cancer immunotherapy and holds promise for developing personalized and effective treatment strategies, potentially enhancing the immune responses of cancer patients and extending their survival time.</t>
  </si>
  <si>
    <t>Narrative review, not primary research. Focuses on delivery technology, not neoantigen discovery pipelines.</t>
  </si>
  <si>
    <t>Larman, H. Benjamin; Zhao, Zhenming; Laserson, Uri; Li, Mamie Z.; Ciccia, Alberto; Gakidis, M. Angelica Martinez; Church, George M.; Kesari, Santosh; Leproust, Emily M.; Solimini, Nicole L.; Elledge, Stephen J.</t>
  </si>
  <si>
    <t>Autoantigen discovery with a synthetic human peptidome</t>
  </si>
  <si>
    <t>Nature Biotechnology</t>
  </si>
  <si>
    <t>10.1038/nbt.1856</t>
  </si>
  <si>
    <t>Immune responses targeting self-proteins (autoantigens) can lead to a variety of autoimmune diseases. Identification of these antigens is important for both diagnostic and therapeutic reasons. However, current approaches to characterize autoantigens have, in most cases, met only with limited success. Here we present a synthetic representation of the complete human proteome, the T7 peptidome phage display library (T7-Pep), and demonstrate its application to autoantigen discovery. T7-Pep is composed of &gt;413,000 36-residue, overlapping peptides that cover all open reading frames in the human genome, and can be analyzed using high-throughput DNA sequencing. We developed a phage immunoprecipitation sequencing (PhIP-Seq) methodology to identify known and previously unreported autoantibodies contained in the spinal fluid of three individuals with paraneoplastic neurological syndromes. We also show how T7-Pep can be used more generally to identify peptide-protein interactions, suggesting the broader utility of our approach for proteomic research.</t>
  </si>
  <si>
    <t>Neurological syndrome patients; not Human NSCLC. and investigates autoantigens</t>
  </si>
  <si>
    <t>Lei, Juan; Wu, Lei; Zhang, Nan; Liu, Xudong; Zhang, Jiangang; Kuang, Liwen; Chen, Jiongming; Chen, Yijiao; Li, Dairong; Li, Yongsheng</t>
  </si>
  <si>
    <t>Carcinoembryonic antigen potentiates non-small cell lung cancer progression via PKA-PGC-1ɑ axis</t>
  </si>
  <si>
    <t>Molecular Biomedicine</t>
  </si>
  <si>
    <t>10.1186/s43556-024-00181-3</t>
  </si>
  <si>
    <t>Carcinoembryonic antigen (CEA) is a tumor-associated antigen primarily produced by tumor cells. It has been implicated in various biological processes such as cell adhesion, proliferation, differentiation, and metastasis. Despite this, the precise molecular mechanisms through which CEA enhances tumor cell proliferation remain largely unclear. Our study demonstrates that CEA enhances the proliferation and migration of non-small cell lung cancer (NSCLC) while also inhibiting cisplatin-induced apoptosis in NSCLC cells. Treatment with CEA led to an increase in mitochondrial numbers and accumulation of lipid droplets in A549 and H1299 cells. Additionally, our findings indicate that CEA plays a role in regulating the fatty acid metabolism of NSCLC cells. Inhibiting fatty acid metabolism significantly reduced the CEA-mediated proliferation and migration of NSCLC cells. CEA influences fatty acid metabolism and the proliferation of NSCLC cells by activating the PGC-1α signaling pathway. This regulatory mechanism involves CEA increasing intracellular cAMP levels, which in turn activates PKA and upregulates PGC-1α. In NSCLC, inhibiting the PKA-PGC-1α signaling pathway reduces both fatty acid metabolism and the proliferation and migration induced by CEA, both in vitro and in vivo. These results suggest that CEA contributes to the promotion of proliferation and migration by modulating fatty acid metabolism. Targeting CEA or the PKA-PGC-1ɑ signaling pathway may offer a promising therapeutic approach for treating NSCLC.</t>
  </si>
  <si>
    <t>Mechanistic study on fatty acid metabolism, not neoantigen discovery or vaccines.</t>
  </si>
  <si>
    <t>Guo, Zong Sheng; Lu, Binfeng; Guo, Zongbi; Giehl, Esther; Feist, Mathilde; Dai, Enyong; Liu, Weilin; Storkus, Walter J.; He, Yukai; Liu, Zuqiang; Bartlett, David L.</t>
  </si>
  <si>
    <t>Vaccinia virus-mediated cancer immunotherapy: cancer vaccines and oncolytics</t>
  </si>
  <si>
    <t>10.1186/s40425-018-0495-7</t>
  </si>
  <si>
    <t>Cancer vaccines and oncolytic immunotherapy are promising treatment strategies with potential to provide greater clinical benefit to patients with advanced-stage cancer. In particular, recombinant vaccinia viruses (VV) hold great promise as interventional agents. In this article, we first summarize the current understanding of virus biology and viral genes involved in host-virus interactions to further improve the utility of these agents in therapeutic applications. We then discuss recent findings from basic and clinical studies using VV as cancer vaccines and oncolytic immunotherapies. Despite encouraging results gleaned from translational studies in animal models, clinical trials implementing VV vectors alone as cancer vaccines have yielded largely disappointing results. However, the combination of VV vaccines with alternate forms of standard therapies has resulted in superior clinical efficacy. For instance, combination regimens using TG4010 (MVA-MUC1-IL2) with first-line chemotherapy in advanced-stage non-small cell lung cancer or combining PANVAC with docetaxel in the setting of metastatic breast cancer have clearly provided enhanced clinical benefits to patients. Another novel cancer vaccine approach is to stimulate anti-tumor immunity via STING activation in Batf3-dependent dendritic cells (DC) through the use of replication-attenuated VV vectors. Oncolytic VVs have now been engineered for improved safety and superior therapeutic efficacy by arming them with immune-stimulatory genes or pro-apoptotic molecules to facilitate tumor immunogenic cell death, leading to enhanced DC-mediated cross-priming of T cells recognizing tumor antigens, including neoantigens. Encouraging translational and early phase clinical results with Pexa-Vec have matured into an ongoing global phase III trial for patients with hepatocellular carcinoma. Combinatorial approaches, most notably those using immune checkpoint blockade, have produced exciting pre-clinical results and warrant the development of innovative clinical studies. Finally, we discuss major hurdles that remain in the field and offer some perspectives regarding the development of next generation VV vectors for use as cancer therapeutics.</t>
  </si>
  <si>
    <t>Narrative review, not primary research.</t>
  </si>
  <si>
    <t>Thomas, Anish; Hassan, Raffit</t>
  </si>
  <si>
    <t>Immunotherapies for non-small-cell lung cancer and mesothelioma</t>
  </si>
  <si>
    <t>10.1016/S1470-2045(12)70126-2</t>
  </si>
  <si>
    <t>Non-small-cell lung cancer and mesothelioma are thoracic malignancies, which in their advanced stages are incurable and have poor prognosis. Advances in our understanding of immune responses to tumours, tumour immunosuppression mechanisms, and tumour-specific shared antigens enabled successful early clinical trials of several specific and non-specific immunotherapies. For non-small-cell lung cancer, phase 3 clinical trial results of Toll-like receptor agonists show little promise. However, ongoing phase 3 trials are assessing melanoma-associated antigen A3 vaccine, liposomal BLP25, belagenpumatucel-L, and talactoferrin. In mesothelioma, immunotherapies being investigated include dendritic cell-based and Listeria-based vaccines, and allogeneic tumour cell and WT1 analogue peptide vaccines. Selection of appropriate patients and disease stages for immunotherapy, measurement of tumour-specific immune responses, and understanding the association between immune and clinical responses are some of the major challenges for the development of immunotherapies for these malignancies.</t>
  </si>
  <si>
    <t>General immunotherapy overview; lacks specific neoantigen pipeline mapping.</t>
  </si>
  <si>
    <t>Thomas, A.; Giaccone, G.</t>
  </si>
  <si>
    <t>Why has active immunotherapy not worked in lung cancer?</t>
  </si>
  <si>
    <t>Annals of Oncology: Official Journal of the European Society for Medical Oncology</t>
  </si>
  <si>
    <t>10.1093/annonc/mdv323</t>
  </si>
  <si>
    <t>Vaccines that rely on active specific stimulation of the host immune system have the potential to trigger durable antitumor responses with minimal toxicity. However, in nonsmall-cell lung cancer (NSCLC), several large phase III trials of vaccines reported within the last year have yielded disappointing results. Compared with placebo, belagenpumatucel-L (an allogenic tumor cell vaccine), tecemotide (a peptide vaccine targeting MUC-1) and melanoma-associated antigen-A3 (a protein-based vaccine) did not improve outcomes in NSCLC. The lack of clinically significant outcomes, despite their ability to prime and expand tumor antigen-specific T cells could at least partly be attributed to the inability of vaccine-induced T-cell responses to overcome the tumoral mechanisms of immune escape which limit the clonal expansion of T cells following vaccination. A number of such mechanisms have been recognized including reduced antigen presentation, antigenic loss, cytokines, immunosuppressive cells and immune checkpoints. Strategies aimed at modulating the immune checkpoints have shown promise and are on the verge of revolutionizing the therapeutic landscape of metastatic NSCLC. Overcoming immune tolerance and improving the activation of antitumor T cells via combinatorial approaches may represent a new and more promising therapeutic application for active immunotherapies in NSCLC.</t>
  </si>
  <si>
    <t>Discusses outdated Phase III failures from ~2014; lacks modern pipelines.</t>
  </si>
  <si>
    <t>Villanueva, Nicolas; Bazhenova, Lyudmila</t>
  </si>
  <si>
    <t>New strategies in immunotherapy for lung cancer: beyond PD-1/PD-L1</t>
  </si>
  <si>
    <t>Therapeutic Advances in Respiratory Disease</t>
  </si>
  <si>
    <t>10.1177/1753466618794133</t>
  </si>
  <si>
    <t>Immunotherapy has significantly altered the treatment landscape for many cancers, including non-small cell lung cancer (NSCLC). Currently approved immuno-oncology agents for lung cancer are aimed at the reversal of immune checkpoints, programmed death protein-1 (PD-1) and programmed death ligand-1 (PD-L1). Although responses to checkpoint inhibitors are encouraging, and in some cases durable, these successes are not universal among all treated patients. In order to optimize our treatment approach utilizing immunotherapy, we must better understand the interaction between cancer and the immune system and evasion mechanisms. In this review, we will provide an overview of the immune system and cancer, and review novel therapies that promote tumor antigen release for immune system detection, activate the effector T-cell response, and reverse inhibitory antitumor signals.</t>
  </si>
  <si>
    <t>Antonia, Scott J.; Vansteenkiste, Johan F.; Moon, Edmund</t>
  </si>
  <si>
    <t>Immunotherapy: Beyond Anti-PD-1 and Anti-PD-L1 Therapies</t>
  </si>
  <si>
    <t>American Society of Clinical Oncology Educational Book. American Society of Clinical Oncology. Annual Meeting</t>
  </si>
  <si>
    <t>10.1200/EDBK_158712</t>
  </si>
  <si>
    <t>Advanced-stage non-small cell lung cancer (NSCLC) and small cell lung cancer are cancers in which chemotherapy produces a survival benefit, although it is small. We now know that anti-PD-1/PD-L1 has substantial clinical activity in both of these diseases, with an overall response rate (ORR) of 15%-20%. These responses are frequently rapid and durable, increase median overall survival (OS) compared with chemotherapy, and produce long-term survivors. Despite these very significant results, many patients do not benefit from anti-PD-1/PD-L1. This is because of the potential for malignancies to co-opt myriad immunosuppressive mechanisms other than aberrant expression of PD-L1. Conceptually, these can be divided into three categories. First, for some patients there is likely a failure to generate sufficient functional tumor antigen-specific T cells. Second, for others, tumor antigen-specific T cells may be generated but fail to enter into the tumor parenchyma. Finally, there are a large number of immunosuppressive mechanisms that have the potential to be operational within the tumor microenvironment: surface membrane immune checkpoint proteins PD-1, CTLA-4, LAG3, TIM3, BTLA, and adenosine A2AR; soluble factors and metabolic alterations interleukin (IL)-10, transforming growth factor (TGF)-β, adenosine, IDO, and arginase; and inhibitory cells, cancer-associated fibroblasts (CAFs), regulatory T cells, myeloid-derived suppressor cells (MDSCs), and tumor-associated macrophages. In this article, we discuss three strategies to generate more tumor-reactive T cells for patients: anti-CTLA-4, therapeutic tumor vaccination, and adoptive cellular therapy, with T cells redirected to tumor antigens using T-cell receptor (TCR) or chimeric antigen receptor (CAR) gene modification. We also review some of the various strategies in development to thwart tumor microenvironment immunosuppressive mechanisms. Strategies to drive more T cells into tumors remain a significant challenge.</t>
  </si>
  <si>
    <t>General immunotherapy overview; lacks specific neoantigen pipeline mapping</t>
  </si>
  <si>
    <t>.</t>
  </si>
  <si>
    <t>Qian, Xu; Meng, Qing-He</t>
  </si>
  <si>
    <t>Circulating lung cancer biomarkers: From translational research to clinical practice</t>
  </si>
  <si>
    <t>Tumour Biology: The Journal of the International Society for Oncodevelopmental Biology and Medicine</t>
  </si>
  <si>
    <t>10.3233/TUB-230012</t>
  </si>
  <si>
    <t>Fundamental studies on biomarkers as well as developed assays for their detection can provide valuable information facilitating clinical decisions. For patients with lung cancer, there are established circulating biomarkers such as serum progastrin-releasing peptide (ProGRP), neuron-specific enolase (NSE), squamous cell carcinoma antigen (SCC-Ag), carcinoembryonic antigen (CEA), and cytokeratin-19 fragment (CYFRA21-1). There are also molecular biomarkers for targeted therapy such as epidermal growth factor receptor (EGFR) gene, anaplastic lymphoma kinase (ALK) gene, KRAS gene, and BRAF gene. However, there is still an unmet need for biomarkers that can be used for early detection and predict treatment response and survival. In this review, we describe the lung cancer biomarkers that are currently being used in clinical practice. We also discuss emerging preclinical and clinical studies on new biomarkers such as omics-based biomarkers for their potential clinical use to detect, predict, or monitor subtypes of lung cancer. Additionally, between-method differences in tumor markers warrant further development and improvement of the standardization and harmonization for each assay.</t>
  </si>
  <si>
    <t>Focuses on TAAs and driver mutations, not mutation-derived neoantigens. and its a narrative review</t>
  </si>
  <si>
    <t>Li, L.; Goedegebuure, S. P.; Gillanders, W. E.</t>
  </si>
  <si>
    <t>Preclinical and clinical development of neoantigen vaccines</t>
  </si>
  <si>
    <t>10.1093/annonc/mdx681</t>
  </si>
  <si>
    <t>Cancer neoantigens are antigens that result from somatic mutations present in individual cancers. Neoantigens are considered important targets for cancer immunotherapy because of their immunogenicity and lack of expression in normal tissues. Next-generation sequencing technologies and computational analysis have recently made neoantigen discovery possible. Although neoantigens are important targets of checkpoint blockade therapy, neoantigen vaccines are currently being investigated in preclinical models and early-phase human clinical trials. Preliminary results from these clinical trials demonstrate that dendritic cell, synthetic long peptide, and RNA-based neoantigen vaccines are safe, and capable of inducing both CD8+ and CD4+ neoantigen-specific T-cell responses. We and others are testing neoantigen vaccines in melanoma, breast cancer, non-small-cell lung cancer and other cancer types. Since cancers have evolved mechanisms to escape immune control, it is particularly important to study the efficacy of neoantigen vaccines in combination with other immunotherapies including checkpoint blockade therapy, and immune therapies targeting the immunosuppressive tumor microenvironment.</t>
  </si>
  <si>
    <t xml:space="preserve">Direct focus on neoantigen identification and vaccine development but a review </t>
  </si>
  <si>
    <t>Trulson, Inga; Holdenrieder, Stefan</t>
  </si>
  <si>
    <t>Prognostic value of blood-based protein biomarkers in non-small cell lung cancer: A critical review and 2008-2022 update</t>
  </si>
  <si>
    <t>10.3233/TUB-230009</t>
  </si>
  <si>
    <t>BACKGROUND: Therapeutic possibilities for non-small cell lung cancer (NSCLC) have considerably increased during recent decades. OBJECTIVE: To summarize the prognostic relevance of serum tumor markers (STM) for early and late-stage NSCLC patients treated with classical chemotherapies, novel targeted and immune therapies. METHODS: A PubMed database search was conducted for prognostic studies on carcinoembryonic antigen (CEA), cytokeratin-19 fragment (CYFRA 21-1), neuron-specific enolase, squamous-cell carcinoma antigen, progastrin-releasing-peptide, CA125, CA 19-9 and CA 15-3 STMs in NSCLC patients published from 2008 until June 2022. RESULTS: Out of 1069 studies, 141 were identified as meeting the inclusion criteria. A considerable heterogeneity regarding design, patient number, analytical and statistical methods was observed. High pretherapeutic CYFRA 21-1 levels and insufficient decreases indicated unfavorable prognosis in many studies on NSCLC patients treated with chemo-, targeted and immunotherapies or their combinations in early and advanced stages. Similar results were seen for CEA in chemotherapy, however, high pretherapeutic levels were sometimes favorable in targeted therapies. CA125 is a promising prognostic marker in patients treated with immunotherapies. Combinations of STMs further increased the prognostic value over single markers. CONCLUSION: Protein STMs, especially CYFRA 21-1, have prognostic potential in early and advanced stage NSCLC. For future STM investigations, better adherence to comparable study designs, analytical methods, outcome measures and statistical evaluation standards is recommended.</t>
  </si>
  <si>
    <t>Prognostic biomarker mapping; lacks neoantigen identification pipeline data.</t>
  </si>
  <si>
    <t>Bracht, Jillian Wilhelmina Paulina; Karachaliou, Niki; Berenguer, Jordi; Pedraz-Valdunciel, Carlos; Filipska, Martyna; Codony-Servat, Carles; Codony-Servat, Jordi; Rosell, Rafael</t>
  </si>
  <si>
    <t>Osimertinib and pterostilbene in EGFR-mutation-positive non-small cell lung cancer (NSCLC)</t>
  </si>
  <si>
    <t>International Journal of Biological Sciences</t>
  </si>
  <si>
    <t>10.7150/ijbs.32889</t>
  </si>
  <si>
    <t>Monotherapy with epidermal growth factor receptor (EGFR) tyrosine kinase inhibitors (TKIs) still leads to incomplete responses in most EGFR-mutation positive non-small cell lung cancer (NSCLC) patients, often due to acquired resistance through activation of parallel compensatory pathways. We have previously shown that co-targeting EGFR, signal transducer and activator of transcription 3 (STAT3), and Src-yes-associated protein 1 (YAP1) was highly synergistic in vitro and in vivo. In the present study, we treated EGFR-mutation positive cell lines with the combination of osimertinib plus a natural compound, pterostilbene, which has been reported to abrogate Src and STAT3 activation. Methods: Cell viability assays and immunoblotting were performed to reveal the mechanisms of action of pterostilbene, osimertinib and pterostilbene plus osimertinib in five EGFR-mutation positive NSCLC and one triple negative breast cancer (TNBC) cell lines. Results: Osimertinib plus pterostilbene yielded synergistic effects in all EGFR-mutation positive NSCLC cell lines investigated. Surprisingly, pterostilbene alone did not inhibit, nor downregulate Src phosphorylation in the EGFR-mutation positive NSCLC cell lines or the TNBC cell line, MDA-MB-231. However, the double combination of osimertinib plus pterostilbene reversed the osimertinib-induced STAT3, YAP1, and CUB domain-containing protein-1 (CDCP1) phosphorylation and slightly suppressed Src phosphorylation in PC9 and H1975 cells. Conclusion: The results of this study indicate that pterostilbene may be used to abrogate the activated resistance pathways of single osimertinib treatment in EGFR-mutation positive NSCLC. Future studies should focus on in vivo translation and confirmation of these results.</t>
  </si>
  <si>
    <t>Focuses on TKI resistance and signaling, not neoantigen discovery or vaccines.</t>
  </si>
  <si>
    <t>Kang, Li-Ping; Huang, Hua-Jing; Xu, Cong; Chen, Hui-Hui; Huang, Dong-Hui; Jiang, Ze-Bo</t>
  </si>
  <si>
    <t>Breakthroughs in immune checkpoint therapy: overcoming NSCLC immune checkpoint therapy resistance with novel techniques</t>
  </si>
  <si>
    <t>10.3389/fimmu.2025.1630940</t>
  </si>
  <si>
    <t>Immune checkpoint therapy has emerged as a revolutionary approach in the field of non-small cell lung cancer (NSCLC), offering new hope to patients with various malignancies. Despite its success, a significant proportion of patients exhibit primary or acquired resistance, limiting the efficacy of these treatments. This review provides a comprehensive analysis of recent breakthroughs in immune checkpoint therapy, focusing on the underlying biology of immune checkpoints, current checkpoint inhibitors, and the mechanisms of resistance that challenge treatment effectiveness. In particular, we will explore novel strategies designed to overcome these resistance mechanisms, including combination therapies that enhance anti-tumor immune responses, the use of personalized neoantigen vaccines, and microbiome-modulating therapies. Additionally, we will examine the role of emerging biomarkers, such as TCR clonality and T-cell inflamed gene signatures, in predicting patient responses. By synthesizing these insights, this review aims to highlight innovative approaches that could significantly improve therapeutic outcomes for patients with NSCLC and other malignancies, ultimately advancing the field of cancer immunotherapy.</t>
  </si>
  <si>
    <t xml:space="preserve">Discusses neoantigen vaccines and TCR clonality. but a review </t>
  </si>
  <si>
    <t>Leclerc, Marine; Mezquita, Laura; Guillebot De Nerville, Guillaume; Tihy, Isabelle; Malenica, Ines; Chouaib, Salem; Mami-Chouaib, Fathia</t>
  </si>
  <si>
    <t>Recent Advances in Lung Cancer Immunotherapy: Input of T-Cell Epitopes Associated With Impaired Peptide Processing</t>
  </si>
  <si>
    <t>10.3389/fimmu.2019.01505</t>
  </si>
  <si>
    <t>Recent advances in lung cancer treatment are emerging from new immunotherapies that target T-cell inhibitory receptors, such as programmed cell death-1 (PD-1). However, responses to anti-PD-1 antibodies as single agents are observed in fewer than 20% of non-small-cell lung cancer (NSCLC) patients, and immune mechanisms involved in the response to these therapeutic interventions remain poorly elucidated. Accumulating evidence indicates that effective anti-tumor immunity is associated with the presence of T cells directed toward cancer neoepitopes, a class of major histocompatibility complex (MHC)-bound peptides that arise from tumor-specific mutations. Nevertheless, tumors frequently use multiple pathways to escape T-cell recognition and destruction. In this regard, primary and acquired resistance to immune checkpoint blockade (ICB) therapy was associated with alterations in genes relevant to antigen presentation by MHC-class I/beta-2-microglobulin (MHC-I/β2m) complexes to CD8 T lymphocytes. Among additional known mechanisms involved in tumor resistance to CD8 T-cell immunity, alterations in transporter associated with antigen processing (TAP) play a major role by inducing a sharp decrease in surface expression of MHC-I/β2m-peptide complexes, enabling malignant cells to evade cytotoxic T lymphocyte (CTL)-mediated killing. Therefore, development of novel immunotherapies based on tumor neoantigens, that are selectively presented by cancer cells carrying defects in antigen processing and presentation, and that are capable of inducing destruction of such transformed cells, is a major challenge in translational research for application in treatment of lung cancer. In this context, we previously identified a non-mutant tumor neoepitope, ppCT16-25, derived from the preprocalcitonin (ppCT) leader sequence and processed independently of proteasomes/TAP by a mechanism involving signal peptidase (SP) and signal peptide peptidase (SPP). We also provided in vitro and in vivo proof of the concept of active immunotherapy based on ppCT-derived peptides capable of controlling growth of immune-escaped tumors expressing low levels of MHC-I molecules. Thus, non-mutant and mutant neoepitopes are promising T-cell targets for therapeutic cancer vaccines in combination with ICB. In this review, we summarize current treatments for lung cancer and discuss the promises that conserved neoantigens offer for more effective immunotherapies targeting immune-escaped tumor variants.</t>
  </si>
  <si>
    <t>Discusses advanced NSCLC and neoantigen-based therapies. but a review</t>
  </si>
  <si>
    <t>Wu, Jiangwei; Zhang, Qiaoling; Yang, Zeyang; Xu, Yujun; Liu, Xinlei; Wang, Xuanying; Peng, Jiangying; Xiao, Jing; Wang, Yun; Shang, Zhenling; Wang, Nianxue; Li, Long; Zhang, Rui; Zhang, Wei; Zhang, Jian; Zeng, Zhu; Wu, Jieheng</t>
  </si>
  <si>
    <t>CD248-expressing cancer-associated fibroblasts induce non-small cell lung cancer metastasis via Hippo pathway-mediated extracellular matrix stiffness</t>
  </si>
  <si>
    <t>Journal of Cellular and Molecular Medicine</t>
  </si>
  <si>
    <t>10.1111/jcmm.70025</t>
  </si>
  <si>
    <t>Metastasis is a crucial stage in tumour progression, and cancer-associated fibroblasts (CAFs) support metastasis through their participation in extracellular matrix (ECM) stiffness. CD248 is a possible biomarker for non-small cell lung cancer (NSCLC)-derived CAFs, but its role in mediating ECM stiffness to promote NSCLC metastasis is unknown. We investigated the significance of CD248+ CAFs in activating the Hippo axis and promoting connective tissue growth factor (CTGF) expression, which affects the stromal collagen I environment and improves ECM stiffness, thereby facilitating NSCLC metastasis. In this study, we found that higher levels of CD248 in CAFs induced the formation of collagen I, which in turn increased extracellular matrix stiffness, thereby enabling NSCLC cell infiltration and migration. Hippo axis activation by CD248+ CAFs induces CTGF expression, which facilitates the formation of the collagen I milieu in the stromal matrix. In a tumour lung metastasis model utilizing fibroblast-specific CD248 gene knockout mice, CD248 gene knockout mice showed a significantly reduced ability to develop tumour lung metastasis compared to that of WT mice. Our findings demonstrate that CD248+ CAFs activate the Hippo pathway, thereby inducing CTGF expression, which in turn facilitates the collagen I milieu of the stromal matrix, which promotes NSCLC metastasis.</t>
  </si>
  <si>
    <t>Focuses on stromal biomechanics (ECM stiffness) and metastasis, not neoantigen discovery.</t>
  </si>
  <si>
    <t>Sharma, Sherven; Srivastava, Minu K.; Harris-White, Marni; Lee, Jay Moon; Dubinett, Steven</t>
  </si>
  <si>
    <t>MUC1 peptide vaccine mediated antitumor activity in non-small cell lung cancer</t>
  </si>
  <si>
    <t>Expert Opinion on Biological Therapy</t>
  </si>
  <si>
    <t>10.1517/14712598.2011.598146</t>
  </si>
  <si>
    <t>Lung cancer is the most common cause of cancer mortality worldwide for both men and women, causing approximately 1.2 million deaths per year. With the existing therapeutic efforts, the long-term survival for lung cancer patients remains low with only 15% surviving for 5 years following diagnosis. Therefore, new therapeutic strategies are needed. One such approach is the development of immune therapy for lung cancer. Immune approaches for lung cancer remain attractive because although surgery, chemotherapy and radiotherapy alone or in combination have response rates in all histological types of lung cancer, relapse is frequent. Immunologic targeting of lung cancer has the potential for nontoxic and specific therapy. Strategies that harness the immune system to react against tumors can be integrated with existing forms of therapy for optimal responses toward this devastating disease.</t>
  </si>
  <si>
    <t>Discusses TAAs and general immune stimulants, not mutation-derived neoantigens and its  a review</t>
  </si>
  <si>
    <t>Durgeau, Aurélie; Virk, Yasemin; Corgnac, Stéphanie; Mami-Chouaib, Fathia</t>
  </si>
  <si>
    <t>Recent Advances in Targeting CD8 T-Cell Immunity for More Effective Cancer Immunotherapy</t>
  </si>
  <si>
    <t>10.3389/fimmu.2018.00014</t>
  </si>
  <si>
    <t>Recent advances in cancer treatment have emerged from new immunotherapies targeting T-cell inhibitory receptors, including cytotoxic T-lymphocyte associated antigen (CTLA)-4 and programmed cell death (PD)-1. In this context, anti-CTLA-4 and anti-PD-1 monoclonal antibodies have demonstrated survival benefits in numerous cancers, including melanoma and non-small-cell lung carcinoma. PD-1-expressing CD8+ T lymphocytes appear to play a major role in the response to these immune checkpoint inhibitors (ICI). Cytotoxic T lymphocytes (CTL) eliminate malignant cells through recognition by the T-cell receptor (TCR) of specific antigenic peptides presented on the surface of cancer cells by major histocompatibility complex class I/beta-2-microglobulin complexes, and through killing of target cells, mainly by releasing the content of secretory lysosomes containing perforin and granzyme B. T-cell adhesion molecules and, in particular, lymphocyte-function-associated antigen-1 and CD103 integrins, and their cognate ligands, respectively, intercellular adhesion molecule 1 and E-cadherin, on target cells, are involved in strengthening the interaction between CTL and tumor cells. Tumor-specific CTL have been isolated from tumor-infiltrating lymphocytes and peripheral blood lymphocytes (PBL) of patients with varied cancers. TCRβ-chain gene usage indicated that CTL identified in vitro selectively expanded in vivo at the tumor site compared to autologous PBL. Moreover, functional studies indicated that these CTL mediate human leukocyte antigen class I-restricted cytotoxic activity toward autologous tumor cells. Several of them recognize truly tumor-specific antigens encoded by mutated genes, also known as neoantigens, which likely play a key role in antitumor CD8 T-cell immunity. Accordingly, it has been shown that the presence of T lymphocytes directed toward tumor neoantigens is associated with patient response to immunotherapies, including ICI, adoptive cell transfer, and dendritic cell-based vaccines. These tumor-specific mutation-derived antigens open up new perspectives for development of effective second-generation therapeutic cancer vaccines.</t>
  </si>
  <si>
    <t>Focuses on neoantigens and second-generation vaccines. but a narrative review</t>
  </si>
  <si>
    <t>Chuang, Tzu-Po; Lai, Wei-Yun; Gabre, Jonatan L.; Lind, Dan E.; Umapathy, Ganesh; Bokhari, Abdulmalik A.; Bergman, Bengt; Kristenson, Linnea; Thorén, Fredrik B.; Le, Anh; Doebele, Robert C.; Van den Eynden, Jimmy; Palmer, Ruth H.; Hallberg, Bengt</t>
  </si>
  <si>
    <t>ALK fusion NSCLC oncogenes promote survival and inhibit NK cell responses via SERPINB4 expression</t>
  </si>
  <si>
    <t>Proceedings of the National Academy of Sciences of the United States of America</t>
  </si>
  <si>
    <t>10.1073/pnas.2216479120</t>
  </si>
  <si>
    <t>Anaplastic lymphoma kinase (ALK) fusion variants in Non-Small Cell Lung Cancer (NSCLC) consist of numerous dimerizing fusion partners. Retrospective investigations suggest that treatment benefit in response to ALK tyrosine kinase inhibitors (TKIs) differs dependent on the fusion variant present in the patient tumor. Therefore, understanding the oncogenic signaling networks driven by different ALK fusion variants is important. To do this, we developed controlled inducible cell models expressing either Echinoderm Microtubule Associated Protein Like 4 (EML4)-ALK-V1, EML4-ALK-V3, Kinesin Family Member 5B (KIF5B)-ALK, or TRK-fused gene (TFG)-ALK and investigated their transcriptomic and proteomic responses to ALK activity modulation together with patient-derived ALK-positive NSCLC cell lines. This allowed identification of both common and isoform-specific responses downstream of these four ALK fusions. An inflammatory signature that included upregulation of the Serpin B4 serine protease inhibitor was observed in both ALK fusion inducible and patient-derived cells. We show that Signal transducer and activator of transcription 3 (STAT3), Nuclear Factor Kappa B (NF-κB) and Activator protein 1 (AP1) are major transcriptional regulators of SERPINB4 downstream of ALK fusions. Upregulation of SERPINB4 promotes survival and inhibits natural killer cell-mediated cytotoxicity, which has potential for therapeutic impact targeting the immune response together with ALK TKIs in NSCLC.</t>
  </si>
  <si>
    <t>Focuses on ALK signaling and SERPINB4, not neoantigen discovery.</t>
  </si>
  <si>
    <t>Xu, Dengyue; Jiang, Qingyun; Li, Zhi; Shang, Angyang; Liu, Jiaqi; Xue, Chengyu; Shao, Shuai; Zhang, Hangyu; Yuan, Hong; Wu, Bin; Liu, Bo</t>
  </si>
  <si>
    <t>Affinity Peptide-Based Circularly Permuted Fluorescent Protein Biosensors for Non-Small Cell Lung Cancer Diagnosis</t>
  </si>
  <si>
    <t>Sensors</t>
  </si>
  <si>
    <t>10.3390/s24247899</t>
  </si>
  <si>
    <t>Non-small cell lung cancer (NSCLC) is the predominant form of lung cancer and poses a significant public health challenge. Early detection is crucial for improving patient outcomes, with serum biomarkers such as carcinoembryonic antigen (CEA), squamous cell carcinoma antigen (SCCAg), and cytokeratin fragment 19 (CYFRA 21-1) playing a critical role in early screening and pathological classification of NSCLC. However, due to being mainly based on corresponding antibody binding reactions, existing detection technologies for these serum biomarkers have shortcomings such as complex operations, high false positive rates, and high costs. This study aimed to develop new methods for detecting CEA, SCCAg, and CYFRA 21-1 to assist in the diagnosis of NSCLC. Affinity peptides of CEA, SCCAg, and CYFRA 21-1, respectively, were screened by phage display technology, and the peptides' binding affinities were determined by enzyme-linked immunosorbent assay and biolayer interferometry. Peptides with high affinity were then integrated as binding domains into biosensors by fusing them with circularly permuted fluorescent proteins (cpFPs) through genetic coding. The resulting biosensors, C4 biosensor for CEA, S1 biosensor for SCCAg, and Y3 biosensor for CYFRA 21-1, demonstrated robust sensitivity and specificity even at concentrations as low as 1 ng/mL for their respective tumor markers. When applied to clinical samples and recalibrated for the upper limit of normal concentrations, the biosensors exhibited enhanced sensitivity and specificity for NSCLC diagnosis. This study introduced innovative biosensors for the detection of CEA, SCCAg, and CYFRA 21-1, providing a highly sensitive, specific, rapid, and cost-effective diagnostic alternative that could significantly improve NSCLC screening rates.</t>
  </si>
  <si>
    <t>Diagnostic biosensor development, not therapeutic vaccine identification.</t>
  </si>
  <si>
    <t>Luo, Yirong; Zhang, Qichao; Lv, Bo; Shang, Yanyan; Li, Juan; Yang, Lina; Yu, Zhiwu; Luo, Kai; Deng, Xiaoyan; Min, Ling; Zhu, Ting</t>
  </si>
  <si>
    <t>CircFOXP1: A novel serum diagnostic biomarker for non-small cell lung cancer</t>
  </si>
  <si>
    <t>The International Journal of Biological Markers</t>
  </si>
  <si>
    <t>10.1177/17246008211073151</t>
  </si>
  <si>
    <t>BACKGROUND: Emerging evidence suggests that circular RNAs (circRNAs) were aberrantly expressed in the patients of non-small cell lung cancer (NSCLC). This study aims to evaluate the diagnostic value of potential serum biomarker in circRNAs. METHODS: Serum circRNAs were extracted and purified by RNA isolated kit and identified by quantitative real time-polymerase chain reaction (qRT-PCR) assay. We then performed a receiver operating characteristic (ROC) curve to estimate the diagnostic efficacy. The relationship between circRNA and clinic characteristics of patients was analyzed by SPSS 25.0. Univariate and multivariate analyses were also used to evaluate its diagnostic capability. The mechanism of circFOXP1 was further excavated by bioinformatics analysis. RESULTS: By performing qRT-PCR assay, we identified that circFOXP1 (hsa_circ_0008234) and conventional tumor markers (carcinoembryonic antigen (CEA) and cytokeratin fragment 21-1 (CYFRA21-1)) were all significantly overexpressed in the serum of patients with NSCLC when compared with healthy controls (P &lt; 0.05). While the ROC curves analysis demonstrated that area under the curve of circFOXP1 was obviously superior to CEA and CYFRA21-1, which exerted more diagnostic advantage. Univariate and multivariate analyses revealed that serum circFOXP1 was an independent diagnostic molecule, and was significantly correlated with T stage and lymphatic metastasis in NSCLC (P &lt; 0.05). Mechanistically, circFOXP1 might target hsa-miR-370-3p and hsa-miR-18a-5p, and be involved in vascular endothelial growth factor signaling pathways to regulate proliferative and metastasis processes. CONCLUSION: Our results highlight the preferable diagnostic potential of serum circFOXP1 in NSCLC.</t>
  </si>
  <si>
    <t>Diagnostic biomarker study, not therapeutic vaccine identification</t>
  </si>
  <si>
    <t>Masroor Ali Beg, Mirza; Aslam, Mohammad; Ayaz, Asma; Akhtar, Muhammad Saeed; Zaman, Wajid</t>
  </si>
  <si>
    <t>Advances in Non-Small Cell Lung Cancer Cellular Immunotherapy: A Progress in Dendritic Cell, T-Cell, and NK Cell Vaccines</t>
  </si>
  <si>
    <t>10.3390/cells14181453</t>
  </si>
  <si>
    <t>Over the past decade, cellular immunotherapy has emerged as a transformative strategy for non-small cell lung cancer (NSCLC), with dendritic-cell (DC) vaccines, T-cell vaccines, and natural killer (NK)-cell therapies demonstrating distinct mechanisms and clinical potential. DC vaccines capitalize on antigen presentation to prime tumor-specific T-cell responses, showing excellent safety profiles limited mainly to injection-site reactions and flu-like symptoms. While monotherapy has shown limited efficacy, combinations with checkpoint inhibitors or chemotherapy enhance immune activation and survival outcomes. Recent innovations, including neoantigen-loaded, mRNA-electroporated, and exosome-pulsed DCs, demonstrate improved immunogenicity and personalized approaches. T-cell vaccines, designed to activate cytotoxic CD8+ T-cell responses, have been tested across multiple platforms, including peptide-based (MAGE-A3), viral vector (TG4010/MUC1), and mRNA (CV9201/92) formulations. While the phase III MAGRIT trial presented no disease-free survival (DFS) benefit with adjuvant MAGE-A3 vaccination, the TG4010 vaccine improved progression-free survival (PFS; HR 0.66) and overall survival (OS; HR 0.67) in MUC1-positive NSCLC when combined with chemotherapy. Current strategies focus on personalized neoantigen vaccines and KRAS-targeted approaches (e.g., ELI-002), with ongoing phase III trials evaluating their potential in resectable NSCLC. NK-cell therapies have also shown promise, with early trials establishing the feasibility of autologous and allogeneic infusions, while engineered CAR-NK cells enhance tumor-specific targeting. Combination strategies with checkpoint inhibitors significantly improve response rates and PFS, revealing synergies between innate and adaptive immunity. Recent advances include cytokine-enhanced, memory-like NK cells to overcome immunosuppression and "off-the-shelf" products for broader clinical use. Together, these cellular immunotherapies represent a versatile and evolving frontier in NSCLC treatment, with ongoing research optimizing combinations, delivery platforms, and patient selection to maximize therapeutic benefit.</t>
  </si>
  <si>
    <t>Focuses on neoantigen vaccines and cellular therapy.</t>
  </si>
  <si>
    <t>Awad, Mark; Spigel, David; Garon, Edward; Waqar, Saiama; Lisberg, Aaron; Moles, Melissa; Tepper, Jennifer; Lamb, April; Wanamaker, Amy; Khondker, Zakaria; Srouji, John; Dong, Jesse; Poran, Asaf; Balogh, Kristen; Bushway, Meghan; DeMario, Mark; Srinivasan, Lakshmi; Gaynor, Richard; Govindan, Ramaswamy</t>
  </si>
  <si>
    <t>A Personal Neoantigen Vaccine Neo-Pv-01 in Combination with Chemotherapy and Pembrolizumab Induces Broad De Novo Immune Responses in First Line, Non-Squamous Nsclc</t>
  </si>
  <si>
    <t>10.1136/jitc-2020-SITC2020.0364</t>
  </si>
  <si>
    <t>Fu, X.-Y.; Zhou, W.-B.; Xu, J.</t>
  </si>
  <si>
    <t>TM4SF1 facilitates non-small cell lung cancer progression through regulating YAP-TEAD pathway</t>
  </si>
  <si>
    <t>European Review for Medical and Pharmacological Sciences</t>
  </si>
  <si>
    <t>10.26355/eurrev_202002_20361</t>
  </si>
  <si>
    <t>OBJECTIVE: Transmembrane-4-L- Six-Family-1 (TM4SF1) has been found involved in the development and progression of tumor. This study aims to investigate the effect of TM4SF1 on the proliferation, migration, and invasion of non-small cell lung cancer (NSCLC) and reveal its underlying mechanisms. MATERIALS AND METHODS: qRT-PCR, immunohistochemical analysis, and Western blot were used to evaluate the expression of TM4SF1 in human NSCLC tissues and cells. Cell proliferation was measured by CCK-8 and colony formation assay. Cell apoptosis was evaluated by flow cytometry assay. Cell migration and invasion were detected by wound healing and transwell assays. Co-immunoprecipitation (Co-IP) assay was used to examine the interactions between proteins. Expression levels of related proteins were determined by Western blot. For in vivo experiment, xenograft tumor models were used. RESULTS: TM4SF1 was upregulated in NSCLC tissues and cell lines and closely correlated to survival time, tumor size, lymph node metastasis, distant metastasis, and clinical stage. Gain-of function and loss-of function experiments demonstrated the oncogenic effect of TM4SF1 on NSCLC cell proliferation, apoptosis, migration, and invasion. Notably, mechanism studies showed that TM4SF1 regulated the interaction between YAP and TEAD and the level of downstream target genes. Besides, sh-YAP or Peptide 17 treatment (YAP-TEAD protein-protein interaction inhibitor) reversed the effect of TM4SF1 on NSCLC cells. The in vivo research suggested that the knockdown of TM4SF1 inhibited the growth of xenograft tumor of NSCLC. CONCLUSIONS: This is the first evidence demonstrating that TM4SF1 could promote proliferation, migration, and invasion in NSCLC, at least partially through a potential YAP-TEAD signaling pathway-dependent mechanism. This study might provide a potential therapeutic target for the treatment of NSCLC.</t>
  </si>
  <si>
    <t>Mechanistic signaling study; lacks neoantigen discovery or vaccine data.</t>
  </si>
  <si>
    <t>Wang, Qian-Ting; Nie, Ying; Sun, Sheng-Nan; Lin, Tao; Han, Ru-Jin; Jiang, Jun; Li, Zhe; Li, Jun-Qi; Xiao, Yun-Peng; Fan, Yu-Ying; Yuan, Xiao-Hui; Zhang, Hui; Zhao, Bin-Bin; Zeng, Ming; Li, Shi-You; Liao, Hua-Xin; Zhang, Jian; He, You-Wen</t>
  </si>
  <si>
    <t>Tumor-associated antigen-based personalized dendritic cell vaccine in solid tumor patients</t>
  </si>
  <si>
    <t>Cancer immunology, immunotherapy: CII</t>
  </si>
  <si>
    <t>10.1007/s00262-020-02496-w</t>
  </si>
  <si>
    <t>Tumor-associated antigens (TAAs) have been tested in various clinical trials in cancer treatment but the patterns of specific T cell response to personalized TAA immunization remains to be fully understood. We report antigen-specific T cell responses in patients immunized with dendritic cell vaccines pulsed with personalized TAA panels. Tumor samples from patients were first analyzed to identify overexpressed TAAs. Autologous DCs were then transfected with pre-manufactured mRNAs encoding the full-length TAAs, overexpressed in the patients' tumors. Patients with glioblastoma multiforme (GBM) or advanced lung cancer received DC vaccines transfected with personalized TAA panels, in combination with low-dose cyclophosphamide, poly I:C, imiquimod and anti-PD-1 antibody. Antigen-specific T cell responses were measured. Safety and efficacy were evaluated. A total of ten patients were treated with DC vaccines transfected with personalized TAA panels containing 3-13 different TAAs. Among the seven patients tested for anti-TAA T cell responses, most of the TAAs induced antigen-specific CD4+ and/or CD8+ T cell responses, regardless of their expression levels in the tumor tissues. No Grade III/IV adverse events were observed among these patients. Furthermore, the treated patients were associated with favorable overall survival when compared to patients who received standard treatment in the same institution. Personalized TAA immunization-induced-specific CD4+ and CD8+ T cell responses without obvious autoimmune adverse events and was associated with favorable overall survival. These results support further studies on DC immunization with personalized TAA panels for combined immunotherapeutic regimens in solid tumor patients.Trial registration ClinicalTrials.gov, NCT02709616 (March, 2016), NCT02808364 (June 2016), NCT02808416 (June, 2016).</t>
  </si>
  <si>
    <t>Focuses on TAAs (overexpressed proteins), not mutation-derived neoantigens.</t>
  </si>
  <si>
    <t>Xu, Rui; Ke, Xing; Shang, Wenwen; Liu, Shuna; Fu, Xin; Wang, Ting; Jin, Shuxian</t>
  </si>
  <si>
    <t>Distribution and Clinical Significance of IL-17A in Tumor-Infiltrating Lymphocytes of Non-Small Cell Lung Cancer Patients</t>
  </si>
  <si>
    <t>Pathology oncology research: POR</t>
  </si>
  <si>
    <t>10.3389/pore.2022.1610384</t>
  </si>
  <si>
    <t>Objective: To investigate the distribution of IL-17A and its clinical significance in tumor infiltrating lymphocytes (TILs) of patients with non-small cell lung cancer (NSCLC). Methods: Expression level of IL-17A in TILs of 3 paired NSCLC and paracancerous specimens was measured by qRT-PCR. The distribution of IL-17A in immune cell subsets of 15 paired NSCLC and paracancerous specimens was examined by flow cytometry. The correlation between IL-17A and clinical features of NSCLC was identified. Results: IL-17A was significantly upregulated in TILs of NSCLC specimens than those of paracancerous ones (p &lt; 0.0001). Meanwhile, T helper 17 cells (Th17 cells, p &lt; 0.001), IL-17-secreting CD8+ T cells (Tc17 cells, p &lt; 0.001) and IL-17-producing cells (γδT17 cells, p &lt; 0.0001) were significantly abundant in TILs of NSCLC specimens than those of controls, and the higher abundance of the latter was much pronounced than that of the former two. Moreover, γδT17 cells in TILs were significantly correlated with lymphatic metastasis and CYFRA 21-1 level of NSCLC patients (p &lt; 0.05). Conclusion: Tumor infiltrated γδT cells are the main source of IL-17 in early-stage NSCLC, and IL-17 may be a vital regulator involved in the development of NSCLC.</t>
  </si>
  <si>
    <t>Focuses on IL-17A cytokine distribution, not neoantigen discovery or vaccines.</t>
  </si>
  <si>
    <t>Andreucci, Elena; Bugatti, Kelly; Peppicelli, Silvia; Ruzzolini, Jessica; Lulli, Matteo; Calorini, Lido; Battistini, Lucia; Zanardi, Franca; Sartori, Andrea; Bianchini, Francesca</t>
  </si>
  <si>
    <t>Nintedanib-αVβ6 Integrin Ligand Conjugates Reduce TGFβ-Induced EMT in Human Non-Small Cell Lung Cancer</t>
  </si>
  <si>
    <t>10.3390/ijms24021475</t>
  </si>
  <si>
    <t>Growth factors and cytokines released in the lung cancer microenvironment promote an epithelial-to-mesenchymal transition (EMT) that sustains the progression of neoplastic diseases. TGFβ is one of the most powerful inducers of this transition, as it induces overexpression of the fibronectin receptor, αvβ6 integrin, in cancer cells which, in turn, is strongly associated with EMT. Thus, αvβ6 integrin receptors may be exploited as a target for the selective delivery of anti-tumor agents. We introduce three novel synthesized conjugates, in which a selective αvβ6 receptor ligand is linked to nintedanib, a potent kinase inhibitor used to treat advanced adenocarcinoma lung cancer in clinics. The αvβ6 integrin ligand directs nintedanib activity to the target cells of the tumor microenvironment, avoiding the onset of negative side effects in normal cells. We found that the three conjugates inhibit the adhesion of cancer cells to fibronectin in a concentration-dependent manner and that αvβ6-expressing cells internalized the conjugated compounds, thus permitting nintedanib to inhibit 2D and 3D cancer cell growth and suppress the clonogenic ability of the EMT phenotype as well as intervening in other aspects associated with the EMT transition. These results highlight αvβ6 receptors as privileged access points for dual-targeting molecular conjugates engaged in an efficient and precise strategy against non-small cell lung cancer.</t>
  </si>
  <si>
    <t>Drug delivery/ADC study, not therapeutic vaccine identification.</t>
  </si>
  <si>
    <t>Asadollahi, Elahe; Zomorodipour, Alireza; Soheili, Zahra-Soheila; Jahangiri, Babak; Sadeghizadeh, Majid</t>
  </si>
  <si>
    <t>Development of a multi-neoepitope vaccine targeting non-small cell lung cancer through reverse vaccinology and bioinformatics approaches</t>
  </si>
  <si>
    <t>10.3389/fimmu.2025.1521700</t>
  </si>
  <si>
    <t>INTRODUCTION: Lung cancer, predominantly non-small cell lung cancer (NSCLC), is the leading cause of cancer-related mortality worldwide. Among immunotherapeutic strategies, the personalized multi-neoepitope vaccine (MNEV) offers a promising approach for managing advanced-stage NSCLC. METHODS: We used reverse vaccinology, immunoinformatics, and bioinformatics to design an MNEV targeting lung cancer in murine (LL/2) cells. Whole exome sequencing (WES) and RNA sequencing data from human and mouse NSCLC cell lines were analyzed to select neoantigens, which were evaluated for their ability to stimulate B cells, helper T lymphocytes (HTLs), and cytotoxic T lymphocytes (CTLs). Molecular docking studies estimated the binding affinity of mouse neoepitopes with MHC class I, MHC class II, and B-cell receptors. Suitable linkers were selected to construct the MNEV, with the 50S L7/L12 ribosomal protein sequence included as an adjuvant to enhance immune responses. The immunoglobulin kappa (Igκ) chain signal peptide was incorporated to improve secretion efficiency. The stability of the final MNEV construct in complex with TLR3, TLR4, and TLR9 was confirmed through binding analysis and refinement of the best-predicted 3D model. To evaluate the immunological efficacy of the MNEV, female C57BL/6 mice were immunized subcutaneously. Immune responses were assessed by measuring total IgG levels in serum using enzyme-linked immunosorbent assay (ELISA) and quantifying IFN-γ and granzyme B levels in the supernatant of cultured splenocytes. The proportions of CD19+ B cells and CD4+ and CD8+ T cells were determined using flow cytometric analysis. RESULTS: In silico evaluations indicated that the MNEV is non-toxic, non-allergenic, and stable, exhibiting high-affinity interactions with B lymphocytes, CTLs, and HTLs. Immunization with the MNEV significantly increased serum IgG levels. Flow cytometry analysis revealed higher percentages of CD19+ B cells and CD4+ and CD8+ T cells. Furthermore, splenocytes from immunized mice showed a marked increase in IFN-γ and granzyme B secretion compared to control groups. DISCUSSION: This study demonstrates that the MNEV induces a robust strong immune response, highlighting its potential as a promising approach for cancer prevention and immunotherapy, particularly for NSCLC. Furthermore, it provides a foundation for developing neoepitope-based vaccines against various malignancies, guiding future research in cancer vaccine development through advanced computational methods in immunology and oncology.</t>
  </si>
  <si>
    <t>Wu, Jieheng; Zhang, Qiaoling; Wu, Jiangwei; Yang, Zeyang; Liu, Xinlei; Lou, Chunju; Wang, Xuanyin; Peng, Jiangying; Zhang, Jinyuan; Shang, Zhenling; Xiao, Jing; Wang, Nianxue; Zhang, Ruya; Zhou, Jinyao; Wang, Yun; Hu, Zuquan; Zhang, Rui; Zhang, Jian; Zeng, Zhu</t>
  </si>
  <si>
    <t>IL-8 from CD248-expressing cancer-associated fibroblasts generates cisplatin resistance in non-small cell lung cancer</t>
  </si>
  <si>
    <t>10.1111/jcmm.18185</t>
  </si>
  <si>
    <t>Chemotherapy-resistant non-small cell lung cancer (NSCLC) presents a substantial barrier to effective care. It is still unclear how cancer-associated fibroblasts (CAFs) contribute to NSCLC resistance to chemotherapy. Here, we found that CD248+ CAFs released IL-8 in NSCLC, which, in turn, enhanced the cisplatin (CDDP) IC50 in A549 and NCI-H460 while decreasing the apoptotic percentage of A549 and NCI-H460 in vitro. The CD248+ CAFs-based IL-8 secretion induced NSCLC chemoresistance by stimulating nuclear factor kappa B (NF-κB) and elevating ATP-binding cassette transporter B1 (ABCB1). We also revealed that the CD248+ CAFs-based IL-8 release enhanced cisplatin chemoresistance in NSCLC mouse models in vivo. Relative to wild-type control mice, the CD248 conditional knockout mice exhibited significant reduction of IL-8 secretion, which, in turn, enhanced the therapeutic efficacy of cisplatin in vivo. In summary, our study identified CD248 activates the NF-κB axis, which, consecutively induces the CAFs-based secretion of IL-8, which promotes NSCLC chemoresistance. This report highlights a potential new approach to enhancing the chemotherapeutic potential of NSCLC-treating cisplatin.</t>
  </si>
  <si>
    <t>Focuses on chemoresistance mechanisms, not neoantigen discovery or vaccines.</t>
  </si>
  <si>
    <t>Herrera, Leana Rich M.</t>
  </si>
  <si>
    <t>Reverse Vaccinology Approach in Constructing a Multi-Epitope Vaccine Against Cancer-Testis Antigens Expressed in Non-Small Cell Lung Cancer</t>
  </si>
  <si>
    <t>Asian Pacific journal of cancer prevention: APJCP</t>
  </si>
  <si>
    <t>10.31557/APJCP.2021.22.5.1495</t>
  </si>
  <si>
    <t>BACKGROUND: The 5-year survival rate of non-small cell lung cancer (NSCLC) patients has not significantly improved despite advancements in the currently applied treatments. Thus, efforts are put forth in developing novel immunotherapeutic agents targeting cancer-testis antigens (CTA) in NSCLC. This work utilized reverse vaccinology approach in designing a novel multi-epitope vaccine targeting melanoma-associated antigen 3 (MAGEA3), MAGEA4, New York esophageal squamous cell carcinoma-1 (NY-ESO-1), and Kita-Kyushu lung cancer antigen 1 (KK-LC1), being the most frequently expressed CTAs in NSCLC. METHODS: Epitopes were mapped from the sequences of CTAs. The population coverage (PC) of identified CD4+ and CD8+ epitopes were estimated. Candidate linear B cell (BL), CD4+, and CD8+ epitopes were adjoined in a multi-epitope construct (Mvax) with flagellin domain as an adjuvant. Antigenicity, and cross-reactivity of Mvax were examined. The tertiary structure of Mvax was modelled, and validated. All epitopes included in the vaccine were docked with their human leukocyte antigen (HLA) binders. The immunogenicity of epitopes in Mvax was validated through molecular dynamics analysis. RESULTS: Mvax contains 22 epitopes from MAGEA3, MAGEA4, NY-ESO-1, and KK-LC1. It is classified as antigenic, non-allergen, non-toxic, and possesses physicochemical stability. Epitopes have no significant hits with other human proteins, except for 2 other CTAs frequently expressed in NSCLC. The stretch of BL epitopes in Mvax confers flexibility, and accessibility emphasizing its antigenicity. The tertiary structure analysis showed that Mvax model has good structural quality. All epitopes included in the vaccine are highly immunogenic as indicated by favorable binding affinity, low binding energy, and acceptable root-mean-square deviation (RMSD). CD4+ and CD8+ epitopes have global PC of 81.81%, and 84.15%, respectively. CONCLUSION: Overall, in silico evaluations show that Mvax is a potential immunotherapeutic agent against NSCLC.</t>
  </si>
  <si>
    <t>Targets CTAs (MAGE, NY-ESO-1, KK-LC1), not mutation-derived neoantigens. Uses a detailed immunoinformatic prediction stack (Reverse Vaccinology).</t>
  </si>
  <si>
    <t>Takamori, Shinkichi; Haratake, Naoki; Bhattacharya, Atrayee; Kikutake, Chie; Ozawa, Hiroki; Shigeta, Keisuke; Nakashoji, Ayako; Isozaki, Hideko; Shimokawa, Mototsugu; Suyama, Mikita; Hashinokuchi, Asato; Takada, Kazuki; Toyokawa, Gouji; Yamada, Yuichi; Takenaka, Tomoyoshi; Taguchi, Kenichi; Yamaguchi, Masafumi; Yoshizumi, Tomoharu; Hata, Aaron N.; Kufe, Donald</t>
  </si>
  <si>
    <t>MUCIN 1 confers inflammatory memory of tyrosine kinase inhibitor resistance in non-small cell lung cancer</t>
  </si>
  <si>
    <t>Signal Transduction and Targeted Therapy</t>
  </si>
  <si>
    <t>10.1038/s41392-025-02482-7</t>
  </si>
  <si>
    <t>Resistance of NSCLCs to osimertinib, an EGFR tyrosine kinase inhibitor (TKI), is mediated by pleotropic mechanisms that pose a significant challenge for subsequent treatment. We report that the oncogenic MUC1-C/M1C protein confers resistance to osimertinib by regulating the STAT1 and interferon (IFN) type I/II pathways. Studies of osimertinib-resistant NSCLC cell lines selected for growth in the absence of drug demonstrate dependence on MUC1-C and the STAT1 pathway for memory of the refractory phenotype. This inflammatory memory of TKI resistance is mediated through activation of the MUC1 gene at (i) a proximal enhancer-like signature 1 (pELS-1) by MUC1-C and STAT1 and (ii) a pELS-2 by MUC1-C, JUN/AP-1, and PBAF. Our results further reveal that the MUC1-C-driven STAT1 inflammatory response promotes resistance of patient-derived (i) EGFR mutant NSCLC cells with MET amplification to the combination of osimertinib+MET TKIs, and (ii) EGFR(T790M/C797S) NSCLC cells to the 4th generation EGFR TKI TQB3804. Of clinical significance, we report that NSCLC cells dependent on MUC1-C for TKI resistance are druggable with an antibody-drug conjugate (M1C ADC) in vitro and in a PDX tumor model. These findings demonstrate that MUC1-C (i) is essential for TKI resistance of NSCLC cells by driving an inflammatory memory response and (ii) is a target for M1C ADC treatment of TKI-refractory NSCLCs.</t>
  </si>
  <si>
    <t>Mechanistic study on TKI resistance and ADC therapy; lacks neoantigen discovery.</t>
  </si>
  <si>
    <t>Qu, Hongying; Li, Rong; Liu, Zhiyue; Zhang, Junyi; Luo, Rongcheng</t>
  </si>
  <si>
    <t>Prognostic value of cancer stem cell marker CD133 expression in non-small cell lung cancer: a systematic review</t>
  </si>
  <si>
    <t>International Journal of Clinical and Experimental Pathology</t>
  </si>
  <si>
    <t>OBJECTIVE: To investigate the correlation between CD133-positive non-small cell lung cancer (NSCLC) and clinicopathological features and its impact on survival. METHODS: A search in the Pubmed, Embase and Wanfang databases (up to July 15, 2013) was performed. Only articles in which CD133 antigen was detected in situ localization by immunohistochemical staining were included. This meta-analysis was done using RevMan 5.2 software. Outcomes included overall survival and various clinicopathological features. RESULTS: A total of 1004 NSCLC patients from 11 studies were included. Meta-analysis showed that CD133 expression patients had a significant worse 5-year overall survival compared to the low expression ones (RR = 3.19, 95% CI: 2.05-4.98, P&lt;0.0001 fixed random). With respect to clinicopathological features, CD133 expression by IHC method was closely correlated with tumor T stage (OR = 0.91, 95% CI: 0.59-1.39, P = 0.67 fixed-effect) and tumor grade (OR = 1.20, 95% CI: 0.80-1.79, P = 0.37 fixed-effect). CONCLUSION: CD133-positive NSCLC patients had worse prognosis, and was associated with common clinicopathological poor prognostic factors.</t>
  </si>
  <si>
    <t>Meta-analysis, not primary research. Targets a wild-type TAA (CD133), not mutation-derived neoantigens.</t>
  </si>
  <si>
    <t>Shirasawa, Masayuki; Yoshida, Tatsuya; Shiraishi, Kouya; Goto, Naoko; Yagishita, Shigehiro; Imabayashi, Tatsuya; Matsumoto, Yuji; Masuda, Ken; Shinno, Yuki; Okuma, Yusuke; Goto, Yasushi; Horinouchi, Hidehito; Yotsukura, Masaya; Yoshida, Yukihiro; Nakagawa, Kazuo; Naoki, Katsuhiko; Tsuchida, Takaaki; Hamamoto, Ryuji; Yamamoto, Noboru; Motoi, Noriko; Kohno, Takashi; Watanabe, Shun-Ichi; Ohe, Yuichiro</t>
  </si>
  <si>
    <t>Tumor microenvironment-mediated immune profiles and efficacy of anti-PD-L1 antibody plus chemotherapy stratified by DLL3 expression in small-cell lung cancer</t>
  </si>
  <si>
    <t>British Journal of Cancer</t>
  </si>
  <si>
    <t>10.1038/s41416-023-02427-3</t>
  </si>
  <si>
    <t>BACKGROUND: Delta-like ligand 3 (DLL3) is a therapeutic target in small-cell lung cancer (SCLC). However, how DLL3 expression status affects the tumor microenvironment (TME) and clinical outcomes in SCLC remains unclear. METHODS: This retrospective study included patients with postoperative limited-stage (LS)-SCLC and extensive-stage (ES)-SCLC treated with platinum and etoposide (PE) plus anti-programmed cell death ligand 1 (PD-L1) antibody. We investigated the relationship of DLL3 expression with TME, mutation status, tumor neoantigens, and immunochemotherapy. RESULTS: In the LS-SCLC cohort (n = 59), whole-exome sequencing revealed that DLL3High cases had significantly more neoantigens (P = 0.004) and a significantly higher rate of the signature SBS4 associated with smoking (P = 0.02) than DLL3Low cases. Transcriptome analysis in the LS-SCLC cohort revealed that DLL3High cases had significantly suppressed immune-related pathways and dendritic cell (DC) function. SCLC with DLL3High had significantly lower proportions of T cells, macrophages, and DCs than those with DLL3Low. In the ES-SCLC cohort (n = 30), the progression-free survival associated with PE plus anti-PD-L1 antibody was significantly worse in DLL3High cases than in DLL3Low cases (4.7 vs. 7.4 months, P = 0.01). CONCLUSIONS: Although SCLC with DLL3High had a higher neoantigen load, these tumors were resistant to immunochemotherapy due to suppressed tumor immunity by inhibiting antigen-presenting functions.</t>
  </si>
  <si>
    <t>Focuses on DLL3-driven immune suppression, not vaccine development. It provides a vital insight: a high Neoantigen Load (found here in 
 cases) does not always guarantee immunotherapy success if Dendritic Cell (DC) function is suppressed</t>
  </si>
  <si>
    <t>Ye, Yiwang</t>
  </si>
  <si>
    <t>Postoperative transient elevation of serum cancer antigen 125 in non-small cell lung cancer patients</t>
  </si>
  <si>
    <t>Revista Da Associacao Medica Brasileira</t>
  </si>
  <si>
    <t>10.1590/1806-9282.67.01.20200102</t>
  </si>
  <si>
    <t>OBJECTIVE: The aim of this retrospective study was to investigate the correlation of transiently elevated postoperative serum cancer antigen 125 levels and prognosis in patients with non-small cell lung cancer. METHODS: A total of 181 non-small cell lung cancer patients with normal levels of preoperative serum cancer antigen 125 were statistically summarized in this study. RESULTS: Out of the analyzed patients, 22 (12.2%) showed elevation of serum cancer antigen 125 within one month after surgery. Serum cancer antigen 125 level decreased to normal at three months postoperation. Serum cancer antigen 125 was positively correlated with pro-brain natriuretic peptide in non-small cell lung cancer postoperative patients (p=0.00035). Univariate analysis did not find significant difference in disease progression survival between those who experienced cancer antigen 125 elevation in the early postoperation and those who did not (p=0.646). CONCLUSIONS: In conclusion, transient elevation of cancer antigen 125 is associated to pro-brain natriuretic peptide increase after pulmonary surgery in non-small cell lung cancer patients.</t>
  </si>
  <si>
    <t>Prognostic biomarker study, not therapeutic vaccine identification.</t>
  </si>
  <si>
    <t>McCann, Katy; von Witzleben, Adrian; Thomas, Jaya; Wang, Chuan; Wood, Oliver; Singh, Divya; Boukas, Konstantinos; Bendjama, Kaidre; Silvestre, Nathalie; Nielsen, Finn Cilius; Thomas, Gareth; Sanchez-Elsner, Tilman; Greenbaum, Jason; Schoenberger, Stephen; Peters, Bjoern; Vijayanand, Pandurangan; Savelyeva, Natalia; Ottensmeier, Christian</t>
  </si>
  <si>
    <t>Targeting the tumor mutanome for personalized vaccination in a TMB low non-small cell lung cancer</t>
  </si>
  <si>
    <t>10.1136/jitc-2021-003821</t>
  </si>
  <si>
    <t>BACKGROUND: Cancer is characterized by an accumulation of somatic mutations, of which a significant subset can generate cancer-specific neoepitopes that are recognized by autologous T cells. Such neoepitopes are emerging as important targets for cancer immunotherapy, including personalized cancer vaccination strategies. METHODS: We used whole-exome and RNA sequencing analysis to identify potential neoantigens for a patient with non-small cell lung cancer. Thereafter, we assessed the autologous T-cell reactivity to the candidate neoantigens using a long peptide approach in a cultured interferon gamma ELISpot and tracked the neoantigen-specific T-cells in the tumor by T-cell receptor (TCR) sequencing. In parallel, identified gene variants were incorporated into a Modified Vaccinia Ankara-based vaccine, which was evaluated in the human leucocyte antigen A*0201 transgenic mouse model (HHD). RESULTS: Sequencing revealed a tumor with a low mutational burden: 2219 sequence variants were identified from the primary tumor, of which 23 were expressed in the transcriptome, involving 18 gene products. We could demonstrate spontaneous T-cell responses to 5/18 (28%) mutated gene variants, and further analysis of the TCR repertoire of neoantigen-specific CD4+ and CD8+ T cells revealed TCR clonotypes that were expanded in both blood and tumor tissue. Following vaccination of HHD mice, de novo T-cell responses were generated to 4/18 (22%) mutated gene variants; T cells reactive against two variants were also evident in the autologous setting. Subsequently, we determined the major histocompatibility complex restriction of the T-cell responses and used in silico prediction tools to determine the likely neoepitopes. CONCLUSIONS: Our study demonstrates the feasibility of efficiently identifying tumor-specific neoantigens that can be targeted by vaccination in tumors with a low mutational burden, promising successful clinical exploitation, with trials currently underway.</t>
  </si>
  <si>
    <t>Zhu, Kaibin; Chen, Lantao; He, Changjun; Lang, Yaoguo; Kong, Xianglong; Qu, Changfa; Xu, Shidong</t>
  </si>
  <si>
    <t>Prediction of Pleural Invasion in Challenging Non-Small-Cell Lung Cancer Patients Using Serum and Imaging Markers</t>
  </si>
  <si>
    <t>Disease Markers</t>
  </si>
  <si>
    <t>10.1155/2020/6430459</t>
  </si>
  <si>
    <t>Introduction. Preoperative detection of pleural invasion in lung cancer patients is key to curative surgical treatment. We tried to predict pleural invasion in non-small-cell lung cancer patients with &lt;100 ml pleural fluid. METHODS: Patients admitted from August 1, 2011, to December 31, 2018, were retrospectively retrieved. Records of serum and imaging markers were analyzed. RESULTS: Among 7004 patients who received surgery, 43 cases with &lt;100 ml pleural fluid who had pleural invasion were included, and another 108 cases without pleural invasion were enrolled as controls. There were no differences in squamous cell carcinoma antigen (SCC) or neuron-specific enolase (NSE) values between the pleural invasion and noninvasion groups (p = 0.30 and 0.14, respectively), but there were significant differences in carcinoembryonic antigen (CEA) and cytokeratin 19 fragment (CYFRA21-1) values (p = 0.30 and 0.14, respectively), but there were significant differences in carcinoembryonic antigen (CEA) and cytokeratin 19 fragment (CYFRA21-1) values (p = 0.30 and 0.14, respectively), but there were significant differences in carcinoembryonic antigen (CEA) and cytokeratin 19 fragment (CYFRA21-1) values (p = 0.30 and 0.14, respectively), but there were significant differences in carcinoembryonic antigen (CEA) and cytokeratin 19 fragment (CYFRA21-1) values (p = 0.30 and 0.14, respectively), but there were significant differences in carcinoembryonic antigen (CEA) and cytokeratin 19 fragment (CYFRA21-1) values (p = 0.30 and 0.14, respectively), but there were significant differences in carcinoembryonic antigen (CEA) and cytokeratin 19 fragment (CYFRA21-1) values (p = 0.30 and 0.14, respectively), but there were significant differences in carcinoembryonic antigen (CEA) and cytokeratin 19 fragment (CYFRA21-1) values (. CONCLUSIONS: Serum CEA and CYFRA21-1, location of original lung cancer (right mid lobe), maximum diameter, CT-detectable pleural fluid, pleural sign by CT, and PET/CT-predicted pleural invasion were good markers for the prediction of pleural invasion in non-small-cell lung cancer patients.</t>
  </si>
  <si>
    <t>Focuses on clinical TAAs (CEA, CYFRA), not mutation-derived neoantigens</t>
  </si>
  <si>
    <t>Dong, Yu; Xu, Tao; Li, Dongfan; Guo, Hua; Du, Xusheng; Li, Guangshun; Chen, Jiakuan; Wang, Bo; Wang, Peng; Yu, Gang; Zhao, Xuan; Xue, Ruiqi</t>
  </si>
  <si>
    <t>NLR family CARD domain containing 5 promotes hypoxia-induced cancer progress and carboplatin resistance by activating PI3K/AKT via carcinoembryonic antigen related cell adhesion molecule 1 in non-small cell lung cancer</t>
  </si>
  <si>
    <t>Bioengineered</t>
  </si>
  <si>
    <t>10.1080/21655979.2022.2086375</t>
  </si>
  <si>
    <t>It is well known that non-small cell lung cancer (NSCLC) is a malignant tumor with high incidence in the world. We aimed to clarify a possible target and identify its precise molecular biological mechanism in NSCLC. NLR family CARD domain containing 5 (NLRC5) is widely expressed in tissues and exerts a vital role in anti-tumor immunity. We determined NLRC5 expression by RT-qPCR and western blot assay. The role of NLRC5 in the development of NSCLC was assessed by a loss-of-function assay. CCK-8, Annexin-V-FITC/PI Apoptosis Detection Kit, Transwell, and wound healing assays were used to determine the cell functions. Drug resistance-related proteins were analyzed by western blot assay. Furthermore, the modulation of NLRC5 on carcinoembryonic antigen-related cell adhesion molecule 1 (CEACAM1) expression and subsequent PI3K/AKT signaling was assessed. In this study, a hyper-expression of NLRC5 was found in NSCLC tissues and cell lines. Knockdown of NLRC5 suppressed cell viability, invasion, and migration, and furthermore promoted cell apoptosis in NSCLC cells. Moreover, under normoxia or hypoxia treatment, the upregulation of NLRC5 was related to carboplatin resistance. NLRC5 silencing increased carboplatin-resistant cell chemosensitivity, as evidenced by the increase in the cell inhibition rate and decrease in drug resistance-related protein expression. Mechanistically, NLRC5 knockdown inhibited the expression of CEACAM1 and subsequently blocked the PI3K/AKT signaling pathway. In conclusion, NLRC5 promotes the malignant biological behaviors of NSCLC cells by activating the PI3K/AKT signaling pathway via the regulation of CEACAM1 expression under normoxia and hypoxia.</t>
  </si>
  <si>
    <t>Focuses on a TAA (CEACAM1) and signaling regulator (NLRC5).</t>
  </si>
  <si>
    <t>Mirandola, Leonardo; Figueroa, Jose A.; Phan, Tam T.; Grizzi, Fabio; Kim, Minji; Rahman, Rakhshanda Layeequr; Jenkins, Marjorie R.; Cobos, Everardo; Jumper, Cynthia; Alalawi, Raed; Chiriva-Internati, Maurizio</t>
  </si>
  <si>
    <t>Novel antigens in non-small cell lung cancer: SP17, AKAP4, and PTTG1 are potential immunotherapeutic targets</t>
  </si>
  <si>
    <t>Oncotarget</t>
  </si>
  <si>
    <t>10.18632/oncotarget.2802</t>
  </si>
  <si>
    <t>Lung cancer is the leading cause of cancer deaths in both genders worldwide, with an incidence only second to prostate cancer in men and breast cancer in women. The lethality of the disease highlights the urgent need for innovative therapeutic options. Immunotherapy can afford efficient and specific targeting of tumor cells, improving efficacy and reducing the side effects of current therapies. We have previously reported the aberrant expression of cancer/testis antigens (CTAs) in tumors of unrelated histological origin. In this study we investigated the expression and immunogenicity of the CTAs, Sperm Protein 17 (SP17), A-kinase anchor protein 4 (AKAP4) and Pituitary Tumor Transforming Gene 1 (PTTG1) in human non-small cell lung cancer (NSCLC) cell lines and primary tumors. We found that SP17, AKAP4 and PTTG1 are aberrantly expressed in cancer samples, compared to normal lung cell lines and tissues. We established the immunogenicity of these CTAs by measuring CTA-specific autoantibodies in patients' sera and generating CTA-specific autologous cytotoxic lymphocytes from patients' peripheral blood mononuclear cells. Our results provide proof of principle that the CTAs SP17/AKAP4/PTTG1 are expressed in both human NSCLC cell lines and primary tumors and can elicit an immunogenic response in lung cancer patients.</t>
  </si>
  <si>
    <t>Targets CTAs (SP17, AKAP4, PTTG1), not mutation-derived neoantigens</t>
  </si>
  <si>
    <t>Zhu, Jianwei; Li, Rui; Tiselius, Eva; Roudi, Raheleh; Teghararian, Olivia; Suo, Chen; Song, Huan</t>
  </si>
  <si>
    <t>Immunotherapy (excluding checkpoint inhibitors) for stage I to III non-small cell lung cancer treated with surgery or radiotherapy with curative intent</t>
  </si>
  <si>
    <t>The Cochrane Database of Systematic Reviews</t>
  </si>
  <si>
    <t>10.1002/14651858.CD011300.pub2</t>
  </si>
  <si>
    <t>BACKGROUND: Non-small cell lung cancer (NSCLC) is the most common lung cancer, accounting for approximately 80% to 85% of all cases. For patients with localised NSCLC (stages I to III), it has been speculated that immunotherapy may be helpful for reducing postoperative recurrence rates, or improving the clinical outcomes of current treatment for unresectable tumours. While several new agents have now entered phase III clinical trials, we felt a systematic review was needed to address the question of the effectiveness and safety of immunotherapy in patients with stages I to III NSCLC. OBJECTIVES: To evaluate the effectiveness and safety of immunotherapy (excluding checkpoint inhibitors) in patients with localised NSCLC (stages I to III) who received surgery or radiotherapy with curative intent. SEARCH METHODS: We searched the following databases (from inception to 20 January 2017): CENTRAL, MEDLINE, Embase, and CINAHL, and five trial registers. We also manually checked abstracts or reports from relevant conference proceedings and the reference lists of included trials. SELECTION CRITERIA: We searched for randomised controlled trials (RCTs) in adults (≥ 18 years) with histologically-confirmed early-stage (stages I to III) NSCLC after surgical resection, and those with unresectable locally advanced stage III NSCLC who had received radiotherapy with curative intent. For patients who had received primary surgical treatment, postoperative radiotherapy or chemoradiotherapy was allowed if it was used for both experimental and control groups. DATA COLLECTION AND ANALYSIS: Two review authors independently selected eligible trials, assessed risk of bias, and extracted data. We used survival analysis to pool time-to-event data, expressing the intervention effect as a hazard ratio (HR). We calculated risk ratios (RR) for dichotomous data, and mean differences for continuous data, with 95% confidence intervals (CI). Due to clinical heterogeneity (immunotherapeutic agents with different underlying mechanisms), we used random-effects models for our meta-analyses. MAIN RESULTS: We identified nine eligible trials that randomised 4940 participants, who had received surgical resection or curative radiotherapy, to either an immunotherapy group or a control group. Included immunological interventions were active immunotherapy (i.e. Bacillus Calmette-Guérin (BCG)), adoptive cell transfer (i.e. transfer factor (TF), tumour-infiltrating lymphocytes (TIL), dendritic cell-cytokine induced killer (DC-CIK), and antigen-specific cancer vaccines (melanoma-associated antigen 3 (MAGE-A3) and L-BLP25). Except for one small trial, which provided insufficient information for risk assessment, we assessed five studies at high risk of bias for at least one of the seven biases studied; we considered the risk of bias in the other three trials to be low. We included data from seven of the nine trials in the meta-analyses (4695 participants). We pooled data from 3693 participants from the three high quality RCTs to evaluate overall survival (OS) and progression-free survival (PFS). We found a small, but not statistically significant, improvement in OS (HR 0.94, 95% CI 0.83 to 1.06; P = 0.35), and PFS (HR 0.93, 95% CI 0.81 to 1.07; P = 0.19; high-quality evidence). The addition of immunotherapy resulted in a small, but not statistically significant, increased risk of having any adverse event (RR 1.15, 95% CI 0.97 to 1.37; P = 0.11, three trials, 3955 evaluated participants, moderate-quality evidence), or severe adverse events (RR 1.10, 95% CI 0.88 to 1.39; four trials, 4362 evaluated participants; low-quality evidence).We analysed data from six studies for one-, two-, and three-year survival rates (4265 participants), and from six studies for five-year survival rates (4234 participants). We observed no clear between-group differences (low-quality evidence for one- and two-year survival rates, and moderate-quality evidence for three- and five-year survival rate).No trial reported the overall response rates; only one trial provided health-related quality of life results. AUTHORS' CONCLUSIONS: The current literature does not provide evidence that suggests a survival benefit from adding immunotherapy (excluding checkpoint inhibitors) to conventional curative surgery or radiotherapy, for patients with localised NSCLC (stages I to III). The addition of vaccine-based immunotherapy might increase the risk of adverse events. Several ongoing trials with immune checkpoints inhibitors (PD-1/PD-L1) might bring new insights for role of immunotherapy for patients with stages I to III NSCLC.</t>
  </si>
  <si>
    <t>Systematic review, not primary research. Evaluates legacy immunotherapies; lacks neoantigen identification pipeline data.</t>
  </si>
  <si>
    <t>Li, Yalun; He, Yanqi; Qiu, Zhixin; Zhou, Bin; Shi, Shaoqin; Zhang, Kui; Luo, Yangkun; Huang, Qian; Li, Weimin</t>
  </si>
  <si>
    <t>CRTC2 and PROM1 expression in non-small cell lung cancer: analysis by Western blot and immunohistochemistry</t>
  </si>
  <si>
    <t>10.1007/s13277-014-2011-0</t>
  </si>
  <si>
    <t>Accumulating evidence supports that genetic factors are another risk factors for lung cancer. Previously, we used whole exome sequencing with sanger sequencing to search for genetic-related mutations in one of four individuals from a pedigree with lung cancer history. Then, we used PCR-RFLP and direct-sequence in the sample size of 318 individuals with lung cancer (cases) and 272 controls. Recently, we detected two new genes including CRTC2 (CREB regulated transcription coactivator 2) and PROM1(human prominin-1,CD133). We investigated the CRTC2 mutation and PROM1 mutation of surgically resected NSCLC tissues (n=200). The presence or absence of CRTC2 and PROM1 mutation was analyzed by direct sequencing. The expression of CRTC2 and PROM1 was studied by western blot and immunohistochemical analysis of the lung cancer tissues which had the mutation of the two genes(cases), the samples without mutations(controls) and the normal lung tissue(controls). CRTC2 and PROM1 mutations in 5 NSCLC tissues and 3 NSCLC tissues out of the samples were identified. The positive results were closely correlated with clinicopathological features, such as male gender, adenocarcinoma, smoker status, and older age (≥55). We found that the CRTC2 and PROM1 expression were significantly higher in tissues of NSCLS with mutations than that without mutations and the normal lung tissue. The results imply that the high expression of CRTC2 and PROM1 may play an important role in the development and hereditary of NSCLC.</t>
  </si>
  <si>
    <t>Targets hereditary markers and TAAs (CD133), not mutation-derived neoantigens</t>
  </si>
  <si>
    <t>Lu, Wei-Ting; Zalmas, Lykourgos-Panagiotis; Bailey, Chris; Black, James R. M.; Martinez-Ruiz, Carlos; Pich, Oriol; Gimeno-Valiente, Francisco; Usaite, Ieva; Magness, Alastair; Thol, Kerstin; Webber, Thomas A.; Jiang, Ming; Saunders, Rebecca E.; Liu, Yun-Hsin; Biswas, Dhruva; Ige, Esther O.; Aerne, Birgit; Grönroos, Eva; Venkatesan, Subramanian; Stavrou, Georgia; Karasaki, Takahiro; Al Bakir, Maise; Renshaw, Matthew; Xu, Hang; Schneider-Luftman, Deborah; Sharma, Natasha; Tovini, Laura; TRACERx Consortium; Jamal-Hanjani, Mariam; McClelland, Sarah E.; Litchfield, Kevin; Birkbak, Nicolai J.; Howell, Michael; Tapon, Nicolas; Fugger, Kasper; McGranahan, Nicholas; Bartek, Jiri; Kanu, Nnennaya; Swanton, Charles</t>
  </si>
  <si>
    <t>TRACERx analysis identifies a role for FAT1 in regulating chromosomal instability and whole-genome doubling via Hippo signalling</t>
  </si>
  <si>
    <t>Nature Cell Biology</t>
  </si>
  <si>
    <t>10.1038/s41556-024-01558-w</t>
  </si>
  <si>
    <t>Chromosomal instability (CIN) is common in solid tumours and fuels evolutionary adaptation and poor prognosis by increasing intratumour heterogeneity. Systematic characterization of driver events in the TRACERx non-small-cell lung cancer (NSCLC) cohort identified that genetic alterations in six genes, including FAT1, result in homologous recombination (HR) repair deficiencies and CIN. Using orthogonal genetic and experimental approaches, we demonstrate that FAT1 alterations are positively selected before genome doubling and associated with HR deficiency. FAT1 ablation causes persistent replication stress, an elevated mitotic failure rate, nuclear deformation and elevated structural CIN, including chromosome translocations and radial chromosomes. FAT1 loss contributes to whole-genome doubling (a form of numerical CIN) through the dysregulation of YAP1. Co-depletion of YAP1 partially rescues numerical CIN caused by FAT1 loss but does not relieve HR deficiencies, nor structural CIN. Importantly, overexpression of constitutively active YAP15SA is sufficient to induce numerical CIN. Taken together, we show that FAT1 loss in NSCLC attenuates HR and exacerbates CIN through two distinct downstream mechanisms, leading to increased tumour heterogeneity.</t>
  </si>
  <si>
    <t>focuses on tumor evolution mechanisms rather than neoantigen identification or vaccine development.</t>
  </si>
  <si>
    <t>Altan, Mehmet; Lopes, Gilberto; Hiltermann, T. Jeroen N.; Govindan, Ramaswamy; Villaruz, Liza C.; Calvo, Emiliano; Edelman, Martin J.; Furqan, Muhammad; Neal, Joel; Felip, Enriqueta; Carlisle, Jennifer W.; Heymach, John V.; O'Cearbhaill, Róisín Eilish; Zauderer, Marjorie; Chisamore, Michael; Corigliano, Ellie; Eleftheriadou, Ioanna; Zajic, Stefan; Jenkins, Ben; Goodison, Sophia; Suchindran, Sunil; Ramos-Hernandez, Natalia; Tarek, Nidale; Schoenfeld, Adam J.</t>
  </si>
  <si>
    <t>Safety and Tolerability of Letetresgene Autoleucel (GSK3377794): Pilot Studies in Patients with Advanced Non-Small Cell Lung Cancer</t>
  </si>
  <si>
    <t>Clinical Cancer Research: An Official Journal of the American Association for Cancer Research</t>
  </si>
  <si>
    <t>10.1158/1078-0432.CCR-24-1591</t>
  </si>
  <si>
    <t>PURPOSE: The study aims to evaluate the safety, tolerability, and antitumor response of letetresgene autoleucel (lete-cel), genetically modified autologous T cells expressing a T-cell receptor specific for New York esophageal squamous cell carcinoma 1 (NY-ESO-1)/LAGE-1a shared epitope, alone or in combination with pembrolizumab, in HLA-A*02-positive (HLA-A*02:01, HLA-A*02:05, and/or HLA-A*02:06) patients with NY-ESO-1- and/or LAGE-1a-positive non-small cell lung cancer. PATIENTS AND METHODS: Study 208749 was a single-arm study of lete-cel alone. Study 208471 was a multiarm study of lete-cel alone or in combination with pembrolizumab in patients with advanced or recurrent non-small cell lung cancer. RESULTS: More than 2,500 patients were screened for target expression. In the multiarm study, 738 (45%) of 1,638 tested patients were HLA-A*02-positive. NY-ESO-1 and LAGE-1a testing was positive in 12% (62/525) and 4% (15/348) of tested patients, respectively. Forty-one patients positive for HLA-A*02 and antigen expression were screened in the single-arm study. Overall, 43 patients underwent leukapheresis and 18 received lete-cel across studies. Lete-cel demonstrated a manageable safety profile. No fatal treatment-related serious adverse events (AE) were reported in either study. Cytopenias and cytokine release syndrome were the most common treatment-emergent AEs. Combining pembrolizumab with lete-cel did not seem to increase toxicity over lete-cel alone. Limited antitumor activity was observed; one of 18 patients had a durable response persisting for 18 months. Pharmacokinetic data showed similar T-cell expansion in all patients. CONCLUSIONS: Extensive HLA-A*02 and antigen expression testing was performed to identify potential participants. Lete-cel was generally well tolerated and had no unexpected AEs. Antitumor activity was observed in a limited number of patients.</t>
  </si>
  <si>
    <t>Targets shared CTAs (NY-ESO-1/LAGE-1a), not mutation-derived neoantigens.</t>
  </si>
  <si>
    <t>Lai, Yanzhen; Wang, Yu; Wu, Yaxian; Wu, Meng; Xing, Shan; Xie, Ying; Chen, Shulin; Li, Xiaohui; Zhang, Ao; He, Yi; Li, Huilan; Dai, Shuqin; Wang, Junye; Lin, Shudai; Bai, Yunmeng; Du, Hongli; Liu, Wanli</t>
  </si>
  <si>
    <t>Identification and Validation of Serum CST1 as a Diagnostic Marker for Differentiating Early-Stage Non-Small Cell Lung Cancer from Pulmonary Benign Nodules</t>
  </si>
  <si>
    <t>Cancer Control: Journal of the Moffitt Cancer Center</t>
  </si>
  <si>
    <t>10.1177/10732748221104661</t>
  </si>
  <si>
    <t>BACKGROUND: Effective means for early diagnosis are imperative to reduce death rate of non-small cell lung cancer (NSCLC) patients. We aimed to find out high-performance serologic markers to distinguish early-stage NSCLC patients from benign pulmonary nodule patients and healthy controls (HC). Cystatin-SN (CST1) is an active cysteine protease inhibitor of the CST superfamily, involving in the processes of inflammation and tumorigenesis. This is the first exploration of the diagnostic and prognostic values of serum CST1 in NSCLC. METHODS: We analyzed the transcriptome data from The Cancer Genome Atlas and the Gene Expression Omnibus database, screened biomarkers for NSCLC, and verified the candidate markers via the ONCOMINE database. Then, we performed ELISA, western blotting, and immunohistochemistry analysis to detect the expression levels of CST1 in NSCLC cell lines, tumor tissues, and serum samples of clinical cohorts. RESULTS: We identified 3 up-regulated secreted protein-encoding genes, validated the expression levels of CST1 in NSCLC tumor tissues and cell lines, and found that serum CST1 levels of NSCLC (4289 ± 2405 pg/mL) were significantly higher than those of PBN patients (1558 ± 441 pg/mL, P &lt; .0001) and healthy controls (1529 ± 416 pg/mL, P &lt; .0001). The AUC of the combination of CST1, Cytokeratin 19 fragment (Cyfra21-1), and Carcinoembryonic antigen (CEA) for distinguishing early-stage NSCLC from PBN/HC was as high as .914/0.925. Furthermore, our results suggested that the NSCLC patient with low serum CST1 level had a better survival rate. CONCLUSIONS: Serum CST1 may serve as a novel diagnostic marker for differentiating early-stage NSCLC from PBN and HC, and could be used as a prognosis predictor in NSCLC patients.</t>
  </si>
  <si>
    <t>Focuses on TAAs (CST1, CEA), not mutation-derived neoantigens. Diagnostic biomarker study, not therapeutic vaccine identification.</t>
  </si>
  <si>
    <t>Li, Fenge; Deng, Ligang; Jackson, Kyle R.; Talukder, Amjad H.; Katailiha, Arjun S.; Bradley, Sherille D.; Zou, Qingwei; Chen, Caixia; Huo, Chong; Chiu, Yulun; Stair, Matthew; Feng, Weihong; Bagaev, Aleksander; Kotlov, Nikita; Svekolkin, Viktor; Ataullakhanov, Ravshan; Miheecheva, Natalia; Frenkel, Felix; Wang, Yaling; Zhang, Minying; Hawke, David; Han, Ling; Zhou, Shuo; Zhang, Yan; Wang, Zhenglu; Decker, William K.; Sonnemann, Heather M.; Roszik, Jason; Forget, Marie-Andree; Davies, Michael A.; Bernatchez, Chantale; Yee, Cassian; Bassett, Roland; Hwu, Patrick; Du, Xueming; Lizee, Gregory</t>
  </si>
  <si>
    <t>Neoantigen vaccination induces clinical and immunologic responses in non-small cell lung cancer patients harboring EGFR mutations</t>
  </si>
  <si>
    <t>10.1136/jitc-2021-002531</t>
  </si>
  <si>
    <t>BACKGROUND: Neoantigen (NeoAg) peptides displayed at the tumor cell surface by human leukocyte antigen molecules show exquisite tumor specificity and can elicit T cell mediated tumor rejection. However, few NeoAgs are predicted to be shared between patients, and none to date have demonstrated therapeutic value in the context of vaccination. METHODS: We report here a phase I trial of personalized NeoAg peptide vaccination (PPV) of 24 stage III/IV non-small cell lung cancer (NSCLC) patients who had previously progressed following multiple conventional therapies, including surgery, radiation, chemotherapy, and tyrosine kinase inhibitors (TKIs). Primary endpoints of the trial evaluated feasibility, tolerability, and safety of the personalized vaccination approach, and secondary trial endpoints assessed tumor-specific immune reactivity and clinical responses. Of the 16 patients with epidermal growth factor receptor (EGFR) mutations, nine continued TKI therapy concurrent with PPV and seven patients received PPV alone. RESULTS: Out of 29 patients enrolled in the trial, 24 were immunized with personalized NeoAg peptides. Aside from transient rash, fatigue and/or fever observed in three patients, no other treatment-related adverse events were observed. Median progression-free survival and overall survival of the 24 vaccinated patients were 6.0 and 8.9 months, respectively. Within 3-4 months following initiation of PPV, seven RECIST-based objective clinical responses including one complete response were observed. Notably, all seven clinical responders had EGFR-mutated tumors, including four patients that had continued TKI therapy concurrently with PPV. Immune monitoring showed that five of the seven responding patients demonstrated vaccine-induced T cell responses against EGFR NeoAg peptides. Furthermore, two highly shared EGFR mutations (L858R and T790M) were shown to be immunogenic in four of the responding patients, all of whom demonstrated increases in peripheral blood neoantigen-specific CD8+ T cell frequencies during the course of PPV. CONCLUSIONS: These results show that personalized NeoAg vaccination is feasible and safe for advanced-stage NSCLC patients. The clinical and immune responses observed following PPV suggest that EGFR mutations constitute shared, immunogenic neoantigens with promising immunotherapeutic potential for large subsets of NSCLC patients. Furthermore, PPV with concurrent EGFR inhibitor therapy was well tolerated and may have contributed to the induction of PPV-induced T cell responses.</t>
  </si>
  <si>
    <t>Wu, Jieheng; Liu, Xinlei; Wu, Jiangwei; Lou, Chunju; Zhang, Qiaoling; Chen, Huiping; Yang, Zeyang; Long, Shiqi; Wang, Yun; Shang, Zhenling; Hu, Zuquan; Zhang, Rui; Zhang, Jian; Zeng, Zhu</t>
  </si>
  <si>
    <t>CXCL12 derived from CD248-expressing cancer-associated fibroblasts mediates M2-polarized macrophages to promote nonsmall cell lung cancer progression</t>
  </si>
  <si>
    <t>Biochimica Et Biophysica Acta. Molecular Basis of Disease</t>
  </si>
  <si>
    <t>10.1016/j.bbadis.2022.166521</t>
  </si>
  <si>
    <t>Nonsmall cell lung cancer (NSCLC) is among the most prevalent malignant tumours threatening human health. In the tumour microenvironment (TME), cancer-associated fibroblasts (CAFs) induce M2-polarized macrophages, which strongly regulate tumour progression. However, little is known about the association between CAFs and M2 macrophages. CD248 is a transmembrane glycoprotein found in several cancer cells, tumour stromal cells, and pericytes. Here, we isolated CAFs from tumour tissues of NSCLC patients to detect the relationship between CD248 expression and patient prognosis. We knocked down the expression of CD248 on CAFs to detect CXCL12 secretion and macrophage polarization. We then examined the effects of CD248-expressing CAF-induced M2 macrophage polarization to promote NSCLC progression in vitro and in vivo. We found that CD248 is expressed mainly in NSCLC-derived CAFs and that the expression of CD248 correlates with poor patient prognosis. Blocking CXCL12 receptor (CXCR4) drastically decreased M2 macrophage chemotaxis. CD248 promotes CAFs secreting CXCL12 to mediate M2-polarized macrophages to promote NSCLC progression both in vitro and in vivo. Collectively, our data suggest that CD248-positive CAFs induce NSCLC progression by mediating M2-polarized macrophages.</t>
  </si>
  <si>
    <t>it focuses on tumor microenvironment crosstalk rather than neoantigen identification or vaccine development</t>
  </si>
  <si>
    <t>Song, Yongchun; Sun, Yanqin; Lei, Yingying; Yang, Kui; Tang, Ruixiang</t>
  </si>
  <si>
    <t>YAP1 promotes multidrug resistance of small cell lung cancer by CD74-related signaling pathways</t>
  </si>
  <si>
    <t>Cancer Medicine</t>
  </si>
  <si>
    <t>10.1002/cam4.2668</t>
  </si>
  <si>
    <t>BACKGROUND: Our previous research found that YAP1 may have a role in multidrug resistance (MDR) in small cell lung cancer (SCLC). However, its underlying mechanism is unknown. METHODS: In this study, we investigated the expression of YAP1 using immunohistochemical staining and assessed the relationship between the expression of YAP1 and overall survival in patients with SCLC. We established H69 stable cell lines that overexpressed constitutively active YAP1 and H446 stable cell lines that dominate negative YAP1. We conducted CCK-8, flow cytometric analysis, and in vivo chemosensitivity experiments to evaluate the function of YAP1 in drug sensitivity apoptosis in vitro and in vivo. RESULTS: The results indicated that patients with high YAP1 expression have shorter survival rates and more advanced disease stage than those with low YAP1 expression. YAP1 may induce MDR by inhibiting the apoptosis of SCLC. YAP1 induced MDR when YAP1 was hyperactivated, and drug sensitivity increased when YAP1 was inhibited in vitro and in vivo. CD74 was significantly correlated with YAP1 in SCLC samples. Inhibition of CD74 using ISO-1 increased drug sensitivity significantly. CONCLUSIONS: The expression of YAP1 is significantly correlated with overall survival and disease stage in patients with SCLC. YAP1 may play an important role in these patients. We were the first to report that YAP1 can induce MDR in SCLC in vitro and in vivo. CD74 may be involved in YAP1-induced MDR.</t>
  </si>
  <si>
    <t>Small Cell Lung Cancer (SCLC); not Human NSCLC. Focuses on signaling proteins (YAP1) and TAAs (CD74), not neoantigens.</t>
  </si>
  <si>
    <t>Lin, Xiuhua; Tang, Shichuan; Guo, Yutong; Tang, Ruijing; Li, Zhenli; Pan, Xinting; Chen, Geng; Qiu, Liman; Dong, Xiuqing; Zhang, Ling; Liu, Xiaolong; Cai, Zhixiong; Xie, Baosong</t>
  </si>
  <si>
    <t>Personalized neoantigen vaccine enhances the therapeutic efficacy of bevacizumab and anti-PD-1 antibody in advanced non-small cell lung cancer</t>
  </si>
  <si>
    <t>10.1007/s00262-023-03598-x</t>
  </si>
  <si>
    <t>Clinically, a considerable number of non-small cell lung cancer (NSCLC) patients are unable to receive or resist chemotherapy, and the efficacy of non-chemotherapy treatment strategies based on anti-angiogenic agents combined with immune checkpoint blockade is still unsatisfactory. Neoantigen vaccine, based on personalized tumor DNA mutations, could elicit tumor specific T cell infiltration into the tumor site, exerting potent anti-tumor efficacy. Here, we evaluated the feasibility and safety of a new antitumor strategy by adding neoantigen vaccine to the regimen of bevacizumab and anti-PD-1 antibody. Firstly, 7 novel immunogenic neoantigen peptides were identified and developed for neoantigen vaccine (LLCvac), which can elicit strong antitumor immune response in vivo. Then, in orthotopic lung cancer model, LLCvac further combining with bevacizumab and anti-PD-1 antibody exerted a stronger antitumor effect, exhibiting significant decrease of tumor volume without obvious toxicity. Furthermore, tumor immune microenvironment assessment also showed that the proportion of neoantigen-specific T cells in blood could be induced dramatically by the combined therapy. And a large amount of neoantigen-specific Ki67-positive CD8+ T cells were found in tumor tissues, which infiltrated tumor tissues effectively to kill tumor cells expressing identified neoantigens. Overall, these results suggested that this combined therapy could safely induce robust antitumor efficacy, serving as an effective chemotherapy-free strategy for NSCLC treatment.</t>
  </si>
  <si>
    <t>Patel, Manish R.; Jacobson, Blake A.; Belgum, Holly; Raza, Ahmad; Sadiq, Ahad; Drees, Jeremy; Wang, Hengbing; Jay-Dixon, Joseph; Etchison, Ryan; Federspiel, Mark J.; Russell, Stephen J.; Kratzke, Robert A.</t>
  </si>
  <si>
    <t>Measles vaccine strains for virotherapy of non-small-cell lung carcinoma</t>
  </si>
  <si>
    <t>10.1097/JTO.0000000000000214</t>
  </si>
  <si>
    <t>INTRODUCTION: Oncolytic virus therapy is a promising therapy for numerous tumor types. Edmonston-strain measles virus (MV) has been tested in clinical trials for ovarian cancer, glioma, and myeloma. Therefore, the antitumor activity of MV against non-small-cell lung cancer (NSCLC) was assessed. METHODS: Human NSCLC cells and immortalized lung epithelial cell lines, Beas2B, were infected with either MV-producing green fluorescent protein or MV-producing carcinoembryonic antigen. Cells were assessed for viability, induction of apoptosis by caspase and poly-ADP ribose polymerase cleavage, and for viral transgene production. The dependency of MV entry on CD46 and nectin-4 were determined using blocking antibodies. The role of host translational activity on viral replication was assessed by overexpression of eIF4E and translation inhibition. Antitumor activity was assessed by measuring treated NSCLC xenografts from flanks of nude mice. RESULTS: MV infection of NSCLC cells results in potent cell killing in most of the cell lines compared with immortalized Beas2B cells and induces apoptosis. MV infection was prevented by blocking of CD46, however independent of nectin-4 blockade. Tumor weights are diminished after intratumoral injections of MV-producing carcinoembryonic antigen in one of two cell lines and result in detectable viral transgene in serum of mice. CONCLUSIONS: These data indicate that MV is oncolytic for human NSCLC and this was independent of nectin-4 expression. Dysregulated protein translational machinery may play a role in determining tumor tropism in NSCLC. MV combined with gemcitabine could be explored further as chemovirotherapy for NSCLC.</t>
  </si>
  <si>
    <t>Targets a TAA (CEA), not mutation-derived neoantigens. Oncolytic virus study focused on viral entry/lysis, not neoantigen discovery.</t>
  </si>
  <si>
    <t>Zhou, Dandan; Zhai, Xiuming; Zhang, Ruixue</t>
  </si>
  <si>
    <t>Ribonucleotide reductase regulatory subunit M2 (RRM2) as a potential sero-diagnostic biomarker in non-small cell lung cancer</t>
  </si>
  <si>
    <t>PloS One</t>
  </si>
  <si>
    <t>10.1371/journal.pone.0291461</t>
  </si>
  <si>
    <t>OBJECTIVES: Non-small cell lung cancer (NSCLC) is a major cause of cancer-related death worldwide. Most cases are diagnosed at an advanced stage using current tumor markers. Here, we aimed to identify potential novel potential biomarkers for NSCLC. MATERIAL/METHODS: Four independent datasets from the Gene Expression Omnibus database were analyzed. The relative expression of ribonucleotide reductase regulatory subunit M2 (RRM2) mRNA in 30 paired of NSCLC paired tissues was measured by reverse transcription quantitative PCR. Serum levels of cytokeratin fragment 21-1 (CYFRA21-1), pro-gastrin-releasing peptide (ProGRP), carcinoembryonic antigen (CEA), and neuron-specific enolase (NSE) were measured using electrochemiluminescence immunoassays, and serum RRM2 levels were evaluated by an enzyme-linked immunosorbent assay. RESULTS: The mRNA expression level of RRM2 was significantly increased in most NSCLC lesions compared to para-adjacent tissues. Serum RRM2 levels in NSCLC patients were significantly elevated compared to healthy controls and were also associated with distant metastasis and histological type, but not with tumor size or lymph node metastasis. Receiver operating characteristic curve analysis showed a higher diagnostic ratio for NSCLC using RRM2 alone compared to other traditional tumor markers. CONCLUSIONS: RRM2 is a potential sero-diagnostic biomarker for NSCLC.</t>
  </si>
  <si>
    <t>Targets RRM2 (a TAA), not mutation-derived neoantigens. Diagnostic/prognostic biomarker study, not therapeutic vaccine identification.</t>
  </si>
  <si>
    <t>Kuang, Linwu; Zhang, Yuchen; Wang, Hao; Wang, Peng; Li, Yangkai</t>
  </si>
  <si>
    <t>Prognostic factors influencing overall survival in stage IV EGFR-mutant NSCLC patients treated with EGFR-TKIs</t>
  </si>
  <si>
    <t>BMC pulmonary medicine</t>
  </si>
  <si>
    <t>10.1186/s12890-025-03569-1</t>
  </si>
  <si>
    <t>BACKGROUND: Epidermal growth factor receptor tyrosine kinase inhibitors (EGFR-TKIs) are the established first-line treatment for non-small cell lung cancer (NSCLC) patients with epidermal growth factor receptor (EGFR) mutations, but survival advantages in advanced-stage cases remain modest and show interpatient variability. This study seeks to delineate real-world survival outcomes in stage IV EGFR-mutant NSCLC patients undergoing treatment with EGFR-TKIs and to identify independent prognostic factors impacting overall survival (OS). The findings are expected to be a reference for clinicians in managing advanced lung cancer patients. METHODS: Clinical characteristics from advanced EGFR-mutant NSCLC patients who received EGFR-TKIs were retrospectively analyzed to investigate the association between clinical factors and overall survival. RESULTS: The median OS was 40.60 months (95% confidence interval: 34.72-46.48 months), with expected 1-, 3-, and 5-year OS of 87.2%, 57.8%, and 34.0%, respectively. Patients exhibiting specific characteristics, such as being under 60 years old, having stage IVA disease, adenocarcinoma histology, no liver or brain metastases, negative for neuron-specific enolase (NSE), carcinoembryonic antigen (CEA), cytokeratin fragment 19 (CYFRA 21 - 1), progastrin-releasing peptide (ProGRP), and those who received chemotherapy and radiotherapy exhibited significantly longer survival times compared to patients with the opposite characteristics (being 60 years or older, having stage IVB or IVC disease, non-adenocarcinoma histology, presence of liver or brain metastases, positive for CEA, NSE, ProGRP, CYFRA 21 - 1, and not receiving chemotherapy or radiotherapy) (P &lt; 0.05). Cox univariate and multivariate analyses identified pathological type, liver metastasis, brain metastasis, NSE, CYFRA 21 - 1, EGFR-TKIs type, radiotherapy, and chemotherapy as independent prognostic factors for patients with stage IV NSCLC treated with EGFR-TKIs. CONCLUSIONS: Pathological type, liver metastasis, brain metastasis, NSE, and CYFRA 21 - 1 were identified as independent risk factors for stage IV NSCLC patients treated with EGFR-TKIs, while chemotherapy and radiotherapy were determined to be independent protective factors. Taking icotinib or gefitinib, as opposed to osimertinib, was an independent risk factor for advanced NSCLC patients.</t>
  </si>
  <si>
    <t>Focuses on clinical TAAs (CEA, NSE), not mutation-derived neoantigens. Prognostic study for TKI therapy, not therapeutic vaccine identification</t>
  </si>
  <si>
    <t>Blumenschein, George R.; Devarakonda, Siddhartha; Johnson, Melissa; Moreno, Victor; Gainor, Justin; Edelman, Martin J.; Heymach, John V.; Govindan, Ramaswamy; Bachier, Carlos; Doger de Spéville, Bernard; Frigault, Matthew J.; Olszanski, Anthony J.; Lam, Vincent K.; Hyland, Natalie; Navenot, Jean-Marc; Fayngerts, Svetlana; Wolchinsky, Zohar; Broad, Robyn; Batrakou, Dzmitry; Pentony, Melissa M.; Sanderson, Joseph P.; Gerry, Andrew; Marks, Diane; Bai, Jane; Holdich, Tom; Norry, Elliot; Fracasso, Paula M.</t>
  </si>
  <si>
    <t>Phase I clinical trial evaluating the safety and efficacy of ADP-A2M10 SPEAR T cells in patients with MAGE-A10+ advanced non-small cell lung cancer</t>
  </si>
  <si>
    <t>10.1136/jitc-2021-003581</t>
  </si>
  <si>
    <t>BACKGROUND: ADP-A2M10 specific peptide enhanced affinity receptor (SPEAR) T cells (ADP-A2M10) are genetically engineered autologous T cells that express a high-affinity melanoma-associated antigen A10 (MAGE-A10)-specific T-cell receptor (TCR) targeting MAGE-A10+ tumors in the context of human leukocyte antigen (HLA)-A*02. ADP-0022-003 was a phase I dose-escalation trial that aimed to evaluate the safety and antitumor activity of ADP-A2M10 in non-small cell lung cancer (NSCLC) (NCT02592577). METHODS: Eligible patients were HLA-A*02 positive with advanced NSCLC expressing MAGE-A10. Patients underwent apheresis; T cells were isolated, transduced with a lentiviral vector containing the TCR targeting MAGE-A10, and expanded. Patients underwent lymphodepletion with varying doses/schedules of fludarabine and cyclophosphamide prior to receiving ADP-A2M10. ADP-A2M10 were administered at 0.08-0.12×109 (dose group 1), 0.5-1.2×109 (dose group 2), and 1.2-15×109 (dose group 3/expansion) transduced cells. RESULTS: Eleven patients (male, n=6; female, n=5) with NSCLC (adenocarcinoma, n=8; squamous cell carcinoma, n=3) were treated. Five, three, and three patients received cells in dose group 1, dose group 2, and dose group 3/expansion, respectively. The most frequently reported grade ≥3 adverse events were lymphopenia (n=11), leukopenia (n=10), neutropenia (n=8), anemia (n=6), thrombocytopenia (n=5), and hyponatremia (n=5). Three patients presented with cytokine release syndrome (grades 1, 2, and 4, respectively). One patient received the highest dose of lymphodepletion (fludarabine 30 mg/m2 on days -5 to -2 and cyclophosphamide 1800 mg/m2 on days -5 to -4) prior to a second infusion of ADP-A2M10 and had a partial response, subsequently complicated by aplastic anemia and death. Responses included: partial response (after second infusion; one patient), stable disease (four patients), clinical or radiographic progressive disease (five patients), and not evaluable (one patient). ADP-A2M10 were detectable in peripheral blood and in tumor tissue. Peak persistence was higher in patients who received higher doses of ADP-A2M10. CONCLUSIONS: ADP-A2M10 demonstrated an acceptable safety profile and no evidence of toxicity related to off-target binding or alloreactivity. There was persistence of ADP-A2M10 in peripheral blood as well as ADP-A2M10 trafficking into the tumor. Given the discovery that MAGE-A10 and MAGE-A4 expression frequently overlap, this clinical program closed as trials with SPEAR T cells targeting MAGE-A4 are ongoing.</t>
  </si>
  <si>
    <t>Targets a shared CTA (MAGE-A10), not mutation-derived neoantigens.</t>
  </si>
  <si>
    <t>Lakes, Andrew L.; An, Dahlia D.; Gauny, Stacey S.; Ansoborlo, Camille; Liang, Benjamin H.; Rees, Julian A.; McKnight, Kristen D.; Karsunky, Holger; Abergel, Rebecca J.</t>
  </si>
  <si>
    <t>Evaluating 225Ac and 177Lu Radioimmunoconjugates against Antibody-Drug Conjugates for Small-Cell Lung Cancer</t>
  </si>
  <si>
    <t>Molecular Pharmaceutics</t>
  </si>
  <si>
    <t>10.1021/acs.molpharmaceut.0c00703</t>
  </si>
  <si>
    <t>Interest in the use of 225Ac for targeted alpha therapies has increased dramatically over the past few years, resulting in a multitude of new isotope production and translational research efforts. However, 225Ac radioimmunoconjugate (RIC) research is still in its infancy, with most prior experience in hematologic malignancies and only one reported preclinical solid tumor study using 225Ac RICs. In an effort to compare 225Ac RICs to other current antibody conjugates, a variety of RICs are tested against intractable small-cell lung cancer (SCLC). We directly compare, in vitro and in vivo, two promising candidates of each α or β- category, 225Ac and 177Lu, versus pyrrolobenzodiazepine (PBD) nonradioactive benchmarks. The monoclonal antibody constructs are targeted to either delta like 3 protein (DLL3), a recently discovered SCLC target, or CD46 as a positive control. An immunocompromised maximum tolerated dose assay is performed on NOD SCID mice, along with tumor efficacy proof-of-concept studies in vivo. We overview the conjugation techniques required to create serum-stable RICs and characterize and compare in vitro cell killing with RICs conjugated to nonspecific antibodies (huIgG1) with either native or site-specific thiol loci against tumor antigen DLL3-expressing and nonexpressing cell lines. Using patient-derived xenografts of SCLC onto NOD SCID mice, solid tumor growth was controlled throughout 3 weeks before growth appeared, in comparison to PBD conjugate controls. NOD SCID mice showed lengthened survival using 225Ac compared to 177Lu RICs, and PBD dimers showed full tumor suppression with nine out of ten mice. The exploration of RICs on a variety of antibody-antigen systems is necessary to direct efforts in cancer research toward promising candidates. However, the anti-DLL3-RIC system with 225Ac and 177Lu appears to be not as effective as the anti-DLL3-PBD counterpart in SCLC therapy with matched antibodies and portrays the challenges in both SCLC therapy as well as the specialized utility of RICs in cancer treatment.</t>
  </si>
  <si>
    <t xml:space="preserve">Small-Cell Lung Cancer (SCLC); not Human NSCLC.Targets TAAs (DLL3, CD46), not mutation-derived neoantigens. </t>
  </si>
  <si>
    <t>Zhou, Chi; Wei, Zhiting; Zhang, Zhanbing; Zhang, Biyu; Zhu, Chenyu; Chen, Ke; Chuai, Guohui; Qu, Sheng; Xie, Lu; Gao, Yong; Liu, Qi</t>
  </si>
  <si>
    <t>pTuneos: prioritizing tumor neoantigens from next-generation sequencing data</t>
  </si>
  <si>
    <t>Genome Medicine</t>
  </si>
  <si>
    <t>10.1186/s13073-019-0679-x</t>
  </si>
  <si>
    <t>BACKGROUND: Cancer neoantigens are expressed only in cancer cells and presented on the tumor cell surface in complex with major histocompatibility complex (MHC) class I proteins for recognition by cytotoxic T cells. Accurate and rapid identification of neoantigens play a pivotal role in cancer immunotherapy. Although several in silico tools for neoantigen prediction have been presented, limitations of these tools exist. RESULTS: We developed pTuneos, a computational pipeline for prioritizing tumor neoantigens from next-generation sequencing data. We tested the performance of pTuneos on the melanoma cancer vaccine cohort data and tumor-infiltrating lymphocyte (TIL)-recognized neopeptide data. pTuneos is able to predict the MHC presentation and T cell recognition ability of the candidate neoantigens, and the actual immunogenicity of single-nucleotide variant (SNV)-based neopeptides considering their natural processing and presentation, surpassing the existing tools with a comprehensive and quantitative benchmark of their neoantigen prioritization performance and running time. pTuneos was further tested on The Cancer Genome Atlas (TCGA) cohort data as well as the melanoma and non-small cell lung cancer (NSCLC) cohort data undergoing checkpoint blockade immunotherapy. The overall neoantigen immunogenicity score proposed by pTuneos is demonstrated to be a powerful and pan-cancer marker for survival prediction compared to traditional well-established biomarkers. CONCLUSIONS: In summary, pTuneos provides the state-of-the-art one-stop and user-friendly solution for prioritizing SNV-based candidate neoepitopes, which could help to advance research on next-generation cancer immunotherapies and personalized cancer vaccines. pTuneos is available at https://github.com/bm2-lab/pTuneos , with a Docker version for quick deployment at https://cloud.docker.com/u/bm2lab/repository/docker/bm2lab/ptuneos .</t>
  </si>
  <si>
    <t>Sterlacci, Willam; Savic, Spasenija; Fiegl, Michael; Obermann, Ellen; Tzankov, Alexandar</t>
  </si>
  <si>
    <t>Putative stem cell markers in non-small-cell lung cancer: a clinicopathologic characterization</t>
  </si>
  <si>
    <t>10.1097/JTO.0000000000000021</t>
  </si>
  <si>
    <t>INTRODUCTION: The cancer stem cell (CSC) theory postulates the existence of a distinct population of undifferentiated cells responsible for tumor initiation and maintenance. CSCs may be naturally resistant to the cytotoxic effect of radio-chemotherapy because of slow cell cycling, lower proliferation, and increased expression of DNA repair and antiapoptosis genes. To date, a universal marker for CSCs has not been identified. Proposed CSC markers are expressed both by cancer cells as well as by benign stem cells. Although many putative CSC markers exist, a precise characterization for non-small-cell lung cancer (NSCLC) is lacking. METHODS: We explored the expression of multiple alleged stemness associated markers in 371 surgically resected NSCLCs. Extensive clinical data and a postoperative follow-up period of up to 15 years enabled detailed clinicopathological correlations. ABCG5, ALDH1, CD24, CD44, CD133, CD166, epithelial cell adhesion molecule epitopes (ESA, MOC-31, Ber-EP4), nestin, OCT4, and sex-determining region Y-box 2 were analyzed immunohistochemically by using a standardized tissue microarray platform. RESULTS: Sex-determining region Y-box 2, CD44, ABCG5, ALDH1, and nestin were associated with poorer tumor differentiation and/or an increased proliferation index. ALDH1, CD44, and SOX2 were frequently found in squamous cell carcinoma, whereas CD24, CD166, and epithelial cell adhesion molecule markers were encountered in adenocarcinomas. CD44 expression was an independent marker associated with better overall survival in squamous cell carcinoma and Ber-EP4 was associated with tumor recurrences. CONCLUSION: The expression and prognostic significance of CSC markers obviously varies depending on histologic NSCLC subtype. Importantly, our findings suggest that CD44 and Ber-EP4 may be promising for ongoing targeted therapies in specific NSCLC subgroups.</t>
  </si>
  <si>
    <t>Targets CSC markers/TAAs, not mutation-derived neoantigens.</t>
  </si>
  <si>
    <t>Lin, Anqi; Zhang, Hongman; Meng, Hui; Deng, Ze; Gu, Tianqi; Luo, Peng; Zhang, Jian</t>
  </si>
  <si>
    <t>TNF-Alpha Pathway Alternation Predicts Survival of Immune Checkpoint Inhibitors in Non-Small Cell Lung Cancer</t>
  </si>
  <si>
    <t>10.3389/fimmu.2021.667875</t>
  </si>
  <si>
    <t>Translational research on immune checkpoint inhibitors (ICIs) has been underway. However, in the unselected population, only a few patients benefit from ICIs. Therefore, screening predictive markers of ICI efficacy has become the current focus of attention. We collected mutation and clinical data from an ICI-treated non-small cell lung cancer (NSCLC) cohort. Then, a univariate Cox regression model was used to analyze the relationship between tumor necrosis factor α signaling mutated (TNFα-MT) and the prognosis of immunotherapy for NSCLC. We retrospectively collected 36 NSCLC patients (local-cohort) from the Zhujiang Hospital of Southern Medical University and performed whole-exome sequencing (WES). The expression and mutation data of The Cancer Genome Atlas (TCGA)-NSCLC cohort were used to explore the association between TNFα-MT and the immune microenvironment. A local cohort was used to validate the association between TNFα-MT and immunogenicity. TNFα-MT was associated with significantly prolonged overall survival (OS) in NSCLC patients after receiving immunotherapy. Additionally, TNFα-MT is related to high immunogenicity (tumor mutational burden, neoantigen load, and DNA damage response signaling mutations) and enrichment of infiltrating immune cells. These results suggest that TNFα-MT may serve as a potential clinical biomarker for NSCLC patients receiving ICIs.</t>
  </si>
  <si>
    <t>Sua, Luz Fernanda; Serrano-Gomez, Silvia J.; Nuñez, Marcela; Amezquita-Dussan, María A.; Fernández-Trujillo, Liliana</t>
  </si>
  <si>
    <t>Diagnostic potential of protein serum biomarkers for distinguishing small and non-small cell lung cancer in patients with suspicious lung lesions</t>
  </si>
  <si>
    <t>Biomarkers: Biochemical Indicators of Exposure, Response, and Susceptibility to Chemicals</t>
  </si>
  <si>
    <t>10.1080/1354750X.2024.2360038</t>
  </si>
  <si>
    <t>BACKGROUND: Biomarkers play a role in identifying, managing, and predicting cancer outcomes. In lung cancer, they are used at various time points. Doubts remain regarding their accuracy for differential diagnosis and histological subtyping. A diagnostic test study was conducted. It included malignant lesions and controls with benign lesions. Before lung biopsy, all patients had the following biomarkers measured in serum (Pro-GRP,NSE,CYFRA21-1,SCC-Ag,CEA). METHODS: The predictive capacity of serum biomarkers was evaluated to discriminate between lung cancer and benign pathology. The accuracy was also assessed for distinguishing between SCLC and NSCLC and explored their ability to perform histological subtyping. RESULTS: 93 patients were included, 60 with lung cancer, 33 with benign pathology. Pro-GRP and NSE were elevated in SCLC compared with NSCLC or nonmalignant disease. The most accurate for differentiating between malignant and benign pathology were CEA and CYFRA21-1. Pro-GRP had a poor predictive capacity for distinguishing NSCLC from SCLC. However, combined with CEA and CYFRA21-1, performance improved. For SCLC, the diagnostic capacity of Pro-GRP increased by combining with biomarkers, such as NSE/CYFRA21-1. CONCLUSIONS: Biomarkers lacked the sensitivity and specificity for independent differential diagnosis or histological subtyping. However, the observed patterns in biomarker levels associated with specific histological subtypes suggest potential utility in a multi-biomarker approach or in conjunction with other diagnostic tools. This insight could guide future research to improve diagnostic accuracy and personalized treatment strategies in lung cancer.</t>
  </si>
  <si>
    <t>it  focuses on established Tumor-Associated Antigens rather than the somatic mutation-derived neoantigens required by the protocol.</t>
  </si>
  <si>
    <t>Barr, Martin P.; Gray, Steven G.; Hoffmann, Andreas C.; Hilger, Ralf A.; Thomale, Juergen; O'Flaherty, John D.; Fennell, Dean A.; Richard, Derek; O'Leary, John J.; O'Byrne, Kenneth J.</t>
  </si>
  <si>
    <t>Generation and characterisation of cisplatin-resistant non-small cell lung cancer cell lines displaying a stem-like signature</t>
  </si>
  <si>
    <t>10.1371/journal.pone.0054193</t>
  </si>
  <si>
    <t>INTRODUCTION: Inherent and acquired cisplatin resistance reduces the effectiveness of this agent in the management of non-small cell lung cancer (NSCLC). Understanding the molecular mechanisms underlying this process may result in the development of novel agents to enhance the sensitivity of cisplatin. METHODS: An isogenic model of cisplatin resistance was generated in a panel of NSCLC cell lines (A549, SKMES-1, MOR, H460). Over a period of twelve months, cisplatin resistant (CisR) cell lines were derived from original, age-matched parent cells (PT) and subsequently characterized. Proliferation (MTT) and clonogenic survival assays (crystal violet) were carried out between PT and CisR cells. Cellular response to cisplatin-induced apoptosis and cell cycle distribution were examined by FACS analysis. A panel of cancer stem cell and pluripotent markers was examined in addition to the EMT proteins, c-Met and β-catenin. Cisplatin-DNA adduct formation, DNA damage (γH2AX) and cellular platinum uptake (ICP-MS) was also assessed. RESULTS: Characterisation studies demonstrated a decreased proliferative capacity of lung tumour cells in response to cisplatin, increased resistance to cisplatin-induced cell death, accumulation of resistant cells in the G0/G1 phase of the cell cycle and enhanced clonogenic survival ability. Moreover, resistant cells displayed a putative stem-like signature with increased expression of CD133+/CD44+cells and increased ALDH activity relative to their corresponding parental cells. The stem cell markers, Nanog, Oct-4 and SOX-2, were significantly upregulated as were the EMT markers, c-Met and β-catenin. While resistant sublines demonstrated decreased uptake of cisplatin in response to treatment, reduced cisplatin-GpG DNA adduct formation and significantly decreased γH2AX foci were observed compared to parental cell lines. CONCLUSION: Our results identified cisplatin resistant subpopulations of NSCLC cells with a putative stem-like signature, providing a further understanding of the cellular events associated with the cisplatin resistance phenotype in lung cancer.</t>
  </si>
  <si>
    <t>Chemoresistance mechanism study; lacks neoantigen discovery for therapy.</t>
  </si>
  <si>
    <t>Reck, M.</t>
  </si>
  <si>
    <t>What future opportunities may immuno-oncology provide for improving the treatment of patients with lung cancer?</t>
  </si>
  <si>
    <t>10.1093/annonc/mds260</t>
  </si>
  <si>
    <t>Lung cancer is the leading cause of cancer-related mortality worldwide, with non-small-cell lung cancer (NSCLC) accounting for approximately 85% of all cases. Most patients with NSCLC are diagnosed at an advanced stage and have a poor prognosis, with a 5-year survival rate of &lt;5%. Despite the introduction of new chemotherapeutic agents and molecularly targeted drugs, outcomes remain poor, emphasising the need for new treatment approaches. Inducing or potentiating immune responses via immunotherapeutic manipulation is a viable treatment approach for lung cancer. Antigen-specific, tumour-cell, and dendritic cell-based vaccines have all been evaluated in lung cancer, and some have shown promising clinical activity in phase II trials. These include liposomal BLP25 vaccine (L-BLP25), which targets mucin 1, and melanoma-associated antigen 3 (MAGE-A3) antigen-specific cancer immunotherapeutic (ASCI), which targets MAGE-A3, a peptide expressed almost exclusively on tumour cells. MAGE-A3 ASCI is being evaluated in the adjuvant setting in a phase III trial of patients with early-stage NSCLC, while a phase III trial of L-BLP25 is enrolling patients with unresectable stage III NSCLC. T-cell modulating agents (e.g. antibodies against programmed death 1 and cytotoxic T-lymphocyte-associated antigen-4 [CTLA-4]) are also being investigated. For example, in patients with NSCLC treated with paclitaxel and carboplatin, the phased administration of ipilimumab (an antibody against CTLA-4) resulted in substantial improvements in immune-related progression-free survival compared with chemotherapy alone (5.7 versus 4.6 months; P = 0.05). Immunotherapy in lung cancer is starting to deliver promising results in clinical trials. However, further research will be required to establish the optimal timing of therapy (i.e. in the adjuvant or metastatic settings). In addition, it will be important to determine if immunotherapies are most effective when used alone or in combination with other agents.</t>
  </si>
  <si>
    <t>Narrative review, not primary research. Focuses on TAAs (MUC1, MAGE-A3), not mutation-derived neoantigens.</t>
  </si>
  <si>
    <t>Cieniewicz, Brandon; Bhatta, Ankit; Torabi, Damoun; Baichoo, Priya; Saxton, Mike; Arballo, Alexander; Nguyen, Linh; Thomas, Sunil; Kethar, Harini; Kukutla, Phanidhar; Shoaga, Omolola; Yu, Bi; Yang, Zhuo; Fate, Maria; Oliveira, Edson; Ning, Hongxiu; Corey, Lawrence; Corey, Daniel</t>
  </si>
  <si>
    <t>Chimeric TIM-4 receptor-modified T cells targeting phosphatidylserine mediates both cytotoxic anti-tumor responses and phagocytic uptake of tumor-associated antigen for T cell cross-presentation</t>
  </si>
  <si>
    <t>Molecular Therapy: The Journal of the American Society of Gene Therapy</t>
  </si>
  <si>
    <t>10.1016/j.ymthe.2023.05.009</t>
  </si>
  <si>
    <t>To leverage complementary mechanisms for cancer cell removal, we developed a novel cell engineering and therapeutic strategy co-opting phagocytic clearance and antigen presentation activity into T cells. We engineered a chimeric engulfment receptor (CER)-1236, which combines the extracellular domain of TIM-4, a phagocytic receptor recognizing the "eat me" signal phosphatidylserine, with intracellular signaling domains (TLR2/TIR, CD28, and CD3ζ) to enhance both TIM-4-mediated phagocytosis and T cell cytotoxic function. CER-1236 T cells demonstrate target-dependent phagocytic function and induce transcriptional signatures of key regulators responsible for phagocytic recognition and uptake, along with cytotoxic mediators. Pre-clinical models of mantle cell lymphoma (MCL) and EGFR mutation-positive non-small cell lung cancer (NSCLC) demonstrate collaborative innate-adaptive anti-tumor immune responses both in vitro and in vivo. Treatment with BTK (MCL) and EGFR (NSCLC) inhibitors increased target ligand, conditionally driving CER-1236 function to augment anti-tumor responses. We also show that activated CER-1236 T cells exhibit superior cross-presentation ability compared with conventional T cells, triggering E7-specific TCR T responses in an HLA class I- and TLR-2-dependent manner, thereby overcoming the limited antigen presentation capacity of conventional T cells. Therefore, CER-1236 T cells have the potential to achieve tumor control by eliciting both direct cytotoxic effects and indirect-mediated cross-priming.</t>
  </si>
  <si>
    <t>Kim, Gloria B.; Fritsche, Jens; Bunk, Sebastian; Mahr, Andrea; Unverdorben, Felix; Tosh, Kevin; Kong, Hong; Maldini, Colby R.; Lau, Chui; Srivatsa, Sriram; Jiang, Shuguang; Glover, Joshua; Dopkin, Derek; Zhang, Carolyn X.; Schuster, Heiko; Kowalewski, Daniel J.; Goldfinger, Valentina; Ott, Martina; Fuhrmann, David; Baues, Maike; Boesmueller, Hans; Schraeder, Christoph; Schimmack, Gisela; Song, Colette; Hoffgaard, Franziska; Roemer, Michael; Tsou, Chih-Chiang; Hofmann, Martin; Treiber, Thomas; Hutt, Meike; Alten, Leonie; Jaworski, Maike; Alpert, Amir; Missel, Sarah; Reinhardt, Carsten; Singh, Harpreet; Schoor, Oliver; Walter, Steffen; Wagner, Claudia; Maurer, Dominik; Weinschenk, Toni; Riley, James L.</t>
  </si>
  <si>
    <t>Quantitative immunopeptidomics reveals a tumor stroma-specific target for T cell therapy</t>
  </si>
  <si>
    <t>Science Translational Medicine</t>
  </si>
  <si>
    <t>10.1126/scitranslmed.abo6135</t>
  </si>
  <si>
    <t>T cell receptor (TCR)-based immunotherapy has emerged as a promising therapeutic approach for the treatment of patients with solid cancers. Identifying peptide-human leukocyte antigen (pHLA) complexes highly presented on tumors and rarely expressed on healthy tissue in combination with high-affinity TCRs that when introduced into T cells can redirect T cells to eliminate tumor but not healthy tissue is a key requirement for safe and efficacious TCR-based therapies. To discover promising shared tumor antigens that could be targeted via TCR-based adoptive T cell therapy, we employed population-scale immunopeptidomics using quantitative mass spectrometry across ~1500 tumor and normal tissue samples. We identified an HLA-A*02:01-restricted pan-cancer epitope within the collagen type VI α-3 (COL6A3) gene that is highly presented on tumor stroma across multiple solid cancers due to a tumor-specific alternative splicing event that rarely occurs outside the tumor microenvironment. T cells expressing natural COL6A3-specific TCRs demonstrated only modest activity against cells presenting high copy numbers of COL6A3 pHLAs. One of these TCRs was affinity-enhanced, enabling transduced T cells to specifically eliminate tumors in vivo that expressed similar copy numbers of pHLAs as primary tumor specimens. The enhanced TCR variants exhibited a favorable safety profile with no detectable off-target reactivity, paving the way to initiate clinical trials using COL6A3-specific TCRs to target an array of solid tumors.</t>
  </si>
  <si>
    <t>Gridelli, Cesare; Rossi, Antonio; Maione, Paolo; Ferrara, Marianna Luciana; Castaldo, Vincenzo; Sacco, Paola Claudia</t>
  </si>
  <si>
    <t>Vaccines for the treatment of non-small cell lung cancer: a renewed anticancer strategy</t>
  </si>
  <si>
    <t>The Oncologist</t>
  </si>
  <si>
    <t>10.1634/theoncologist.2009-0017</t>
  </si>
  <si>
    <t>Carcinoma of the lung is the leading cause of cancer death worldwide, with non-small cell lung cancer (NSCLC) constituting about 85% of all new diagnoses. Standard approaches for each NSCLC stage have reached a plateau in effectiveness. A variety of novel approaches are now being investigated to improve the outcome of this disease. Despite decades of research, no specific active cancer vaccine has, to date, been approved for NSCLC therapy; nevertheless, vaccine therapy has recently re-emerged as a potential therapeutic approach. In particular, several new paradigms have stemmed from recent clinical findings both in the use of combination therapy approaches with more sophisticated specific vaccines and in clinical trial design and endpoint analyses. Several vaccine therapies have been investigated in NSCLC, including in the early and advanced disease stages. The best results appear to be in the adjuvant settings and in locally advanced NSCLC. In fact, in these two settings, phase III randomized trials are ongoing evaluating the melanoma-associated antigen A3 vaccine and the liposomal BLP25 vaccine. This paper reviews the main clinical trials involving several different cancer vaccines employed in the treatment of early and advanced stage NSCLC, focusing on those in advanced stages of development.</t>
  </si>
  <si>
    <t>Historical clinical trial overview; lacks neoantigen identification pipeline data.</t>
  </si>
  <si>
    <t>Pan, Deng; Tang, Yubo; Tong, Jiao; Xie, Chengmei; Chen, Jiaxi; Feng, Chunchao; Hwu, Patrick; Huang, Wei; Zhou, Dapeng</t>
  </si>
  <si>
    <t>An antibody-drug conjugate targeting a GSTA glycosite-signature epitope of MUC1 expressed by non-small cell lung cancer</t>
  </si>
  <si>
    <t>10.1002/cam4.3554</t>
  </si>
  <si>
    <t>Antibodies targeting aberrantly glycosylated proteins are ineffective in treating cancer. Antibody-drug conjugates have emerged as effective alternatives, facilitating tumor-specific drug delivery. Previous studies have assessed the aberrantly glycosylated tandem repeat region of MUC1 glycoprotein as three site-specific glycosylated neoantigen peptide motifs (PDTR, GSTA, and GVTS) for binding with a monoclonal antibody. This study aimed to develop an antibody-drug conjugate for cancer treatment based on monoclonal antibodies against the aforementioned three neoantigen peptide motifs. Internalization of monoclonal antibodies was assessed via immunofluorescence staining and colocalization with lysosomal markers in live cells. Antibody positivity in tumor and peritumoral tissue samples was assessed via immunohistochemistry. The efficacy of anti-MUC1 ADCs was evaluated using various cancer cell lines and a mouse tumor xenograft model. An anti-MUC1 ADC was synthesized by conjugating GSTA neoantigen-specific 16A with monomethyl auristatin E (MMAE), which displayed potent antitumoral efficacy with an IC50 ranging 0.2-49.4 nM toward various cancer cells. In vivo, 16A-MMAE inhibited tumor growth in a dose-dependent manner in a mouse xenograft model established using the NCI-H838 NSCLC cell line, at a minimum effective dose of 1 mg/kg. At 3 mg/kg, 16A-MMAE did not cause significant toxicity in a transgenic mouse expressing human MUC1. The high antitumoral efficacy of 16A-MMAE suggests that aberrant glycosylated MUC1 neoantigen is a potential target for the development of ADCs for treating various cancers. Personalized therapy may be achieved through such glycosite-specific ADCs.</t>
  </si>
  <si>
    <t>targets PTM-modified TAAs (MUC1), not somatic mutations.</t>
  </si>
  <si>
    <t>Genet, Sylvia A. A. M.; van den Wildenberg, Sebastian A. H.; Broeren, Maarten A. C.; van Dongen, Joost L. J.; Brunsveld, Luc; Scharnhorst, Volkher; van de Kerkhof, Daan</t>
  </si>
  <si>
    <t>Quantification of the lung cancer tumor marker CYFRA 21-1 using protein precipitation, immunoaffinity bottom-up LC-MS/MS</t>
  </si>
  <si>
    <t>Clinical Chemistry and Laboratory Medicine</t>
  </si>
  <si>
    <t>10.1515/cclm-2023-0795</t>
  </si>
  <si>
    <t>OBJECTIVES: Numerous studies have proven the potential of cytokeratin 19 fragment 21-1 (CYFRA 21-1) detection in the (early) diagnosis and treatment monitoring of non-small cell lung cancer (NSCLC). Conventional immunoassays for CYFRA 21-1 quantification are however prone to interferences and lack diagnostic sensitivity and standardization. Liquid chromatography-tandem mass spectrometry (LC-MS/MS) is an emerging approach based on a different, often superior, detection principle, which may improve the clinical applicability of CYFRA 21-1 in cancer diagnostics. Therefore, we developed and validated a protein precipitation, immunoaffinity (IA) LC-MS/MS assay for quantitative analysis of serum CYFRA 21-1. METHODS: Selective sample preparation was performed using ammonium sulfate (AS) precipitation, IA purification, tryptic digestion and LC-MS/MS quantification using a signature peptide and isotopically labeled internal standard. The workflow was optimized and validated according to EMA guidelines and results were compared to a conventional immunoassay. RESULTS: Significant interference effects were seen during IA purification, which were sufficiently solved by performing AS precipitation prior to IA purification. A linear calibration curve was obtained in the range of 1.0-100 ng/mL (R2=0.98). Accuracy and precision were well within acceptance criteria. In sera of patients suspected of lung cancer, the method showed good correlation with the immunoassay. CONCLUSIONS: A robust AS precipitation-IA LC-MS/MS assay for the quantification of serum CYFRA 21-1 was developed. With this assay, the clinically added value of LC-MS/MS-based detection over immunoassays can be further explored.</t>
  </si>
  <si>
    <t>targets a TAA (CYFRA 21-1), not mutation-derived neoantigens.</t>
  </si>
  <si>
    <t>Gettinger, S. N.; Choi, J.; Mani, N.; Sanmamed, M. F.; Datar, I.; Sowell, Ryan; Du, Victor Y.; Kaftan, E.; Goldberg, S.; Dong, W.; Zelterman, D.; Politi, K.; Kavathas, P.; Kaech, S.; Yu, X.; Zhao, H.; Schlessinger, J.; Lifton, R.; Rimm, D. L.; Chen, L.; Herbst, R. S.; Schalper, K. A.</t>
  </si>
  <si>
    <t>A dormant TIL phenotype defines non-small cell lung carcinomas sensitive to immune checkpoint blockers</t>
  </si>
  <si>
    <t>Nature Communications</t>
  </si>
  <si>
    <t>10.1038/s41467-018-05032-8</t>
  </si>
  <si>
    <t>The biological determinants of sensitivity and resistance to immune checkpoint blockers are not completely understood. To elucidate the role of intratumoral T-cells and their association with the tumor genomic landscape, we perform paired whole exome DNA sequencing and multiplexed quantitative immunofluorescence (QIF) in pre-treatment samples from non-small cell lung carcinoma (NSCLC) patients treated with PD-1 axis blockers. QIF is used to simultaneously measure the level of CD3+ tumor infiltrating lymphocytes (TILs), in situ T-cell proliferation (Ki-67 in CD3) and effector capacity (Granzyme-B in CD3). Elevated mutational load, candidate class-I neoantigens or intratumoral CD3 signal are significantly associated with favorable response to therapy. Additionally, a "dormant" TIL signature is associated with survival benefit in patients treated with immune checkpoint blockers characterized by elevated TILs with low activation and proliferation. We further demonstrate that dormant TILs can be reinvigorated upon PD-1 blockade in a patient-derived xenograft model.</t>
  </si>
  <si>
    <t>Ricordel, Charles; Chaillot, L.; Vlachavas, E. I.; Logotheti, M.; Jouannic, A.; Desvallees, T.; Lecuyer, G.; Aubry, M.; Kontogianni, G.; Mastrokalou, C.; Jouan, F.; Jarry, U.; Corre, R.; Le Guen, Y.; Guillaudeux, T.; Lena, H.; Chatziioannou, A.; Pedeux, Rémy</t>
  </si>
  <si>
    <t>Genomic characteristics and clinical significance of CD56+ circulating tumor cells in small cell lung cancer</t>
  </si>
  <si>
    <t>Scientific Reports</t>
  </si>
  <si>
    <t>10.1038/s41598-023-30536-9</t>
  </si>
  <si>
    <t>Circulating tumor cells (CTC) have been studied in various solid tumors but clinical utility of CTC in small cell lung cancer (SCLC) remains unclear. The aim of the CTC-CPC study was to develop an EpCAM-independent CTC isolation method allowing isolation of a broader range of living CTC from SCLC and decipher their genomic and biological characteristics. CTC-CPC is a monocentric prospective non-interventional study including treatment-naïve newly diagnosed SCLC. CD56+ CTC were isolated from whole blood samples, at diagnosis and relapse after first-line treatment and submitted to whole-exome-sequencing (WES). Phenotypic study confirms tumor lineage and tumorigenic properties of isolated cells for the 4 patients analyzed with WES. WES of CD56+ CTC and matched tumor biopsy reveal genomic alteration frequently impaired in SCLC. At diagnosis CD56+ CTC were characterized by a high mutation load, a distinct mutational profile and a unique genomic signature, compared to match tumors biopsies. In addition to classical pathways altered in SCLC, we found new biological processes specifically affected in CD56+ CTC at diagnosis. High numeration of CD56+ CTC (&gt; 7/ml) at diagnosis was associated with ES-SCLC. Comparing CD56+ CTC isolated at diagnosis and relapse, we identify differentially altered oncogenic pathways (e.g. DLL3 or MAPK pathway). We report a versatile method of CD56+ CTC detection in SCLC. Numeration of CD56+ CTC at diagnosis is correlated with disease extension. Isolated CD56+ CTC are tumorigenic and show a distinct mutational profile. We report a minimal gene set as a unique signature of CD56+ CTC and identify new affected biological pathways enriched in EpCAM-independent isolated CTC in SCLC.</t>
  </si>
  <si>
    <t>Small Cell Lung Cancer (SCLC); not Human NSCLC. Genomic profiling of CTCs; lacks neoantigen discovery for therapy</t>
  </si>
  <si>
    <t>Wang, Hao; Meng, Ai-Min; Li, Sheng-Hua; Zhou, Xiao-Liang</t>
  </si>
  <si>
    <t>A nanobody targeting carcinoembryonic antigen as a promising molecular probe for non-small cell lung cancer</t>
  </si>
  <si>
    <t>Molecular Medicine Reports</t>
  </si>
  <si>
    <t>10.3892/mmr.2017.6677</t>
  </si>
  <si>
    <t>Carcinoembryonic antigen (CEA) is a biomarker and therapy target for non‑small cell lung cancer (NSCLC), which is the most common type of lung cancer. Nanobodies with high target specificity are promising candidates to function as anti‑CEA probes. In the present study, the targeting effects of an anti‑CEA nanobody obtained from phage display were investigated using technetium‑99 m (99mTc) and fluorescence labeling. In vitro binding and immunofluorescent staining assays, as well as in vivo blood clearance and biodistribution assays were performed. High specificity and affinity of the nanobody for CEA‑positive H460 cells was observed in vitro. The pharmacokinetics assay of the 99mTc‑nanobody in Wistar rats demonstrated that the nanobody had appropriate T1/2α and T1/2β, which were 20.2 and 143.5 min, respectively. The biodistribution assay using H460 xenograft‑bearing nude mice demonstrated a high ratio of signal in tumor compared with background, which confirmed that the nanobody may be useful as a molecular probe for CEA‑positive cancer, particularly in NSCLC.</t>
  </si>
  <si>
    <t>Targets a TAA (CEA), not mutation-derived neoantigens. Diagnostic imaging probe study, not therapeutic vaccine identification.</t>
  </si>
  <si>
    <t>Hall, Richard D.; Gray, Jhanelle E.; Chiappori, Alberto A.</t>
  </si>
  <si>
    <t>Beyond the standard of care: a review of novel immunotherapy trials for the treatment of lung cancer</t>
  </si>
  <si>
    <t>10.1177/107327481302000105</t>
  </si>
  <si>
    <t>BACKGROUND: Lung cancer is the most common cause of cancer-related death in the United States, yet traditional chemotherapy fails to provide long-term benefit for many patients. New approaches are needed to improve overall survival beyond the current standard of care. METHODS: This review discusses recent clinical trials using immunotherapy techniques to treat both non-small cell lung cancer (NSCLC) and small cell lung cancer (SCLC) and highlights ongoing immunotherapy research efforts at our center. RESULTS: For NSCLC, phase II clinical trials have examined allogeneic vaccines that target either mucin 1 (MUC1), epidermal growth factor or melanoma-associated antigen 3. These vaccines are now undergoing larger phase III trials. An autologous cellular therapy directed against transforming growth factor beta-2 and a recombinant protein with antitumor properties have also shown promise in prolonging survival in NSCLC in phase II trials. The monoclonal antibodies ipilimumab, BMS-936558 (anti-PD-1), and BMS936559 (anti-PD-L1) lead to enhanced T-cell-mediated antitumor effects and have produced objective responses in early-phase clinical trials. Studies for SCLC also exist, such as a novel vaccine therapy targeting p53. CONCLUSIONS: Recent clinical trials in lung cancer demonstrate the potential of immunotherapeutics to increase overall survival in patients with lung cancer compared with the current standard of care.</t>
  </si>
  <si>
    <t>Li, Rui; Fang, Fang; Jiang, Ming; Wang, Chenguang; Ma, Jiajia; Kang, Wenyao; Zhang, Qiuyan; Miao, Yuhui; Wang, Dong; Guo, Yugang; Zhang, Linnan; Guo, Yang; Zhao, Hui; Yang, De; Tian, Zhigang; Xiao, Weihua</t>
  </si>
  <si>
    <t>STAT3 and NF-κB are Simultaneously Suppressed in Dendritic Cells in Lung Cancer</t>
  </si>
  <si>
    <t>10.1038/srep45395</t>
  </si>
  <si>
    <t>Tumour-induced dendritic cell (DC) dysfunction plays an important role in cancer immune escape. However, the underlying mechanisms are not yet fully understood, reflecting the lack of appropriate experimental models both in vivo and in vitro. In the present study, an in vitro study model for tumour-induced DC dysfunction was established by culturing DCs with pooled sera from multiple non-small cell lung cancer (NSCLC) patients. The results demonstrated that tumour-induced human monocyte-derived DCs exhibited systematic functional deficiencies. Transcriptomics analysis revealed that the expression of major functional cluster genes, including the MHC class II family, cytokines, chemokines, and co-stimulatory molecules, was significantly altered in tumour-induced DCs compared to that in control cells. Further examination confirmed that both NF-κB and STAT3 signalling pathways were simultaneously repressed by cancer sera, suggesting that the attenuated NF-κB and STAT3 signalling could be the leading cause of DC dysfunction in cancer. Furthermore, reversing the deactivated NF-κB and STAT3 signalling could be a strategy for cancer immunotherapy.</t>
  </si>
  <si>
    <t xml:space="preserve">Focuses on DC signaling dysfunction, not neoantigen discovery or validation. BUT it can explain why even perfectly predicted neoantigens might fail in a clinical setting—the tumor microenvironment suppresses the very cells (DCs) needed to present them.  highlights a "systematic decrease" in MHC class II family genes and co-stimulatory molecules (CD80/CD86), which directly impacts the efficacy of neoantigen-based therapies. </t>
  </si>
  <si>
    <t>Singhal, Sunil; Stadanlick, Jason; Annunziata, Michael J.; Rao, Abhishek S.; Bhojnagarwala, Pratik S.; O'Brien, Shaun; Moon, Edmund K.; Cantu, Edward; Danet-Desnoyers, Gwenn; Ra, Hyun-Jeong; Litzky, Leslie; Akimova, Tatiana; Beier, Ulf H.; Hancock, Wayne W.; Albelda, Steven M.; Eruslanov, Evgeniy B.</t>
  </si>
  <si>
    <t>Human tumor-associated monocytes/macrophages and their regulation of T cell responses in early-stage lung cancer</t>
  </si>
  <si>
    <t>10.1126/scitranslmed.aat1500</t>
  </si>
  <si>
    <t>Data from mouse tumor models suggest that tumor-associated monocyte/macrophage lineage cells (MMLCs) dampen antitumor immune responses. However, given the fundamental differences between mice and humans in tumor evolution, genetic heterogeneity, and immunity, the function of MMLCs might be different in human tumors, especially during early stages of disease. Here, we studied MMLCs in early-stage human lung tumors and found that they consist of a mixture of classical tissue monocytes and tumor-associated macrophages (TAMs). The TAMs coexpressed M1/M2 markers, as well as T cell coinhibitory and costimulatory receptors. Functionally, TAMs did not primarily suppress tumor-specific effector T cell responses, whereas tumor monocytes tended to be more T cell inhibitory. TAMs expressing relevant MHC class I/tumor peptide complexes were able to activate cognate effector T cells. Mechanistically, programmed death-ligand 1 (PD-L1) expressed on bystander TAMs, as opposed to PD-L1 expressed on tumor cells, did not inhibit interactions between tumor-specific T cells and tumor targets. TAM-derived PD-L1 exerted a regulatory role only during the interaction of TAMs presenting relevant peptides with cognate effector T cells and thus may limit excessive activation of T cells and protect TAMs from killing by these T cells. These results suggest that the function of TAMs as primarily immunosuppressive cells might not fully apply to early-stage human lung cancer and might explain why some patients with strong PD-L1 positivity fail to respond to PD-L1 therapy.</t>
  </si>
  <si>
    <t>Cavalieri, Stefano; Morelli, Daniele; Martinetti, Antonia; Galli, Giulia; Nichetti, Federico; de Braud, Filippo; Platania, Marco</t>
  </si>
  <si>
    <t>Clinical implications for pro-GRP in small cell lung cancer. A single center experience</t>
  </si>
  <si>
    <t>10.5301/ijbm.5000305</t>
  </si>
  <si>
    <t>BACKGROUND: Recently, pro-gastrin-releasing peptide (pro-GRP) became available as an alternative sensitive, specific and reliable tumor marker for patients with small cell lung cancer (SCLC), both in limited (LD) and diffuse disease (DD). METHODS: We retrospectively analyzed pro-GRP, neuron-specific enolase (NSE) and CEA in patients with SCLC and non-small cell lung cancer (NSCLC). Serum pro-GRP level was measured with electrochemiluminescence at our laboratory (cutoff 77.8 pg/mL). Continuous variables were analyzed with the Mann-Whitney test, contingency data with Fisher's exact test. Receiver operator characteristic (ROC) curve analysis was performed to identify threshold values to set the highest sensitivity (Sn) and specificity (Sp) values. RESULTS: A total of 65 patients were studied (49 men, median age 67 years, range 27-79). Thirty-seven patients had SCLC (29 DD, 8 LD) and 28 advanced NSCLC. Median pro-GRP level was 919 pg/mL (range 22-147,350) in SCLC and 32 pg/mL (range 10-119.2) in NSCLC (p&lt;0.0001). NSE was 4.38-fold higher in SCLC patients (p = 0.0005); CEA did not reveal significant differences between groups. Pro-GRP Sn and Sp were 86.4% and 96.4%, respectively. With ROC curve analysis, a cutoff value of 329.3 pg/mL showed a Sn of 75.8% and Sp of 87.5% in discriminating DD from LD. Pro-GRP was not influenced by either liver metastases or renal impairment. CONCLUSIONS: Pro-GRP is sensitive for SCLC diagnosis. Since high marker levels are related to high disease burden, pro-GRP may have a negative prognostic significance. Follow-up studies are required to define its role in clinical practice in monitoring responses to treatment and early relapses.</t>
  </si>
  <si>
    <t>Focuses on TAAs (pro-GRP, NSE, CEA), not mutation-derived neoantigens</t>
  </si>
  <si>
    <t>Ho, Ming-Yi; Tang, Shye-Jye; Sun, Kuang-Hui; Yang, Winnie</t>
  </si>
  <si>
    <t>Immunotherapy for lung cancers</t>
  </si>
  <si>
    <t>Journal of Biomedicine &amp; Biotechnology</t>
  </si>
  <si>
    <t>10.1155/2011/250860</t>
  </si>
  <si>
    <t>Lung cancer is the leading cause of cancer-related deaths worldwide. Although treatment methods in surgery, irradiation, and chemotherapy have improved, prognosis remains unsatisfactory and developing new therapeutic strategies is still an urgent demand. Immunotherapy is a novel therapeutic approach wherein activated immune cells can specifically kill tumor cells by recognition of tumor-associated antigens without damage to normal cells. Several lung cancer vaccines have demonstrated prolonged survival time in phase II and phase III trials, and several clinical trials are under investigation. However, many clinical trials involving cancer vaccination with defined tumor antigens work in only a small number of patients. Cancer immunotherapy is not completely effective in eradicating tumor cells because tumor cells escape from host immune scrutiny. Understanding of the mechanism of immune evasion regulated by tumor cells is required for the development of more effective immunotherapeutic approaches against lung cancer. This paper discusses the identification of tumor antigens in lung cancer, tumor immune escape mechanisms, and clinical vaccine trials in lung cancer.</t>
  </si>
  <si>
    <t>It documents why early trials targeting shared antigens were "effective in only a small number of patients," providing the clinical rationale for the shift toward the personalized neoantigen approach</t>
  </si>
  <si>
    <t>Wu, L.-H.; Chen, L.; Wang, Q.-Y.; Wang, Y.-T.</t>
  </si>
  <si>
    <t>Correlation between HRCT signs and levels of CA125, SCCA, and NSE for different pathological types of lung cancer</t>
  </si>
  <si>
    <t>10.26355/eurrev_202305_32325</t>
  </si>
  <si>
    <t>OBJECTIVE: The aim of this study was to investigate the correlation between high-resolution CT (HRCT) signs and serum tumor markers, to improve the diagnostic level and identify different pathological types of lung cancer. PATIENTS AND METHODS: 102 patients with pathologically confirmed lung cancer were selected as the observation group. HRCT scan and serum tumor markers [cancer antigen 125 (CA125), squamous cell carcinoma antigen (SCCA), and neuron-specific enolase (NSE)] were performed to analyze the correlation. RESULTS: Among the 102 cases of lung cancer, 88 cases were of lobulation sign, 78 cases of speculation sign, 45 cases of pleural indentation sign, 35 cases of vessel tracking sign, and 34 cases of vacuole sign. CA125 had the highest concentration in lung adenocarcinoma (55.74±14.18) ng/ml, and SCCA had the highest concentration in lung squamous cell carcinoma (18.98±6.37) ng/ml. The concentration of NSE in small cell lung cancer was the highest (48.12±16.19) ng/ml. CONCLUSIONS: Pleural indentation sign and vacuole sign were more likely to happen in lung adenocarcinoma and lung squamous cell carcinoma, respectively. The significant increase of CA125, SCCA, and NSE concentrations suggested that lung cancer patients were more likely to suffer from lung adenocarcinoma, lung squamous cell carcinoma, and small cell lung cancer, respectively.</t>
  </si>
  <si>
    <t>While it involves NSCLC (adenocarcinoma and squamous cell carcinoma), it is a diagnostic study focused on imaging and serum protein markers rather than the genomic identification of neoantigens.</t>
  </si>
  <si>
    <t>Yu, Seong-Lan; Koo, Han; Lee, Se-In; Kang, JaeKu; Han, Young-Hyun; Yeom, Young Il; Lee, Dong Chul</t>
  </si>
  <si>
    <t>A Synthetic CPP33-Conjugated HOXA9 Active Domain Peptide Inhibits Invasion Ability of Non-Small Lung Cancer Cells</t>
  </si>
  <si>
    <t>Biomolecules</t>
  </si>
  <si>
    <t>10.3390/biom10111589</t>
  </si>
  <si>
    <t>Homeobox A9 (HOXA9) expression is associated with the aggressive growth of cancer cells and poor prognosis in lung cancer. Previously, we showed that HOXA9 can serve as a potential therapeutic target for the treatment of metastatic non-small cell lung cancer (NSCLC). In the present study, we have carried out additional studies toward the development of a peptide-based therapeutic agent. Vectors expressing partial DNA fragments of HOXA9 were used to identify a unique domain involved in the inhibition of NSCLC cell invasion. Next, we performed in vitro invasion assays and examined the expression of EMT-related genes in transfected NSCLC cells. The C-terminal fragment (HOXA9-C) of HOXA9 inhibited cell invasion and led to upregulation of CDH1 and downregulation of SNAI2 in A549 and NCI-H1299 cells. Reduced SNAI2 expression was consistent with the decreased binding of transcription factor NF-kB to the SNAI2 promoter region in HOXA9-C overexpressing cells. Based on the above results, we synthesized a cell-permeable peptide, CPP33-HADP (HOXA9 active domain peptide), for lung-specific delivery and tested its therapeutic efficiency. CPP33-HADP effectively reduced the invasion ability of NSCLC cells in both in vitro and in vivo mouse models. Our results suggest that CPP33-HADP has significant potential for therapeutic applications in metastatic NSCLC.</t>
  </si>
  <si>
    <t>Targets a wild-type signaling protein (HOXA9), not mutation-derived neoantigens.</t>
  </si>
  <si>
    <t>Li, Yuan; Shen, Xin; Wang, Xueming; Li, Aiping; Wang, Pengqi; Jiang, Pan; Zhou, Jianwei; Feng, Qing</t>
  </si>
  <si>
    <t>EGCG regulates the cross-talk between JWA and topoisomerase IIα in non-small-cell lung cancer (NSCLC) cells</t>
  </si>
  <si>
    <t>10.1038/srep11009</t>
  </si>
  <si>
    <t>(-)-epigallocatechin-3-gallate (EGCG) is a well-known cancer chemopreventive agent. The potential mechanisms include regulation of multiple molecules. Carcinogenesis in lung cancer is related to the imbalance of tumor suppressor and oncogene. JWA is a structurally novel microtubule-binding protein and is a potential tumor suppressor. DNA topoisomerase IIα is a nuclear enzyme that governs DNA topology and is usually highly expressed in many types of cancer. It serves as a target of anticancer drugs. In the current study, the regulation of JWA and topoisomerase IIα by EGCG, and thereafter the mutual interaction between them was investigated. The results revealed that EGCG up-regulated JWA while decreased topoisomerase IIα expression in both human non-small cell lung cancer (NSCLC) cells and an NSCLC xenograft mice model. There was a negative correlation between JWA and topoisomerase IIα in NSCLC as well as in human NSCLC tissue specimens. Topoisomerase IIα overexpression reduced JWA at the translational level. Meanwhile, JWA-induced topoisomerase IIα degradation was regulated both in the transcriptional and post-translational level. Interestingly, JWA and topoisomerase IIα regulated each other in the cells arrested in G2/M. Furthermore, JWA and topoisomerase IIα synergistically affected NCI-H460 cells invasion. These results may serve a novel mechanism for cancer prevention.</t>
  </si>
  <si>
    <t>Focuses on wild-type signaling proteins (JWA/Topoisomerase), not neoantigens.</t>
  </si>
  <si>
    <t>In Silico Approach in Designing a Novel Multi-Epitope Vaccine Candidate against Non-Small Cell Lung Cancer with Overexpressed G Protein-Coupled Receptor 56</t>
  </si>
  <si>
    <t>10.31557/APJCP.2020.21.8.2297</t>
  </si>
  <si>
    <t>BACKGROUND: Majority of cancer-related deaths worldwide is attributed to non-small cell lung cancer (NSCLC). G protein-coupled receptor 56 (GPR56) is overexpressed and associated in the progression of NSCLC. The aim of this study is to use immunoinformatics approach in designing a multi-epitope vaccine to target overexpressed GPR56 which can potentially activate antibody-mediated cell death mechanisms and inhibit pathways involved in the proliferation, migration and survival of NSCLC. METHODS: Herein, the reported overexpression of GPR56 was further investigated by conducting a differential gene expression analysis of NSCLC samples from GEO DataSets (GSE29249). Results confirmed significant overexpression of GPR56 in NSCLC compared to adjacent normal samples. A multi-epitope vaccine (Fvax) was constructed in silico by adjoining B lymphocytes (BL) and helper T lymphocytes (HTL) epitopes from the extracellular sequence of GPR56. Population coverage (PC) of HTL epitopes was also estimated. To enhance its immunogenicity, sequences of flagellin domains were fused as adjuvant. Fvax was evaluated in silico for antigenicity, allergenicity, peptide toxicity, physicochemical properties and cross-reactivity. Its tertiary structure was predicted, refined, and validated followed by structural epitope prediction. Lastly, Fvax DNA was optimized and cloned in silico. RESULTS: This is the first work to design a potential vaccine against GPR56-overexpressing NSCLC. Fvax has 3 BL and 7 HTL immunogenic epitopes on GPR56. In silico evaluations suggest that Fvax is antigenic, non-toxic, non-allergenic, stable, and has accessible BL epitopes with high PC worldwide for HTL epitopes. CONCLUSION: Overall, results showed that Fvax is a potential vaccine against NSCLC. The approach of this study efficiently minimized the number of tests, cost and time required to select the best epitopes and to design a vaccine for the treatment of NSCLC.&lt;br /&gt;.</t>
  </si>
  <si>
    <t>Targets a TAA (GPR56), not mutation-derived neoantigens.</t>
  </si>
  <si>
    <t>Ling, Zhe-Nan; Hong, Lian-Lian; Wu, Jian; Ling, Zhi-Qiang</t>
  </si>
  <si>
    <t>Systematic pan-cancer analyses of the potential function of the Golgi scaffold protein PAQR3</t>
  </si>
  <si>
    <t>10.1038/s41598-024-53489-z</t>
  </si>
  <si>
    <t>Progesterone and AdipoQ Receptor 3 (PAQR3) is a member of the AdipoQ receptor. Our previous studies have found that PAQR3 plays a role as a candidate inhibitor in cardiac adenocarcinoma, breast cancer, gastric cancer and colorectal cancer, but the systematic analysis of PAQR3 in tumors is currently lacking. The objective of this study was to investigate the prognostic and therapeutic value of PAQR3 in 31 tumors. Through the analysis of TCGA, UALCAN, GEO, GEPIA2, TIMER, Kaplan-Meier plotter, TISIDB and other databases, it was found that the expression level of PAQR3 changed significantly in different tumor types, and the expression level of Neuroblastoma was very high. And the level of Prostate adenocarcinoma is low. In addition, the expression level of PAQR3 in Cholangiocarcinoma, Esophageal carcinoma, Head and neck squamous carcinoma, Liver Hepatocellular Carcinoma, Lung Adenocarcinoma and Lung squamous cell carcinoma was significantly higher than that in normal tissues. However, the expression level of PAQR3 in Breast Cancer, Kidney Renal Clear Cell Carcinoma, Kidney renal papillary cell carcinoma, Prostate Adenocarcinoma, Rectum Adenocarcinoma, Thyroid Cancer and Uterine Corpus Endometrial Carcinoma was lower than that in normal tissues. Subsequently, we explored the value of PAQR3 as a prognostic indicator of cancer. In Acute Myeloid Leukemia, Lower-grade Glioma and Glioblastoma, Pediatric Low-grade Gliomas, Kidney Chromophobe, and Thyroid Cancer, PAQR3 expression was positively correlated with OS and DSS, while in Rectum Adenocarcinoma, PAQR3 expression was negatively correlated with OS. PAQR3 high expression group Lower-grade Glioma and Glioblastoma, Pediatric Low-grade Gliomas, Uveal Melanoma, Kidney Chromophobe and DFI were positively correlated. PAQR3 can be used as a risk factor for the prognosis of multiple tumors. Then, we discussed the correlation between PAQR3 and immunology, and found that PAQR3 has a wide range of mutations in various tumor types, the most common mutation type is missense mutation, and common mutation types also include amplification, depth deletion, splicing, truncation and structural variation. Among the tumor samples with PAQR3 alterations, mutation occurred in all tumor samples except prostate adenocarcinoma and adrenal cortical carcinoma, head and neck squamous cell carcinoma, brain low-grade glioma, and kidney clear cell carcinoma, while esophageal adenocarcinoma had the highest total alteration frequency. PAQR3 was strongly associated with CNV in 18 tumors, particularly in Ovarian cancer, Lung squamous cell carcinoma, and Adenoid cystic carcinoma. On the other hand, PAQR3 has a higher SNV frequency in Uterine Corpus Endometrial Carcinoma, Skin Cutaneous Melanoma and Lung Adenocarcinoma, among which Uterine Corpus Endometrial Carcinoma has the highest SNV frequency. These results showed that PAQR3 expression levels were significantly correlated with tumor mutation load, microsatellite instability, neoantigens, and purity. In summary, PAQR3 can affect the tumor microenvironment and has potential for chemotherapy. Finally, we investigated the role of PAQR3 in tumor resistance and found that the expression of PAQR3 affects the efficacy of multiple chemotherapy drugs. Based on these studies, we found that PAQR3 plays an important role in cancer and has potential in tumor diagnosis and prognosis.</t>
  </si>
  <si>
    <t>The research focuses on correlation coefficients between gene expression and clinical survival (OS, DSS, DFI)</t>
  </si>
  <si>
    <t>Kaneda, Toshihiko; Kurata, Takayasu; Yoshida, Tomoko; Kibata, Kayoko; Yoshioka, Hiroshige; Yanagimoto, Hiroaki; Takeda, Kazuhiko; Yoshida, Takao; Tsuta, Koji</t>
  </si>
  <si>
    <t>Massive digital gene expression analysis reveals different predictive profiles for immune checkpoint inhibitor therapy between adenocarcinoma and squamous cell carcinoma of advanced lung cancer</t>
  </si>
  <si>
    <t>BMC cancer</t>
  </si>
  <si>
    <t>10.1186/s12885-022-09264-2</t>
  </si>
  <si>
    <t>BACKGROUND: Immune checkpoint inhibitors prolong the survival of non-small cell lung cancer (NSCLC) patients. Although it has been acknowledged that there is some correlation between the efficacy of anti-programmed cell death-1 (PD-1) antibody therapy and immunohistochemical analysis, this technique is not yet considered foolproof for predicting a favorable outcome of PD-1 antibody therapy. We aimed to predict the efficacy of nivolumab based on a comprehensive analysis of RNA expression at the gene level in advanced NSCLC. METHODS: This was a retrospective study on patients with NSCLC who were administered nivolumab at the Kansai Medical University Hospital. To identify genes associated with response to anti-PD-1 antibodies, we grouped patients into responders (complete and partial response) and non-responders (stable and progressive disease) to nivolumab therapy. Significant genes were then identified for these groups using Welch's t-test. RESULTS: Among 42 analyzed cases (20 adenocarcinomas and 22 squamous cell carcinomas), enhanced expression of MAGE-A4, BBC3, and OTOA genes was observed in responders with adenocarcinoma, and enhanced expression of DAB2, HLA-DPB,1 and CDH2 genes was observed in responders with squamous cell carcinoma. CONCLUSIONS: This study predicted the efficacy of nivolumab based on a comprehensive analysis of mRNA expression at the gene level in advanced NSCLC. We also revealed different gene expression patterns as predictors of the effectiveness of anti PD-1 antibody therapy in adenocarcinoma and squamous cell carcinoma.</t>
  </si>
  <si>
    <t>it focuses on biomarker discovery for checkpoint inhibitors rather than the identification of mutation-derived neoantigens</t>
  </si>
  <si>
    <t>Alfonso, Saily; Diaz, Rosa M.; de la Torre, Ana; Santiesteban, Eduardo; Aguirre, Frank; Pérez, Kirenia; Rodríguez, José L.; Barroso, María del Carmen; Hernández, Ana M.; Toledo, Darien; Gabri, Mariano R.; Alonso, Daniel F.; Viada, Carmen; Gómez, Roberto E.; Suárez, Eduardo; Vazquez, Ana M.; Perez, Rolando; Macias, Amparo E.</t>
  </si>
  <si>
    <t>1E10 anti-idiotype vaccine in non-small cell lung cancer: experience in stage IIIb/IV patients</t>
  </si>
  <si>
    <t>Cancer Biology &amp; Therapy</t>
  </si>
  <si>
    <t>10.4161/cbt.6.12.5000</t>
  </si>
  <si>
    <t>Conventional treatment of non-small cell lung cancer (NSCLC) has apparently reached a plateau of effectiveness in improving the survival of the patients. For that reason the search for new therapeutic strategies in this type of tumor is justified. 1E10 is an anti-idiotype murine monoclonal antibody (Ab2 MAb) specific to P3 Ab1 MAb, which reacts with NeuGc-containing gangliosides, sulfatides and with antigens expressed in some tumors, including those from the lung. We report the treatment with aluminum hydroxide-precipitated 1E10 MAb of 34 stage IIIb and 37 stage IV NSCLC patients. These patients were treated with the anti-idiotype vaccine, after received standard chemotherapy and radiotherapy, in a compassionate-use basis study. Patients received five bi-weekly injections of 1 mg of 1E10/Alum, other 10 doses at 28-day intervals and later the patients who maintained a good performance status continued to be immunized at this same time interval. No evidence of unexpected or serious adverse effects was reported. The median survival time of the 56 patients who entered the study with partial response or disease stabilization and with a PS 1 after the first line of chemo/radiotherapy, was 11.50 months from starting vaccination. In contrast, the median survival time calculated for patients who started vaccination with progressive disease and/or a PS2 was 6.50 months.</t>
  </si>
  <si>
    <t>The study evaluates 1E10 (Racotumomab), an anti-idiotype vaccine not mutation derived neoantigen</t>
  </si>
  <si>
    <t>Wu, Shiwu; Yu, Lan; Wang, Danna; Zhou, Lei; Cheng, Zenong; Chai, Damin; Ma, Li; Tao, Yisheng</t>
  </si>
  <si>
    <t>Aberrant expression of CD133 in non-small cell lung cancer and its relationship to vasculogenic mimicry</t>
  </si>
  <si>
    <t>10.1186/1471-2407-12-535</t>
  </si>
  <si>
    <t>BACKGROUND: To investigate on expressions and clinical significances of CD133 protein and vasculogenic mimicry (VM) in primary non-small cell lung cancer (NSCLC). METHODS: The specimens of NSCLC from 305 Chinese patients with follow-up were analyzed for CD133 protein expression and VM by immunohistochemical and histochemical staining. RESULTS: In NSCLC, positive rates of 48.9% and 35.7% were obtained for CD133 and VM, respectively. The VM and expression of CD133 were significantly higher in carcinoma than in normal. There were a positive relationship between the VM and expression of CD133 and the tumor grade, lymph node metastasis and clinical stage (all P&lt;0.05). The overall mean survival time of the patients with CD133 and VM positive expression was lower than that of patients with negative expression. Microvessel density (MVD) was positive corresponded with the grade, lymph node metastasis and clinical stage (all P&lt;0.05). The overall mean survival time of the patients with MVD≥22's group was shorter than that of patients with MVD&lt;22's group. Pathological-tumor-node-metastasis (pTNM) stage, positive expression of CD133 and VM, postoperative therapy and MVD were independent prognostic factors of NSCLC (P&lt;0.05). Immunohistochemistry revealed an important intratumoral heterogeneity in all four CD133 expression profiles. CONCLUSIONS: VM, MVD and expression of CD133 are related to differentiation, lymph node metastasis, clinical stage, and prognosis. It is suggested that CD133, VM and MVD should be considered as a potential marker for the prognosis.</t>
  </si>
  <si>
    <t>Targets a TAA (CD133), not mutation-derived neoantigens.</t>
  </si>
  <si>
    <t>Su, Chunxia; Xu, Ying; Li, Xuefei; Ren, Shengxiang; Zhao, Chao; Hou, Likun; Ye, Zhiwei; Zhou, Caicun</t>
  </si>
  <si>
    <t>Predictive and prognostic effect of CD133 and cancer-testis antigens in stage Ib-IIIA non-small cell lung cancer</t>
  </si>
  <si>
    <t>CD133 and cancer-testis antigens (CTAs) may be potential predicted markers of adjuvant chemotherapy or immune therapy, and they may be the independent prognostic factor of NSCLC. Nowadays, there is still no predictive biomarker identified for the use of adjuvant chemotherapy in non-small cell lung cancer (NSCLC) patients. To clarify the role of CD133 and CTAs as a predictive marker for adjuvant chemotherapy or prognostic factors of overall survival, we performed a retrospective study in 159 stage Ib-IIIA NSCLC patients receiving adjuvant chemotherapy or observe from April 2003 to March 2004 in our institute. Clinical data and gene anaylisis results were collected, while CD133 and three CTAs (MAGE-A4, NY-ESO-1, MAGE-A10) were determined according to their monoclonal antibodies such as CD133, 57B, D8.38 and 3GA11 by immunohistochemistry. All CTAs were more frequently expressed in squamous cell carcinoma (SCC) (50.0%, 26.9%, 34.6%) than in adenocarcinoma (16.2%, 16.2%, 16.2%). CD133 was more frequently found in patients with adenocarcinoma (P=0.044). Negative expression of CD133 was associated with a significantly longer overall survival compared to positive expression of CD133 (62.5 vs. 48.5 months, P=0.035). When combined with MAGEA4, NY-ESO-1or MAGE-A10, patients' OS showed significantly difference among different combination. (CD133-MAGEA4-/CD133-MAGEA4+/CD133+MAGEA4-/CD133+MAGEA4+: 65.6 months vs.51.5 months vs.32.2 months vs.19.8 months, P=0.000, CD133-NY-ESO-1-/ CD133+NY-ESO-1-/CD133-NY-ESO-1+/ CD133+NY-ESO-1+: 57.8 months vs. 55.7 months vs. 44.6 months vs. 28.5 months, P=0.000, CD133-MAGEA10-/CD133+ MAGEA10-/CD133-MAGEA10-/CD133+MAGEA10+: 66.2 months vs. 57.2 months vs. 48.8 months vs. 41.4 months, P=0.001). There is no difference between patients received adjuvant chemotherapy or not, but subgroup analysis showed that the patients with CD133+NY-ESO-1+ expression who received chemotherapy will survive longer than not receive adjuvant chemotherapy (received vs. not received, 52.1 vs. 27.1 months, P=0.020). In the subgroup with EGFR mutation/ALK translocation/Ros1 translocation/Ret fusion, the trend remained but without a statistically significant difference. Multivariate COX regression analysis showed that stage, CD133, CD133-MAGEA4- and CD133-NY-ESO-1- are independent prognostic factors. In conclusion, CTAs (MAGE-A4, NY-ESO-1, MAGE-A10) were more likely expressed in patients with squamous cell carcinoma and when CTAs combined with CD133, they can be better prognostic factors. Patients with CD133+NY-ESO-1+ expression may survive longer when treated with adjuvant chemotherapy, which indicates that the CD133 and CTAs might be a potential marker to guide adjuvant chemotherapy in this population.</t>
  </si>
  <si>
    <t>The study investigates CD133 (a stemness marker) and three Cancer-Testis Antigens (CTAs): MAGE-A4, NY-ESO-1, and MAGE-A10.</t>
  </si>
  <si>
    <t>Cho, Arthur; Hur, Jin; Hong, Yoo Jin; Lee, Hye-Jeong; Kim, Young Jin; Hong, Sae Rom; Suh, Young Joo; Im, Dong Jin; Kim, Yun Jung; Lee, Jae Seok; Shim, Hyo Sup; Choi, Byoung Wook</t>
  </si>
  <si>
    <t>Prognostic impact of cytological fluid tumor markers in non-small cell lung cancer</t>
  </si>
  <si>
    <t>10.1007/s13277-015-4034-6</t>
  </si>
  <si>
    <t>The serum tumor markers CYFRA 21-1, carcinoembryonic antigen (CEA), and squamous cell carcinoma antigen (SCCA) are useful in diagnosis and prognosis of non-small cell lung cancer (NSCLC). Cytologic tumor markers obtained during needle aspiration biopsies (NAB) of lung lesions are useful for NSCLC diagnosis. This study investigated the incremental prognostic value of cytologic tumor markers compared to serum tumor markers. This prospective study included 253 patients diagnosed with NSCLC by NAB with cytologic tumor marker analysis. Levels of cytologic CYFRA 21-1, CEA, SCCA, and their serum counterparts were followed up for survival analysis. Optimal cutoff values for each tumor marker were obtained for overall survival (OS) and progression-free survival (PFS) analyses. All patients were followed up for a median of 22.8 months. Using cutoff values of 0.44 ng/ml for C-SCCA, 2.0 ng/ml for S-SCCA, and 3.3 ng/ml for S-CYFRA, a multivariate analysis revealed that high S-SCCA (hazard ratio, HR, 1.84) and high C-SCCA (HR, 1.63) were independent predictive factors of OS. The 3-year overall survival rate was 55 vs. 80 % for high and low C-SCCA, respectively. Cytologic tumor marker level detection is easily obtainable and provides prognostic information for NSCLC. Cytologic tumor markers provide comparable prognostic information relative to serum tumor markers, with C-SCCA acting as a strong prognostic factor of overall survival and PFS.</t>
  </si>
  <si>
    <t>it analyzes tumor-associated antigens (TAAs) (cytologic tumor markers (CYFRA 21-1, CEA, SCCA) in NSCLC ) rather than the required somatic mutation-derived neoantigens</t>
  </si>
  <si>
    <t>Mao, Yixiang; Li, Wei; Chen, Kai; Xie, Yufeng; Liu, Qiang; Yao, Min; Duan, Weiming; Zhou, Xiumin; Liang, Rongrui; Tao, Min</t>
  </si>
  <si>
    <t>B7-H1 and B7-H3 are independent predictors of poor prognosis in patients with non-small cell lung cancer</t>
  </si>
  <si>
    <t>10.18632/oncotarget.3097</t>
  </si>
  <si>
    <t>B7-H1 and B7-H3, two members of the B7 family that are thought to regulate T-cell activation, are expressed in human non-small cell lung cancer (NSCLC). However, their prognostic significance is poorly understood. In the present study we reported that B7-H1 and B7-H3 were expressed in 96/128 (72.7%) and 89/128 (69.5%) samples, respectively. B7-H1 and B7-H3 expression and the number of infiltrating T-cell intracellular antigen-1+ and interferon-γ+ cells in NSCLC tissues were significantly higher than those in the adjacent tissues (p&lt;0.01). High B7-H1 or B7-H3 expression was associated with lymph node metastasis and TNM stage (p&lt;0.05, respectively). Sex, TNM stage, B7-H1, B7-H3, and T-cell intracellular antigen-1 expression remained significant prognostic factors after adjusting for other prognostic factors in a multivariate Cox proportional hazards regression model. In vitro studies revealed that knockdown of B7-H3 on tumor cells enhanced T-cell growth and interferon-γ secretion when stimulated by anti-CD3 and anti-CD28 monoclonal antibodies. Interferon-γ reduced CXCR4 expression on cancer cells and inhibited the CXCL12-induced cell migration.B7-H1 and B7-H3 are independent predictors of poorer survival in patients with NSCLC. Interference of the signal pathways of these negative regulatory molecules might be a new strategy for treating NSCLC.</t>
  </si>
  <si>
    <t>Targets checkpoint ligands (B7-H1/H3), not mutation-derived neoantigens.</t>
  </si>
  <si>
    <t>Zhang, Xintong; Ma, Shang; Chen, Yan; Yin, Yanjun; Bai, Wanqiu; Tan, Jinjing; Shi, Guangli</t>
  </si>
  <si>
    <t>The isocitrate dehydrogenase 1 is a potential prognostic indicator for non-small cell lung cancer patients</t>
  </si>
  <si>
    <t>10.1177/17246008211052571</t>
  </si>
  <si>
    <t>BACKGROUND: The serum isocitrate dehydrogenase 1(IDH1) level is significantly elevated in patients with non-small cell lung cancer (NSCLC) and has important clinical value as a marker for early diagnosis. This study examined the dynamic changes of serum IDH1 levels of patients with NSCLC undergoing surgery or medical treatment, to evaluate its potential prognostic value. METHODS: The study cohort included 83 NSCLC patients who underwent surgery, 37 NSCLC patients who underwent medical treatment, 50 healthy controls, and 52 disease controls. Serum levels of IDH1 were assayed by enzyme-linked immunoassay. Tumor biomarkers including carcinoembryonic antigen, squamous cell carcinoma, neuron-specific enolase, CYFRA21-1, and pro-gastrin-releasing peptide-which are currently used in clinical practice-were measured by automatic immunoanalyzers. RESULTS: Serum IDH1 was significantly higher in patients with NSCLC compared with healthy people or patients with benign lung diseases (p &lt; 0.001). The area under the receiver operating characteristic curve for diagnosis and differential diagnosis were 0.897 and 0.879, respectively, which were superior to the five tumor markers. Serum IDH1 levels decreased in most patients after surgery, with the most dramatic changes in patients with stage I tumors compared with stage II and III. Analyses of changes in the serum IDH1 level of patients after receiving chemotherapy or targeted therapy revealed that for patients with progressive disease, serum IDH1 increased significantly after treatment; for patients with partial response or stable disease, it decreased steadily. CONCLUSION: IDH1 has potential prognostic value and may be used as a marker for the monitoring of treatment efficacy.</t>
  </si>
  <si>
    <t>Targets wild-type IDH1 and TAAs, not mutation-derived neoantigens.</t>
  </si>
  <si>
    <t>Yuan, Robert; McGeehan, Andrew; Zhou, Sihong; Cheng, Christine; Armanini, Mark; Smith, Jennifer; Embry, Millicent; Pena, Rhoneil; Lewis, Danielle K.; Hernandez, Genevive; Bajjuri, Krishna; Tran, Cuong; Yin, Gang; Abrahams, Cristina; Li, Xiaofan; Gerber, Hans-Peter; Yam, Alice; Kiefel, Helena</t>
  </si>
  <si>
    <t>The Anti-FRα Antibody-Drug Conjugate Luveltamab Tazevibulin Demonstrates Efficacy in Non-Small Cell Lung Cancer Preclinical Models and Induces Immunogenic Cell Death</t>
  </si>
  <si>
    <t>Molecular Cancer Therapeutics</t>
  </si>
  <si>
    <t>10.1158/1535-7163.MCT-24-0649</t>
  </si>
  <si>
    <t>Luveltamab tazevibulin is a folate receptor α (FRα)-targeting antibody-drug conjugate currently being evaluated in phase I and II/III clinical trials in endometrial and ovarian cancers (NCT03748186 and NCT05870748), respectively. In this study, we report non-small cell lung cancer (NSCLC) as an additional cancer subtype enriched for FRα expression. In patient-derived xenograft models of NSCLC, FRα-expressing tumors demonstrated robust tumor growth inhibition following luveltamab tazevibulin treatment, demonstrating its potential use for NSCLC treatment. Luveltamab tazevibulin was additionally identified as a potent inducer of immunogenic cell death (ICD). In in vitro cell killing assays, luveltamab tazevibulin induced all three hallmarks of ICD-high mobility group box 1 release, ATP release, and surface exposure of calreticulin. Furthermore, in in vivo vaccination studies, injection of luveltamab tazevibulin-treated tumor cells established protective immunity against subsequent tumor challenge. Consistent with ICD induction, luveltamab tazevibulin treatment in tumor-bearing mice also altered tumor immune cell infiltrate and activation, demonstrating its ability to modulate the tumor immune microenvironment. Given the success of immune checkpoint therapy in NSCLC and luveltamab tazevibulin's ability to potentiate the immune response, we evaluated the combination therapy of luveltamab tazevibulin with immune checkpoint blockade in syngeneic mouse models and demonstrated that combination treatment results in enhanced efficacy compared with either monotherapy alone. This improved activity with combination therapy was associated with increased tumoral infiltration of CD8+ T cells. In conclusion, the work presented here provides rationale for evaluating luveltamab tazevibulin in NSCLC either as monotherapy or in combination with immune checkpoint blockade.</t>
  </si>
  <si>
    <t>The objective is the development of an Antibody-Drug Conjugate (ADC), Luveltamab Tazevibulin  While the study mentions Immunogenic Cell Death (ICD) and "vaccination" with treated cells, this is a form of in situ vaccination through tumor lysis, not the in silico prediction and manufacturing of mutant peptides</t>
  </si>
  <si>
    <t>Ma, Honghai; Wang, Liguang; Zhang, Tiehong; Shen, Hongchang; Du, Jiajun</t>
  </si>
  <si>
    <t>Loss of β-arrestin1 expression predicts unfavorable prognosis for non-small cell lung cancer patients</t>
  </si>
  <si>
    <t>10.1007/s13277-015-3886-0</t>
  </si>
  <si>
    <t>We aimed to study the expression status of β-arrestin1 in non-small cell lung cancer (NSCLC) specimens and its clinicopathologic significance. The correlation between β-arrestin1 and the tumor migration biomarker E-cadherin, as well as smoking index were studied. A total of 152 patients with NSCLC who undergone surgery were enrolled. Altogether, 88 lung squamous cell lung cancer (SCC) specimens and 64 adenocarcinoma (ADC) specimens were tested for immunohistochemistry. Patients' survival was analyzed by the Kaplan-Meier method. Univariate and multivariate analyses were performed to determine independent prognostic factors. Spearman rank correlation test was used to show data associations. For SCC patients, the expression of β-arrestin1 was either lost (56 of 88, 63.6 %) or low (32 of 88, 36.4 %), which was significantly and negatively associated with E-cadherin expression (P = 0.017). The similar correlation existed between smoking index and β-arrestin1 expression (P = 0.044). For ADC patients, the deletion of β-arrestin1 expression was rare (4 of 64, 6.3 %). Loss of β-arrestin1 expression indicated poorer survival for both SCC (P = 0.026) and ADC patients (P = 0.006). β-arrestin1 expression was detected in the other ADC specimens but showed no significant correlation with survival. In SCC patients, the loss expression of β-arrestin1 was frequently observed, and β-arrestin1 expression was significantly correlated with the smoking index and E-cadherin expression, which all indicated β-arrestin1's significant clinicopathologic role. However, β-arrestin1 was expressed in most ADC patients, but its clinicopathologic role seemed to be obscure and might need further exploration.</t>
  </si>
  <si>
    <t xml:space="preserve">The study investigates beta-arrestin1 and E-cadherin which are wild-type signaling proteins and structural biomarkers involved in the Epithelial-Mesenchymal Transition (EMT) not neoantigens
</t>
  </si>
  <si>
    <t>Saito, Kanako; Nakayama, Eiichi; Valmori, Danila</t>
  </si>
  <si>
    <t>Immune Responses to the Cancer Testis Antigen XAGE-1b in Non Small Cell Lung Cancer Caucasian Patients</t>
  </si>
  <si>
    <t>10.1371/journal.pone.0150623</t>
  </si>
  <si>
    <t>Immunotherapy approaches using checkpoint blockade, alone, or in combination with tumor antigen vaccination, or adoptive cell transfer, are emerging as promising approaches for the treatment of non-small cell lung cancer (NSCLC). In preparation for upcoming combined immunotherapy approaches in NSCLC, here, we have assessed spontaneous immune responses to XAGE-1b, a tumor specific antigen of the Cancer Testis Antigen group that has been previously reported to be spontaneously immunogenic in the Japanese population, in a cohort of Caucasian patients with NSCLC. We found spontaneous serological responses to XAGE-1b in 9% of the patients. Importantly, these responses were limited to, and represented 13% of, patients with adenocarcinoma tumors, the most frequent histological subtype, for which immunotherapy approaches are under development. Using a set of overlapping peptides spanning the entire XAGE-1b protein, and in support of the serological data, we detected significant XAGE-1b specific CD4+ T cell responses in all XAGE-1b seropositive patients and identified several CD4+ T cell epitopes. Altogether, our results support the relevance of the XAGE-1b antigen in Caucasians NSCLC patients with adenocarcinoma, and the implementation of future immunotherapies exploiting the high immunogenicity of the antigen in this patient population.</t>
  </si>
  <si>
    <t>Targets a CTA (XAGE-1b), not mutation-derived neoantigens. Mapping of shared TAAs; lacks neoantigen discovery pipeline data.</t>
  </si>
  <si>
    <t>Liu, Siqi; Zhang, Xuan; Jiang, Quanhang; Liang, Tingting</t>
  </si>
  <si>
    <t>Detection of circulating natural antibodies against CD25, MUC1, and VEGFR1 for early diagnosis of non-small cell lung cancer</t>
  </si>
  <si>
    <t>FEBS open bio</t>
  </si>
  <si>
    <t>10.1002/2211-5463.12878</t>
  </si>
  <si>
    <t>We previously demonstrated that a deficiency of natural antibodies against CD25, Mucin 1 (MUC1), and vascular endothelial growth factor receptor 1 (VEGFR1) could contribute to high risk of non-small cell lung cancer (NSCLC). This study was designed to investigate whether natural IgG antibodies against POU domain class 5 transcription factor 1 (POU5F1), tumor necrosis factor-α (TNF-α), and the combination of CD25, VEGFR1, and MUC1 could play an anti-tumorigenic role against developing NSCLC. An ELISA was developed in-house to examine plasma IgG against peptide antigens derived from POU5F1, TNF-α, and a combination of peptide antigens derived from CD25, MUC1, and VEGFR1 in 211 patients with NSCLC and 200 healthy controls. Mann-Whitney U test demonstrated that plasma IgG levels for the combination of peptide antigens derived from CD25, MUC1, and VEGFR1 were significantly lower in NSCLC patients than control subjects (Z = -12.978, P &lt; 0.001) although plasma levels of IgG antibodies for POU5F1 and TNFα were not significantly changed. The in-house ELISA made with the CD25-MUC1-VEGFR1 combination had a sensitivity of 49.6% against a specificity of 95% to detect early-stage NSCLC. In conclusion, natural antibodies against the combination of CD25, VEGFR1, and MUC1 may be an effective biomarker for early diagnosis of NSCLC.</t>
  </si>
  <si>
    <t>Targets TAAs/Self-proteins, not mutation-derived neoantigens.Diagnostic biomarker study, not therapeutic vaccine identification.</t>
  </si>
  <si>
    <t>Li, Yin; Xu, Ke-Ping; Jiang, Dong; Zhao, Jun; Ge, Jin-Feng; Zheng, Shi-Ying</t>
  </si>
  <si>
    <t>Relationship of Fas, FasL, p53 and bcl-2 expression in human non-small cell lung carcinomas</t>
  </si>
  <si>
    <t>OBJECTIVE: Lack of surface Fas expression is a main route for apoptotic resistance which is considered an important mechanism of tumorigenesis and tumor progression. Fas and FasL expression in 110 non-small cell lung carcinomas (NSCLCs) were investigated to evaluate their roles in pulmonary carcinogenesis and to examine the clinicopathologic significance of Fas expression with its relationship with p53 and bcl-2 over- expression. METHODS: Immunohistochemical analysis using tissue microarray demonstrated that a large proportion of NSCLC patients (60%) showed lack of membranous Fas expression. The Fas-negative cases revealed the significantly lower survival rate than Fas-positive ones. Also, the loss of Fas receptor expression was found more frequently in advanced stage and higher nodal status. FasL protein was increased in most NSCLCs (89%) compared to normal lungs. RESULTS: p53 and bcl-2 overexpression showed no association with Fas expression. Conclusively, reduced membranous Fas expression as a mechanism of apoptotic resistance is considered to play an important part of the pulmonary carcinogenesis, which may predict poor survival and have a negative prognostic influence. CONCLUSION: Increased FasL expression is thought to be a basis for the immune evasion in NSCLCs. The rare bcl-2 overexpression suggests that this anti-apoptotic protein is unlikely to play a role in the apoptotic resistance of NSCLCs.</t>
  </si>
  <si>
    <t>The study focuses on the expression levels of wild-type apoptotic proteins via immunohistochemistry rather than identifying mutation-derived neoantigens for therapy</t>
  </si>
  <si>
    <t>Qiu, Liannv; Yu, Qinhua; Zhou, Yonglie; Zheng, Sujie; Tao, Jiaojiao; Jiang, Qian; Yuan, Guorong</t>
  </si>
  <si>
    <t>Functionally impaired follicular helper T cells induce regulatory B cells and CD14+ human leukocyte antigen-DR- cell differentiation in non-small cell lung cancer</t>
  </si>
  <si>
    <t>Cancer Science</t>
  </si>
  <si>
    <t>10.1111/cas.13836</t>
  </si>
  <si>
    <t>Non-small cell lung cancer (NSCLC) represents one of the most common and aggressive cancers worldwide, as it typically displays irreversible progression and poor prognosis. Interaction between programmed death 1 (PD-1) and its ligand, PD-L1, plays important roles in tumor immunology. Follicular helper T (Tfh) cells have characteristically high PD-1 expression; thus, in the present study, we investigated the role of circulating Tfh cells and their correlation with disease-free survival after tumor resection in NSCLC. We found significantly higher number of Tfh cells but lower serum interleukin (IL)-21 levels in NSCLC patients, especially in those with advanced stage (III and IV), indicating that the function of Tfh cells to produce IL-21 was impaired. Further analysis showed that the increase in Tfh cells was attributable to an expansion of the PD-1+ -Tfh2 and PD-1+ -Tfh17 subtypes. Functional analysis showed that Tfh cells from NSCLC patients induced the differentiation of regulatory B cells and CD14+ human leukocyte antigen (HLA)-DR- cells. Interestingly, the number of Tfh1 subtypes in NSCLC patients was negatively correlated with disease-free survival after tumor resection. In short, the high number and abnormal function of Tfh cells could cause further immunosuppression and lead to tumor development in NSCLC. Rescuing Tfh functions therefore represents a potential therapeutic strategy in NSCLC.</t>
  </si>
  <si>
    <t>Targets immune cell subsets and cytokines, not neoantigens.</t>
  </si>
  <si>
    <t>Kharbanda, Akriti; Rajabi, Hasan; Jin, Caining; Alam, Maroof; Wong, Kwok-Kin; Kufe, Donald</t>
  </si>
  <si>
    <t>MUC1-C confers EMT and KRAS independence in mutant KRAS lung cancer cells</t>
  </si>
  <si>
    <t>10.18632/oncotarget.2360</t>
  </si>
  <si>
    <t>Non-small cell lung cancers (NSCLCs) that harbor an oncogenic KRAS mutation are often associated with resistance to targeted therapies. The MUC1-C transmembrane protein is aberrantly overexpressed in NSCLCs and confers a poor outcome; however, the functional role for MUC1-C in mutant KRAS NSCLC cells has remained unclear. The present studies demonstrate that silencing MUC1-C in A549/KRAS(G12S) and H460/KRAS(Q61H) NSCLC cells is associated with downregulation of AKT signaling and inhibition of growth. Overexpression of a MUC1-C(CQC→AQA) mutant, which inhibits MUC1-C homodimerization and function, suppressed both AKT and MEK activation. Moreover, treatment with GO-203, an inhibitor of MUC1-C homodimerization, blocked AKT and MEK signaling and decreased cell survival. The results further demonstrate that targeting MUC1-C suppresses expression of the ZEB1 transcriptional repressor by an AKT-mediated mechanism, and in turn induces miR-200c. In concert with these effects on the ZEB1/miR-200c regulatory loop, targeting MUC1-C was associated with reversal of the epithelial-mesenchymal transition (EMT) and inhibition of self-renewal capacity. Loss of MUC1-C function also attenuated KRAS independence and inhibited growth of KRAS mutant NSCLC cells as tumors in mice. These findings support a model in which targeting MUC1-C inhibits mutant KRAS signaling in NSCLC cells and thereby reverses the EMT phenotype and decreases self-renewal.</t>
  </si>
  <si>
    <t>Targets a TAA (MUC1-C), not mutation-derived neoantigens. It does not involve therapeutic vaccine development; the "GO-203" mentioned is a peptide inhibitor of protein function, not an immunogenic vaccine peptide.</t>
  </si>
  <si>
    <t>Jiang, Bin; Hu, Liwen; Dong, Daling; Guo, Zixin; Wei, Wei; Wang, Chao; Shao, Weikang; Ma, Ting; Chen, Yanhui; Li, Qingyun; Hu, Weidong</t>
  </si>
  <si>
    <t>TP53 or CDKN2A/B covariation in ALK/RET/ROS1-rearranged NSCLC is associated with a high TMB, tumor immunosuppressive microenvironment and poor prognosis</t>
  </si>
  <si>
    <t>Journal of Cancer Research and Clinical Oncology</t>
  </si>
  <si>
    <t>10.1007/s00432-023-04924-7</t>
  </si>
  <si>
    <t>INTRODUCTION: ALK-rearranged lung adenocarcinomas with TP53 mutations have more unstable genomic features, poorer ALK-TKI efficacy and a worse prognosis than ALK-rearranged lung adenocarcinomas with wild-type TP53. Here, we examine the gene variations that co-occur with ALK/RET/ROS1 rearrangements in NSCLC and the corresponding tumor immune microenvironment, as well as their association with prognosis. METHODS: A total of 155 patients with ALK/RET/ROS1 fusions were included retrospectively. Tumor genome mutation analysis was performed by next-generation sequencing. PD-L1 expression and tumor-infiltrating lymphocytes were assessed by multiplex immunohistochemistry. The correlations among gene covariation, the tumor immune microenvironment, and clinicopathological characteristics were analyzed. RESULTS: Among the 155 patients, concomitant TP53 mutation appeared most frequently (31%), followed by CDKN2A/B copy number loss (15%). The ALK/RET/ROS1 fusion and TP53 or CDKN2A/B covariation group had more males and patients with stage IV disease (p &lt; 0.001, p = 0.0066). Patients with TP53 or CDKN2A/B co-occurrence had higher tumor mutation burdens and more neoantigens (p &lt; 0.001, p = 0.0032). PD-L1 expression was higher in the tumor areas of the TP53 or CDKN2A/B co-occurring group (p = 0.00038). However, the levels of CD8+, CD8+PD1-, and CD8+PD-L1- TILs were lower in the tumor areas of this group (p = 0.043, p = 0.029, p = 0.025). In the TCGA NSCLC cohorts, the top 2 mutated genes were CDKN2A/B (24%) and TP53 (16%). The TP53 or CDKN2A/B co-occurring group had higher tumor mutation burdens and shorter OS (p &lt; 0.001, p &lt; 0.001). CONCLUSIONS: Patients with co-occurring TP53/CDKN2A/B variations and ALK/RET/ROS1 rearrangements are associated with high TMB, more neoantigens, an immunosuppressive microenvironment and a worse prognosis.</t>
  </si>
  <si>
    <t>Chen, Wan-Jiun; Ho, Chao-Chi; Chang, Yih-Leong; Chen, Hsuan-Yu; Lin, Chih-An; Ling, Thai-Yen; Yu, Sung-Liang; Yuan, Shin-Sheng; Chen, Yu-Ju Louisa; Lin, Chien-Yu; Pan, Szu-Hua; Chou, Han-Yi Elizabeth; Chen, Yu-Ju; Chang, Gee-Chen; Chu, Wen-Cheng; Lee, Yee-Ming; Lee, Jen-Yi; Lee, Pei-Jung; Li, Ker-Chau; Chen, Huei-Wen; Yang, Pan-Chyr</t>
  </si>
  <si>
    <t>Cancer-associated fibroblasts regulate the plasticity of lung cancer stemness via paracrine signalling</t>
  </si>
  <si>
    <t>10.1038/ncomms4472</t>
  </si>
  <si>
    <t>Cancer stem cells (CSCs) are a promising target for treating cancer, yet how CSC plasticity is maintained in vivo is unclear and is difficult to study in vitro. Here we establish a sustainable primary culture of Oct3/4(+)/Nanog(+) lung CSCs fed with CD90(+) cancer-associated fibroblasts (CAFs) to further advance our knowledge of preserving stem cells in the tumour microenvironment. Using transcriptomics we identify the paracrine network by which CAFs enrich CSCs through de-differentiation and reacquisition of stem cell-like properties. Specifically, we find that IGF1R signalling activation in cancer cells in the presence of CAFs expressing IGF-II can induce Nanog expression and promote stemness. Moreover, this paracrine signalling predicts overall and relapse-free survival in stage I non-small cell lung cancer (NSCLC) patients. IGF-II/IGF1R signalling blockade inhibits Nanog expression and attenuates cancer stem cell features. Our data demonstrate that CAFs constitute a supporting niche for cancer stemness, and targeting this paracrine signalling may present a new therapeutic strategy for NSCLC.</t>
  </si>
  <si>
    <t>focuses on cancer stem cell–CAF signalling and stemness in NSCLC, not on neoantigen identification,</t>
  </si>
  <si>
    <t>Tarek, Mohammad M.; Shafei, Ayman E.; Ali, Mahmoud A.; Mansour, Mohamed M.</t>
  </si>
  <si>
    <t>Computational prediction of vaccine potential epitopes and 3-dimensional structure of XAGE-1b for non-small cell lung cancer immunotherapy</t>
  </si>
  <si>
    <t>Biomedical Journal</t>
  </si>
  <si>
    <t>10.1016/j.bj.2018.04.002</t>
  </si>
  <si>
    <t>BACKGROUND: XAGE-1b is shown to be overexpressed in lung adenocarcinoma and to be a strong immunogenic antigen among non-small cell lung cancer (NSCLC) patients. However, 3D structure of XAGE-1b is not available and its confirmation has not been solved yet. METHODS: Multiple sequence alignment was run to select the most reliable templates. Homology modeling technique was performed using computer-based tool to generate 3-dimensional structure models, eight models were generated and assessed on basis of local and global quality. Immune Epitope Database (IEDB) tools were then used to determine potential B-Cell epitopes while NetMHCpan algorithms were used to enhance the determination for potential epitopes of both Cytotoxic T-lymphocytes and T-helper cells. RESULTS: Computational prediction was performed for B-Cell epitopes, prediction results generated; 3 linear epitopes where XAGE-1b (13-21) possessed the best score of 0.67, 5 discontinuous epitopes where XAGE-1b (40-52) possessed the best score of 0.67 based on the predicted model of the finest quality. For a potential vaccine design, computational prediction yielded potential Human Leukocyte Antigen (HLA) class I epitopes including HLA-B*08:01-restricted XAGE-1b (3-11) epitope which was the best with 0.2 percentile rank. Regarding HLA Class II epitopes, HLA-DRB1*12:01-restricted XAGE-1b (25-33) was the most antigenic epitope with 5.91 IC50 value. IC50 values were compared with experimental values and population coverage percentages of epitopes were computed. CONCLUSIONS: This study predicted a model of XAGE-1b tertiary structure which could explain its antigenic function and facilitate usage of predicted peptides for experimental validation towards designing immunotherapies against NSCLC.</t>
  </si>
  <si>
    <t>it focuses on cancer-testis antigens rather than somatic mutation-derived neoantigens required by the protocol. Additionally, the research is a computational prediction study using homology modeling and epitope mapping, which does not align with the focus on personalized genomic "prediction stacks</t>
  </si>
  <si>
    <t>Hannani, Dalil; Leplus, Estelle; Laurin, David; Caulier, Benjamin; Aspord, Caroline; Madelon, Natacha; Bourova-Flin, Ekaterina; Brambilla, Christian; Brambilla, Elisabeth; Toffart, Anne-Claire; Laulagnier, Karine; Chaperot, Laurence; Plumas, Joël</t>
  </si>
  <si>
    <t>A New Plasmacytoid Dendritic Cell-Based Vaccine in Combination with Anti-PD-1 Expands the Tumor-Specific CD8+ T Cells of Lung Cancer Patients</t>
  </si>
  <si>
    <t>10.3390/ijms24031897</t>
  </si>
  <si>
    <t>The purpose of immune checkpoint inhibitor (ICI)-based therapies is to help the patient's immune system to combat tumors by restoring the immune response mediated by CD8+ cytotoxic T cells. Despite impressive clinical responses, most patients do not respond to ICIs. Therapeutic vaccines with autologous professional antigen-presenting cells, including dendritic cells, do not show yet significant clinical benefit. To improve these approaches, we have developed a new therapeutic vaccine based on an allogeneic plasmacytoid dendritic cell line (PDC*line), which efficiently activates the CD8+ T-cell response in the context of melanoma. The goal of the study is to demonstrate the potential of this platform to activate circulating tumor-specific CD8+ T cells in patients with lung cancer, specifically non-small-cell lung cancer (NSCLC). PDC*line cells loaded with peptides derived from tumor antigens are used to stimulate the peripheral blood mononuclear cells of NSCLC patients. Very interestingly, we demonstrate an efficient activation of specific T cells for at least two tumor antigens in 69% of patients irrespective of tumor antigen mRNA overexpression and NSCLC subtype. We also show, for the first time, that the antitumor CD8+ T-cell expansion is considerably improved by clinical-grade anti-PD-1 antibodies. Using PDC*line cells as an antigen presentation platform, we show that circulating antitumor CD8+ T cells from lung cancer patients can be activated, and we demonstrate the synergistic effect of anti-PD-1 on this expansion. These results are encouraging for the development of a PDC*line-based vaccine in NSCLC patients, especially in combination with ICIs.</t>
  </si>
  <si>
    <t>its targeting shared tumor-associated antigens (TAAs) rather than the required personalized neoantigens derived from unique mutations.</t>
  </si>
  <si>
    <t>Yokobori, Takehiko; Yokoyama, Yozo; Mogi, Akira; Endoh, Hideki; Altan, Bolag; Kosaka, Takayuki; Yamaki, Ei; Yajima, Toshiki; Tomizawa, Kenji; Azuma, Yoko; Onozato, Ryoichi; Miyazaki, Tatsuya; Tanaka, Shigebumi; Kuwano, Hiroyuki</t>
  </si>
  <si>
    <t>FBXW7 mediates chemotherapeutic sensitivity and prognosis in NSCLCs</t>
  </si>
  <si>
    <t>Molecular cancer research: MCR</t>
  </si>
  <si>
    <t>10.1158/1541-7786.MCR-13-0341</t>
  </si>
  <si>
    <t>Non-small cell lung cancer (NSCLC) is a leading cause of cancer-related deaths worldwide. To improve the prognosis of patients with NSCLCs, new and validated therapeutic targets are critically needed. In this study, we focused on F-box and WD repeat domain containing-7 (FBXW7), an E3 ubiquitin ligase, that regulates the degradation of MCL1, Myc, cyclin E, and TOP2A. Importantly, loss of FBXW7 was associated with increased sensitivity of tumors to a class I-specific histone deacetylase (HDAC) inhibitor, MS-275. Immunohistochemical analysis revealed increased expression of FBXW7 targets, MCL1 and TOP2A, in NSCLC tumors with low expression of FBXW7. Moreover, clinical specimens exhibiting low FBXW7 expression presented with more progressive cancer and significantly shorter cancer-specific survival than patients with high FBXW7 expression. Mechanistic study of NSCLC cell lines with silenced FBXW7 revealed enhanced MS-275 sensitivity and taxol resistance. Interestingly, taxol resistance was eliminated by MS-275 treatment, suggesting the potential of HDAC inhibitors for the treatment of aggressive taxol-resistant NSCLCs that lack FBXW7. IMPLICATIONS: FBXW7 status impacts chemosensitivity and is a prognostic marker in NSCLCs. VISUAL OVERVIEW: http://mcr.aacrjournals.org/content/early/2013/12/19/1541-7786.MCR-13-0341/F1.large.jpg.</t>
  </si>
  <si>
    <t>Targets a ligase (FBXW7) and signaling proteins, not neoantigens.</t>
  </si>
  <si>
    <t>Akazawa, Yu; Saito, Yuki; Yoshikawa, Toshiaki; Saito, Keigo; Nosaka, Kazuto; Shimomura, Manami; Mizuno, Shoichi; Nakamoto, Yasunari; Nakatsura, Tetsuya</t>
  </si>
  <si>
    <t>Efficacy of immunotherapy targeting the neoantigen derived from epidermal growth factor receptor T790M/C797S mutation in non-small cell lung cancer</t>
  </si>
  <si>
    <t>10.1111/cas.14451</t>
  </si>
  <si>
    <t>Lung cancer is the leading cause of cancer-related deaths worldwide. Epidermal growth factor receptor-tyrosine kinase inhibitors (EGFR-TKI) often have good clinical activity against non-small cell lung cancer (NSCLC) with activating EGFR mutations. Osimertinib, which is a third-generation EGFR-TKI, has a clinical effect even on NSCLC harboring the threonine to methionine change at codon 790 of EGFR (EGFR T790M) mutation that causes TKI resistance. However, most NSCLC patients develop acquired resistance to osimertinib within approximately 1 year, and 40% of these patients have the EGFR T790M and cysteine to serine change at codon 797 (C797S) mutations. Therefore, there is an urgent need for the development of novel treatment strategies for NSCLC patients with the EGFR T790M/C797S mutation. In this study, we identified the EGFR T790M/C797S mutation-derived peptide (790-799) (MQLMPFGSLL) that binds the human leukocyte antigen (HLA)-A*02:01, and successfully established EGFR T790M/C797S-peptide-specific CTL clones from human PBMC of HLA-A2 healthy donors. One established CTL clone demonstrated adequate cytotoxicity against T2 cells pulsed with the EGFR T790M/C797S peptide. This CTL clone also had high reactivity against cancer cells that expressed an endogenous EGFR T790M/C797S peptide using an interferon-γ (IFN-γ) enzyme-linked immunospot (ELISPOT) assay. In addition, we demonstrated using a mouse model that EGFR T790M/C797S peptide-specific CTL were induced by EGFR T790M/C797S peptide vaccine in vivo. These findings suggest that an immunotherapy targeting a neoantigen derived from EGFR T790M/C797S mutation could be a useful novel therapeutic strategy for NSCLC patients with EGFR-TKI resistance, especially those resistant to osimertinib.</t>
  </si>
  <si>
    <t>Shang, Xi; Zi, Huanpu; Li, Yangyang; Gao, Yu; Ge, Changsheng; Sun, Zhongmei; Zhang, Youmin</t>
  </si>
  <si>
    <t>Combined use of salivary biomarkers and carcinoembryonic antigen for lung cancer detection in a Chinese population</t>
  </si>
  <si>
    <t>Medicine</t>
  </si>
  <si>
    <t>10.1097/MD.0000000000016511</t>
  </si>
  <si>
    <t>Blood-based biomarkers, such as carcinoembryonic antigen (CEA), and saliva-based biomarkers, such as mRNA, have emerged as potential liquid biopsies for non-invasive detection of many cancers. However, current tests typically use single type of biomarkers, and their sensitivity and specificity is often unsatisfactory.In this study, we developed a novel biomarker panel that measures both CEA level in blood and GREB1 and FRS2 levels in saliva to achieve high sensitivity and high specificity in detecting Non-Small Cell Lung Cancer (NSCLC).In the discovery phase, we achieved sensitivity of 96.67% and specificity of 93.33% for 30 NSCLC patients and 30 healthy controls. To further evaluate the prediction performance of our biomarker panel, we applied it to an independent set of 15 NSCLC cancer patients and 25 healthy controls. The sensitivity and specificity of our test reached 93.33% and 80.00% respectively.Our study discovered that the combined analysis of CEA and mRNA can be a novel liquid-biopsy technology for non-invasive detection of NSCLC.</t>
  </si>
  <si>
    <t>Diagnostic liquid-biopsy study, not therapeutic vaccine identification</t>
  </si>
  <si>
    <t>Numata, Takeshi; Endo, Takeo; Yanai, Hidetoshi; Ota, Kyoko; Yamamoto, Yusuke; Shimizu, Kei; Yamada, Hideyasu; Hayashihara, Kenji; Okauchi, Shinichiro; Satoh, Hiroaki; Yamada, Yutaka; Tamura, Tomohiro; Saito, Kazuto; Kikuchi, Norihiro; Kurishima, Koichi; Ishikawa, Hiroichi; Watanabe, Hiroko; Shiozawa, Toshihiro; Hizawa, Nobuyuki; Funayama, Yasunori; Hayashi, Shigen; Nakamura, Hiroyuki; Yamashita, Takaaki</t>
  </si>
  <si>
    <t>Serum CEA and CYFRA Levels in ALK-rearranged NSCLC Patients: Correlation With Distant Metastasis</t>
  </si>
  <si>
    <t>In Vivo</t>
  </si>
  <si>
    <t>10.21873/invivo.12013</t>
  </si>
  <si>
    <t>AIM: To clarify the correlation between serum levels of carcinoembryonic antigen (CEA) and cytokeratin 19 fragment (CYFRA) and metastasis and survival in anaplastic lymphoma kinase (ALK)-rearranged non-small cell lung cancer (NSCLC) patients. PATIENTS AND METHODS: CEA and CYFRA levels in 131 ALK-rearranged NSCLC patients were determined using fluorescence in situ hybridization (FISH), real time-reverse transcription polymerase chain reaction, and immunohistochemistry, using biopsy specimens, cytology specimens, and plasma specimens. Cut-off value of each marker was determined as 10 ng/ml. RESULTS: In logistic regression analysis, higher levels of both markers had a positive relationship with bone metastases, and higher levels of CYFRA was relevant to liver metastases, and multiple-organ metastases. However, these markers were not proven to be poor prognostic factors in Cox's proportional model analysis. CONCLUSION: Elevated serum CEA and CYFRA levels seem to provide useful clinical information about presence of bone and liver metastasis and multiple-organ metastases, although they were not a powerful indicator of prognosis. These two markers may suggest the extension of metastasis and would be helpful in considering treatment options.</t>
  </si>
  <si>
    <t>Targets clinical TAAs (CEA, CYFRA), not mutation-derived neoantigens</t>
  </si>
  <si>
    <t>Trulson, Inga; Klawonn, Frank; von Pawel, Joachim; Holdenrieder, Stefan</t>
  </si>
  <si>
    <t>Improvement of differential diagnosis of lung cancer by use of multiple protein tumor marker combinations</t>
  </si>
  <si>
    <t>10.3233/TUB-230021</t>
  </si>
  <si>
    <t>BACKGROUND: Differential diagnosis of non-small cell lung cancer (NSCLC) and small cell lung cancer (SCLC) in hospitalized patients is crucial for appropriate treatment choice. OBJECTIVE: To investigate the relevance of serum tumor markers (STMs) and their combinations for the differentiation of NSCLC and SCLC subtypes. METHODS: Between 2000 and 2003, 10 established STMs were assessed retrospectively in 311 patients with NSCLC, 128 with SCLC prior systemic first-line therapy and 51 controls with benign lung diseases (BLD), by automatized electrochemiluminescence immunoassay technology. Receiver operating characteristic (ROC) curves and logistic regression analyses were used to evaluate the diagnostic efficacy of both individual and multiple STMs with corresponding sensitivities at 90% specificity. Standards for Reporting of Diagnostic Accuracy (STARD guidelines) were followed. RESULTS: CYFRA 21-1 (cytokeratin-19 fragment), CEA (carcinoembryonic antigen) and NSE (neuron specific enolase) were significantly higher in all lung cancers vs BLD, reaching AUCs of 0.81 (95% CI 0.76-0.87), 0.78 (0.73-0.84), and 0.88 (0.84-0.93), respectively. By the three marker combination, the discrimination between benign and all malignant cases was improved resulting in an AUC of 0.93 (95% CI 0.90-0.96). In NSCLC vs. BLD, CYFRA 21-1, CEA and NSE were best discriminative STMs, with AUCs of 0.86 (95% CI 0.81-0.91), 0.80 (0.74-0.85), and 0.85 (0.79-0.91). The three marker combination also improved the AUC: 0.92; 95% CI 0.89-0.96). In SCLC vs. BLD, ProGRP (pro-gastrin-releasing peptide) and NSE were best discriminative STMs, with AUCs of 0.89 (95% CI 0.84-0.94) and 0.96 (0.93-0.98), respectively, and slightly improved AUC of 0.97 (95% CI 0.95-0.99) when in combination. Finally, discrimination between SCLC and NSCLC was possible by ProGRP (AUC 0.86; 95% CI 0.81-0.91), NSE (AUC 0.83; 0.78-0.88) and CYFRA 21-1 (AUC 0.69; 0.64-0.75) and by the combination of the 3 STMs (AUC 0.93; 0.91-0.96), with a sensitivity of 88% at 90% specificity. CONCLUSIONS: The results confirm the power of STM combinations for the differential diagnosis of lung cancer from benign lesions and between histological lung cancer subtypes.</t>
  </si>
  <si>
    <t>the study focuses on tumor-associated antigens rather than mutation-derived neoantigens</t>
  </si>
  <si>
    <t>Awad, Mark M.; Govindan, Ramaswamy; Spigel, David R.; Garon, Edward B.; Kohler, Victoria; Vyasamneni, Rohit; Ramesh, Suchitra; Sciuto, Tracey E.; Moles, Melissa A.; Tepper, Jennifer; Wanamaker, Amy; Khondkar, Zakaria S.; Srouji, John; Dong, Jesse Z.; Balogh, Kristen N.; Poran, Asaf; Bushway, Meghan E.; DeMario, Mark; Gaynor, Richard B.; Srinivasan, Lakshmi</t>
  </si>
  <si>
    <t>A personal neoantigen vaccine NEO-PV-01 in combination with chemotherapy and pembrolizumab induces broad de novo immune responses in first-line non-squamous NSCLC: Associations with clinical outcomes</t>
  </si>
  <si>
    <t>Cancer Research</t>
  </si>
  <si>
    <t>Kharbanda, Akriti; Rajabi, Hasan; Jin, Caining; Tchaicha, Jeremy; Kikuchi, Eiki; Wong, Kwok-Kin; Kufe, Donald</t>
  </si>
  <si>
    <t>Targeting the oncogenic MUC1-C protein inhibits mutant EGFR-mediated signaling and survival in non-small cell lung cancer cells</t>
  </si>
  <si>
    <t>10.1158/1078-0432.CCR-13-3168</t>
  </si>
  <si>
    <t>PURPOSE: Non-small cell lung cancers (NSCLC) that express EGF receptor with activating mutations frequently develop resistance to EGFR kinase inhibitors. The mucin 1 (MUC1) heterodimeric protein is aberrantly overexpressed in NSCLC cells and confers a poor prognosis; however, the functional involvement of MUC1 in mutant EGFR signaling is not known. EXPERIMENTAL DESIGN: Targeting the oncogenic MUC1 C-terminal subunit (MUC1-C) in NSCLC cells harboring mutant EGFR was studied for effects on signaling, growth, clonogenic survival, and tumorigenicity. RESULTS: Stable silencing of MUC1-C in H1975/EGFR(L858R/T790M) cells resulted in downregulation of AKT signaling and inhibition of growth, colony formation, and tumorigenicity. Similar findings were obtained when MUC1-C was silenced in gefitinib-resistant PC9GR cells expressing EGFR(delE746_A750/T790M). The results further show that expression of a MUC1-C(CQC → AQA) mutant, which blocks MUC1-C homodimerization, suppresses EGFR(T790M), AKT and MEK → ERK activation, colony formation, and tumorigenicity. In concert with these results, treatment of H1975 and PC9GR cells with GO-203, a cell-penetrating peptide that blocks MUC1-C homodimerization, resulted in inhibition of EGFR, AKT, and MEK → ERK signaling and in loss of survival. Combination studies of GO-203 and afatinib, an irreversible inhibitor of EGFR, further demonstrate that these agents are synergistic in inhibiting growth of NSCLC cells harboring the activating EGFR(T790M) or EGFR(delE746-A750) mutants. CONCLUSIONS: These findings indicate that targeting MUC1-C inhibits mutant EGFR signaling and survival, and thus represents a potential approach alone and in combination for the treatment of NSCLCs resistant to EGFR kinase inhibitors.</t>
  </si>
  <si>
    <t>the study investigates how blocking MUC1-C homodimerization suppresses the AKT/MEK/ERK pathways to overcome TKI resistance</t>
  </si>
  <si>
    <t>Sakai, Yumiko; Kurose, Koji; Sakaeda, Kanako; Abo, Hirotaka; Atarashi, Yusuke; Ide, Nobuyuki; Sato, Toshiyuki; Kanda, Eiichiro; Fukuda, Minoru; Oga, Toru; Noda, Kenta; Oka, Mikio</t>
  </si>
  <si>
    <t>A novel automated immunoassay for serum NY-ESO-1 and XAGE1 antibodies in combinatory prediction of response to anti-programmed cell death-1 therapy in non-small-cell lung cancer</t>
  </si>
  <si>
    <t>Clinica Chimica Acta; International Journal of Clinical Chemistry</t>
  </si>
  <si>
    <t>10.1016/j.cca.2021.04.008</t>
  </si>
  <si>
    <t>BACKGROUND: Anti-programmed cell death-1 (PD-1) antibodies (Abs) are key drugs in non-small-cell lung cancer (NSCLC) treatment; however, clinical benefits with anti-PD-1 monotherapy are limited. We reported that serum Abs against cancer-testis antigens NY-ESO-1 and XAGE1 predicted clinical benefits. We aimed to develop a fully automated immunoassay system measuring NY-ESO-1/XAGE1 Abs. METHODS: Sera from 30 NSCLC patients before anti-PD-1 monotherapy were reacted with recombinant NY-ESO-1 protein- or synthetic XAGE1 peptide-coated magnetic beads. ALP-conjugated Ab and chemiluminescent substrate were added and luminescence measured. These procedures were automated using high sensitivity chemiluminescent enzyme immunoassay (HISCL™). NY-ESO-1/XAGE1 Ab stability was tested under various conditions. Response prediction accuracy was evaluated using area under receiver operating curve (AUROC). RESULTS: HISCL detected specific serum NY-ESO-1/XAGE1 Abs, which levels in ELISA and HISCL were highly correlated. The Ab levels in HISCL were stable at four temperatures, five freeze/thaw cycles, and long-term storage; the levels were not interfered by common blood components. The Ab levels in 15 NSCLC responders to anti-PD-1 monotherapy were significantly higher than those in non-responders and healthy donors. The AUROC was the highest (0.91; 95% CI, 0.78-1.0) in combinatory prediction with NY-ESO-1/XAGE1 Abs. CONCLUSION: Our immunoassay system is useful to predict clinical benefits with NSCLC immune-checkpoint therapy.</t>
  </si>
  <si>
    <t>Targets shared CTAs (NY-ESO-1, XAGE1), not mutation-derived neoantigens.</t>
  </si>
  <si>
    <t>Beck, Tim N.; Boumber, Yanis A.; Aggarwal, Charu; Pei, Jianming; Thrash-Bingham, Catherine; Fittipaldi, Patricia; Vlasenkova, Ramillya; Rao, Chandra; Borghaei, Hossein; Cristofanilli, Massimo; Mehra, Ranee; Serebriiskii, Ilya; Alpaugh, R. Katherine</t>
  </si>
  <si>
    <t>Circulating tumor cell and cell-free RNA capture and expression analysis identify platelet-associated genes in metastatic lung cancer</t>
  </si>
  <si>
    <t>10.1186/s12885-019-5795-x</t>
  </si>
  <si>
    <t>BACKGROUND: Circulating tumor cells (CTC) and plasma cell-free RNA (cfRNA) can serve as biomarkers for prognosis and treatment response in lung cancer. One barrier to the selected or routine use of CTCs and plasma cfRNA in precision oncology is the limited quantity of both, and CTCs are only seen in metastatic disease. As capture of CTCs and plasma cfRNA presents an opportunity to monitor and assess malignancies without invasive procedures, we compared two methods for CTC capture and identification, and profiled mRNA from CTCs and plasma cfRNA to identify potential tumor-associated biomarkers. METHODS: Peripheral blood was collected from ten patients with small cell lung cancer (SCLC), ten patients with non-small cell lung cancer (NSCLC) and four healthy volunteers. Two methods were used for CTC capture: the standard epithelial cell adhesion molecule (EpCam) CellSearch kit (unicapture) and EpCAM plus HER2, EGFR and MUC-1 specific combined ferrofluid capture (quadcapture). For the quadcapture, anti-cytokeratin 7 (CK7) was additionally used to assist in CTC identification. NanoString analysis was performed on plasma cfRNA and on mRNA from combined ferrofluid isolated CTCs. Expression data was analyzed using STRING and Reactome. RESULTS: Unicapture detected CTCs in 40% of NSCLC and 60% of SCLC; whereas, quadcapture/CK7 identified CTCs in 20% of NSCLC and 80% of SCLC. Bioinformatic analysis of NanoString data identified high expression of a platelet factor 4 (PF4)-related group of transcripts. CONCLUSIONS: Quadcapture ferrofluid reagent did not significantly improve CTC capture efficacy. NanoString analysis based on CTC and plasma cfRNA data highlighted an intriguing PF-4-centric network in patients with metastatic lung cancer.</t>
  </si>
  <si>
    <t>Targets TAAs and platelet-related networks, not neoantigens.</t>
  </si>
  <si>
    <t>Abelin, Jennifer G.; Bergstrom, Erik J.; Rivera, Keith D.; Taylor, Hannah B.; Klaeger, Susan; Xu, Charles; Verzani, Eva K.; Jackson White, C.; Woldemichael, Hilina B.; Virshup, Maya; Olive, Meagan E.; Maynard, Myranda; Vartany, Stephanie A.; Allen, Joseph D.; Phulphagar, Kshiti; Harry Kane, M.; Rachimi, Suzanna; Mani, D. R.; Gillette, Michael A.; Satpathy, Shankha; Clauser, Karl R.; Udeshi, Namrata D.; Carr, Steven A.</t>
  </si>
  <si>
    <t>Workflow enabling deepscale immunopeptidome, proteome, ubiquitylome, phosphoproteome, and acetylome analyses of sample-limited tissues</t>
  </si>
  <si>
    <t>10.1038/s41467-023-37547-0</t>
  </si>
  <si>
    <t>Serial multi-omic analysis of proteome, phosphoproteome, and acetylome provides insights into changes in protein expression, cell signaling, cross-talk and epigenetic pathways involved in disease pathology and treatment. However, ubiquitylome and HLA peptidome data collection used to understand protein degradation and antigen presentation have not together been serialized, and instead require separate samples for parallel processing using distinct protocols. Here we present MONTE, a highly sensitive multi-omic native tissue enrichment workflow, that enables serial, deep-scale analysis of HLA-I and HLA-II immunopeptidome, ubiquitylome, proteome, phosphoproteome, and acetylome from the same tissue sample. We demonstrate that the depth of coverage and quantitative precision of each 'ome is not compromised by serialization, and the addition of HLA immunopeptidomics enables the identification of peptides derived from cancer/testis antigens and patient specific neoantigens. We evaluate the technical feasibility of the MONTE workflow using a small cohort of patient lung adenocarcinoma tumors.</t>
  </si>
  <si>
    <t>Gjerstorff, Morten F.; Pøhl, Mette; Olsen, Karen E.; Ditzel, Henrik J.</t>
  </si>
  <si>
    <t>Analysis of GAGE, NY-ESO-1 and SP17 cancer/testis antigen expression in early stage non-small cell lung carcinoma</t>
  </si>
  <si>
    <t>10.1186/1471-2407-13-466</t>
  </si>
  <si>
    <t>BACKGROUND: The unique expression pattern and immunogenic properties of cancer/testis antigens make them ideal targets for immunotherapy of cancer. The MAGE-A3 cancer/testis antigen is frequently expressed in non-small cell lung cancer (NSCLC) and vaccination with MAGE-A3 in patients with MAGE-A3-positive NSCLC has shown promising results. However, little is known about the expression of other cancer/testis antigens in NSCLC. In the present study the expression of cancer/testis antigens GAGE, NY-ESO-1 and SP17 was investigated in patients with completely resected, early stage, primary NSCLC. METHODS: Tumor biopsies from normal lung tissue and from a large cohort (n = 169) of NSCLC patients were examined for GAGE, NY-ESO-1 and SP17 protein expression by immunohistochemical analysis. The expression of these antigens was further matched to clinical and pathological features using univariate cox regression analysis. RESULTS: GAGE and NY-ESO-1 cancer/testis antigens were not expressed in normal lung tissue, while SP17 was expressed in ciliated lung epithelia. The frequency of GAGE, NY-ESO-1 and SP17 expression in NSCLC tumors were 26.0% (44/169), 11.8% (20/169) and 4.7% (8/169), respectively, and 33.1% (56/169) of the tumors expressed at least one of these antigens. In general, the expression of GAGE, NY-ESO-1 and SP17 was not significantly associated with a specific histotype (adenocarcinoma vs. squamous cell carcinoma), but high-level GAGE expression (&gt;50%) was more frequent in squamous cell carcinoma (p = 0.02). Furthermore, the frequency of GAGE expression was demonstrated to be significantly higher in stage II-IIIa than stage I NSCLC (17.0% vs. 35.8%; p = 0.02). Analysis of the relation between tumor expression of GAGE and NY-ESO-1 and survival endpoints revealed no significant associations. CONCLUSION: Our study demonstrates that GAGE, NY-ESO-1 and SP17 cancer/testis antigens are candidate targets for immunotherapy of NSCLC and further suggest that multi-antigen vaccines may be beneficial.</t>
  </si>
  <si>
    <t>Targets shared CTAs (GAGE, NY-ESO-1, SP17), not mutation-derived neoantigens</t>
  </si>
  <si>
    <t>Pacurari, Maricica; Addison, Joseph B.; Bondalapati, Naveen; Wan, Ying-Wooi; Luo, Dajie; Qian, Yong; Castranova, Vincent; Ivanov, Alexey V.; Guo, Nancy Lan</t>
  </si>
  <si>
    <t>The microRNA-200 family targets multiple non-small cell lung cancer prognostic markers in H1299 cells and BEAS-2B cells</t>
  </si>
  <si>
    <t>International Journal of Oncology</t>
  </si>
  <si>
    <t>10.3892/ijo.2013.1963</t>
  </si>
  <si>
    <t>Lung cancer remains the leading cause of cancer-related mortality for both men and women. Tumor recurrence and metastasis is the major cause of lung cancer treatment failure and death. The microRNA‑200 (miR-200) family is a powerful regulator of the epithelial-mesenchymal transition (EMT) process, which is essential in tumor metastasis. Nevertheless, miR-200 family target genes that promote metastasis in non-small cell lung cancer (NSCLC) remain largely unknown. Here, we sought to investigate whether the microRNA-200 family regulates our previously identified NSCLC prognostic marker genes associated with metastasis, as potential molecular targets. Novel miRNA targets were predicted using bioinformatics tools based on correlation analyses of miRNA and mRNA expression in 57 squamous cell lung cancer tumor samples. The predicted target genes were validated with quantitative RT-PCR assays and western blot analysis following re-expression of miR-200a, -200b and -200c in the metastatic NSCLC H1299 cell line. The results show that restoring miR-200a or miR-200c in H1299 cells induces downregulation of DLC1, ATRX and HFE. Reinforced miR-200b expression results in downregulation of DLC1, HNRNPA3 and HFE. Additionally, miR-200 family downregulates HNRNPR3, HFE and ATRX in BEAS-2B immortalized lung epithelial cells in quantitative RT-PCR and western blot assays. The miR-200 family and these potential targets are functionally involved in canonical pathways of immune response, molecular mechanisms of cancer, metastasis signaling, cell-cell communication, proliferation and DNA repair in Ingenuity pathway analysis (IPA). These results indicate that re-expression of miR-200 downregulates our previously identified NSCLC prognostic biomarkers in metastatic NSCLC cells. These results provide new insights into miR-200 regulation in lung cancer metastasis and consequent clinical outcome, and may provide a potential basis for innovative therapeutic approaches for the treatment of this deadly disease.</t>
  </si>
  <si>
    <t>Targets wild-type miR-200 and EMT genes, not mutation-derived neoantigens.</t>
  </si>
  <si>
    <t>Li, Jian; Hu, Yi-Ming; Du, Yong-Jie; Zhu, Li-Rong; Qian, Hai; Wu, Yan; Shi, Wei-Lin</t>
  </si>
  <si>
    <t>Expressions of MUC1 and vascular endothelial growth factor mRNA in blood are biomarkers for predicting efficacy of gefitinib treatment in non-small cell lung cancer</t>
  </si>
  <si>
    <t>10.1186/1471-2407-14-848</t>
  </si>
  <si>
    <t>BACKGROUND: Gefitinib, an EGFR-tyrosine kinase inhibitor, significantly improve prognosis in patients with advanced non-small cell lung cancer (NSCLC). The aim of this study was to evaluate the usefulness of MUC1 and vascular endothelial growth factor (VEGF) mRNA expression in peripheral blood as means of predicting benefit from gefitinib therapy in NSCLC patients. METHODS: MUC1 and VEGF mRNA expressions were detected in peripheral blood of 66 patients with advanced NSCLC before (B0) and 4 weeks after treatment (B4w) with gefitinib, using real-time quantitative-PCR assay. Correlations between blood MUC1 and VEGF mRNA expression at B0 and B4w and the response to gefitinib treatment and survival were analyzed. RESULTS: Blood levels of MUC1 and VEGF mRNA at B0 and at B4w were significantly higher in patients with progressive disease than in those with partial response and stable disease. Furthermore, blood MUC1 and VEGF mRNA positivity at two time points were strongly associated with shorter progression-free survival (PFS) and overall survival (OS) (P = 0.005 and P = 0.008 at B0, and P &lt; 0.001 and P = 0.001 at B4w, respectively, for MUC1; P = 0.004 and P = 0.009 at B0, and P = 0.001 and P &lt; 0.001 at B4w, respectively, for VEGF). Multivariate analyses demonstrated that blood MUC1 and VEGF mRNA positivity at B0 and B4w were independent factors for predicting worse PFS and OS. CONCLUSIONS: MUC1 and VEGF mRNA positivity in blood seem to be indicators of unfavorable response and poor PFS and OS in patients with advanced NSCLC treated with gefitinib and may be promising noninvasive and repeatable markers for predicting efficacy of gefitinib treatment.</t>
  </si>
  <si>
    <t>Targets TAAs (MUC1/VEGF) mRNA levels, not mutation-derived neoantigens.</t>
  </si>
  <si>
    <t>Bian, Nan-Nan; Shi, Xin-Yu; Qi, Hong-Yu; Hu, Xin; Ge, Yang; An, Guang-Yu; Feng, Guo-Sheng</t>
  </si>
  <si>
    <t>The relationship of plasma fibrinogen with clinicopathological stages and tumor markers in patients with non-small cell lung cancer</t>
  </si>
  <si>
    <t>10.1097/MD.0000000000016764</t>
  </si>
  <si>
    <t>Numerous studies have shown that the blood of cancer patients are generally in hypercoagulable statement. The aim of the present research is to study the relationships of plasma fibrinogen (Fbg) levels with clinicopathological stages (CS) and tumor markers of non-small cell lung cancer (NSCLC).Baseline information, plasma Fbg levels, CS, and expression level of tumor markers were collected from medical records retrospectively. Unitary linear regression was used to analyze the relationships between continuous variables and Fbg, and multiple linear regression was used to analyze the relationships between categorical variables and Fbg. National Comprehensive Cancer Network Clinical Practice Guidelines in Oncology (Version 4) for NSCLC were adopted to evaluate CS.A total of 652 NSCLC patients were included. Compared with the females, male patients had higher mean plasma Fbg levels (P &lt; .001). The later the N stages (P = .002), M stages (P = .002), and CS (P = .001) were, the higher the average plasma Fbg levels were. The levels of squamous cell carcinoma antigen (P = .001), carbohydrate antigen 125 (P = .041), and neuron-specific enolase (P &lt; .001) were positively correlated with plasma Fbg concentration. The plasma level of Fbg in lung adenocarcinoma patients (P &lt; .001) was the lowest, while that of lung squamous cell carcinoma patients (P &lt; .001) was the highest in NSCLC patients.The plasma Fbg concentration is related to gender, CS, and tumor markers in patients with NSCLC.</t>
  </si>
  <si>
    <t>Targets coagulation factors and TAAs, not mutation-derived neoantigens</t>
  </si>
  <si>
    <t>Cho, Arthur; Hur, Jin; Moon, Yong Wha; Hong, Sae Rom; Suh, Young Joo; Kim, Yun Jung; Im, Dong Jin; Hong, Yoo Jin; Lee, Hye-Jeong; Kim, Young Jin; Shim, Hyo Sup; Lee, Jae Seok; Kim, Joo-Hang; Choi, Byoung Wook</t>
  </si>
  <si>
    <t>Correlation between EGFR gene mutation, cytologic tumor markers, 18F-FDG uptake in non-small cell lung cancer</t>
  </si>
  <si>
    <t>10.1186/s12885-016-2251-z</t>
  </si>
  <si>
    <t>BACKGROUND: EGFR mutation-induced cell proliferation causes changes in tumor biology and tumor metabolism, which may reflect tumor marker concentration and 18F-FDG uptake on PET/CT. Direct aspirates of primary lung tumors contain different concentrations of tumor markers than serum tumor markers, and may correlate better with EGFR mutation than serum tumor markers. The purpose of this study is to investigate an association between cytologic tumor markers and FDG uptake with EGFR mutation status in non-small cell lung cancer (NSCLC). METHODS: We prospectively collected tumor aspirates of 61 patients who underwent EGFR mutation analysis. Serum and cytologic CYFRA 21-1, CEA, and SCCA levels were measured and correlated with EGFR gene mutations. FDG PET/CT was performed on 58 patients for NSCLC staging, and SUV was correlated with EGFR mutation status. RESULTS: Thirty (50%) patients had EGFR mutation and 57 patients had adenocarcinoma subtype. Univariate analysis showed that female gender, never smoker, high levels of cytologic CYFRA 21-1 (c-CYFRA) and lower maximum standard uptake value (SUVmax) were correlated with EGFR mutations. ROC generated cut-off values of 20.8 ng/ml for c-CYFRA and SUVmax of 9.6 showed highest sensitivity for EGFR mutation detection. Multivariate analysis revealed that female gender [hazard ratio (HR): 18.15, p = 0.025], higher levels of c-CYFRA (HR: 7.58, and lower SUVmax (HR: 0.08, p = 0.005) were predictive of harboring EGFR mutation. CONCLUSIONS: The cytologic tumor marker c-CYFRA was positively associated with EGFR mutations in NSCLC. EGFR mutation-positive NSCLCs have relatively lower glycolysis compared with NSCLCs without EGFR mutation.</t>
  </si>
  <si>
    <t>The objective is the prediction of driver mutation status (EGFR) using clinical biomarkers and imaging</t>
  </si>
  <si>
    <t>Yang, Ching-Yao; Lin, Mong-Wei; Chang, Yih-Leong; Wu, Chen-Tu</t>
  </si>
  <si>
    <t>Globo H expression is associated with driver mutations and PD-L1 expressions in stage I non-small cell lung cancer</t>
  </si>
  <si>
    <t>Cancer Biomarkers: Section A of Disease Markers</t>
  </si>
  <si>
    <t>10.3233/CBM-170660</t>
  </si>
  <si>
    <t>BACKGROUND: Globo H is a tumor-associated carbohydrate antigen exclusively expressed in cancer cells rather than normal tissue. Globo H has been found on many cancers of epithelial origins, and become an attractive target for cancer vaccine. OBJECTIVES: We aimed to study the expression of Globo H in non-small cell lung cancer (NSCLC) patients, and correlated its expression with common driver mutations, clinical outcomes, and status of immune checkpoint, programmed death-ligand 1 (PD-L1). METHODS: The study enrolled 228 patients with surgically resected stage I NSCLC, including 139 patients with adenocarcinoma (ADC) and 89 patients with squamous cell carcinoma (SqCC). Using immunohistochemistry, tumors with moderate to strong membranous staining in ⩾ 1% tumor cells per section were scored as positive Globo H expression. Driver mutations including EGFR, KRAS, BRAF were detected by direct sequencing, while ALK, PI3KCA, FGFR1 and PD-L1 expression was detected by immunohistochemical (IHC) staining. RESULTS: Positive Globo H expression was detected in 88 of the 228 (38.6%) patients. These included 51 of 139 (36.7%) patients with ADC and 37 of 89 (41.6%) patients with SqCC. Positive Globo H expression was significantly associated with EGFR mutation and PD-L1 expression in the ADC group, and PI3KCA overexpression in the SqCC group. The survival analysis showed that Globo H expression was not an independent prognostic factor in stage I NSCLC. CONCLUSIONS: Globo H expression was correlated with specific driver mutations in ADC and SqCC NSCLC tumors, as well as PD-L1 status. Immunotherapy targeting Globo H may have potential application in lung cancer treatment.</t>
  </si>
  <si>
    <t>The objective is the characterization of a shared surface antigen to identify patients for "off-the-shelf" therapies</t>
  </si>
  <si>
    <t>Pujol, Jean-Louis; Vansteenkiste, Johan F.; De Pas, Tommaso Martino; Atanackovic, Djordje; Reck, Martin; Thomeer, Michiel; Douillard, Jean-Yves; Fasola, Gianpiero; Potter, Vanessa; Taylor, Paul; Bosquée, Lionel; Scheubel, Robert; Jarnjak, Silvija; Debois, Muriel; de Sousa Alves, Pedro; Louahed, Jamila; Brichard, Vincent G.; Lehmann, Frédéric F.</t>
  </si>
  <si>
    <t>Safety and Immunogenicity of MAGE-A3 Cancer Immunotherapeutic with or without Adjuvant Chemotherapy in Patients with Resected Stage IB to III MAGE-A3-Positive Non-Small-Cell Lung Cancer</t>
  </si>
  <si>
    <t>10.1097/JTO.0000000000000653</t>
  </si>
  <si>
    <t>INTRODUCTION: To assess the safety and immunogenicity of MAGE-A3 immunotherapeutic in patients with stage IB-III MAGE-A3-positive non-small-cell lung cancer (NSCLC) who were or were not undergoing standard cisplatin/vinorelbine chemotherapy. METHODS: This open, prospective, multicenter, parallel-group phase I study (NCT00455572) enrolled patients with resected (cohorts 1-3) or unresectable (cohort 4) MAGE-A3-positive NSCLC. MAGE-A3 immunotherapeutic (300 μg recombinant MAGE-A3 formulated with AS15) was administered (eight doses, 3 weeks apart) concurrent with (cohort 1), after (cohort 2), or without (cohort 3) standard-adjuvant chemotherapy, or after standard radiotherapy and/or chemotherapy (cohort 4). RESULTS: Sixty-seven patients received greater than or equal to 1 dose of MAGE-A3 immunotherapeutic. Grade 3/4 adverse events (AEs) were reported for 16 out of 19 (84%), 2 out of 18 (11%), 5 out of 18 (28%), and 1 out of 12 (8%) patients in cohorts 1, 2, 3, and 4, respectively. Many grade 3/4 AEs in cohort 1 (e.g., neutropenia) were typical of chemotherapy. Six patients, including three in cohort 1, reported study treatment-related grade 3/4 AEs (injection-site reactions or musculoskeletal/back pain, which resolved within 5 days). One patient (in cohort 4) died, but this and the other serious adverse events were not study treatment related. MAGE-A3-specific antibody responses to immunotherapy were induced in all patients evaluated in all cohorts. MAGE-A3-specific CD4 T-cell responses to immunotherapy were detected in 4 out of 11 (36%), 4 out of 15 (27%), 2 out of 8 (25%), and 5 out of 6 (83%) evaluated patients in cohorts 1, 2, 3, and 4, respectively; and CD8 T-cell responses were only detected in four patients. CONCLUSION: In resected and unresectable NSCLC patients and irrespective of whether standard chemotherapy was concurrent or not, MAGE-A3 immunotherapeutic is well tolerated and induces MAGE-A3-specific immune responses.</t>
  </si>
  <si>
    <t>While the study found MAGE-A3-specific antibody and T-cell responses in patients, it focuses on a shared Cancer-Testis Antigen (CTA) rather than personalized neoantigens</t>
  </si>
  <si>
    <t>Nisman, Benjamin; Biran, Haim; Ramu, Nili; Heching, Norman; Barak, Vivian; Peretz, Tamar</t>
  </si>
  <si>
    <t>The diagnostic and prognostic value of ProGRP in lung cancer</t>
  </si>
  <si>
    <t>Anticancer Research</t>
  </si>
  <si>
    <t>AIM: To investigate the diagnostic and prognostic significance of pro-gastrin-releasing peptide (ProGRP) in non-small cell (NSCLC) and small cell lung cancer (SCLC) and compare this marker with other known serum markers in lung cancer. PATIENTS AND METHODS: Serum levels of ProGRP, neuron-specific enolase (NSE), CYFRA 21-1 and carcinoembryonic antigen (CEA) were measured in 37 patients with benign pulmonary disease (BPD), 88 with advanced NSCLC and 37 with SCLC. RESULTS: The ProGRP assay showed a better clinical performance than that of NSE in discriminating between SCLC and BPD or NSCLC, especially at specificity higher than 90%. ProGRP and NSE sensitivity in SCLC at 95% specificity versus the BPD group was 78.4% and 48.6%, (p=0.001) and at 97.7% specificity versus NSCLC, 75.7% and 37.8%, respectively (p=0.001). A significant association of low ProGRP levels with high-grade NSCLC tumors was found (p=0.002). A univariate analysis showed a significant association of ProGRP with survival both in NSCLC and SCLC (p=0.03 and p=0.04, respectively). In multivariate analysis, performance status (PS) and CYFRA 21-1 in NSCLC, and PS, CYFRA 21-1 and serum lactic dehydrogenase in SCLC were found as significant variables with an independent impact on survival. CONCLUSION: ProGRP is a useful marker in SCLC, with diagnostic performance better than that of NSE and demonstrating association with survival in NSCLC and SCLC limited to univariate analysis.</t>
  </si>
  <si>
    <t>It aims to determine the diagnostic sensitivity/specificity for SCLC vs. NSCLC and correlate these with Overall Survival (OS).</t>
  </si>
  <si>
    <t>Choi, Hyejin; Deng, Jiehui; Li, Shuai; Silk, Tarik; Dong, Lauren; Brea, Elliott J.; Houghton, Sean; Redmond, David; Zhong, Hong; Boiarsky, Jonathan; Akbay, Esra A.; Smith, Paul D.; Merghoub, Taha; Wong, Kwok-Kin; Wolchok, Jedd D.</t>
  </si>
  <si>
    <t>Pulsatile MEK Inhibition Improves Anti-tumor Immunity and T Cell Function in Murine Kras Mutant Lung Cancer</t>
  </si>
  <si>
    <t>10.1016/j.celrep.2019.03.066</t>
  </si>
  <si>
    <t>KRAS is one of the driver oncogenes in non-small-cell lung cancer (NSCLC) but remains refractory to current modalities of targeted pathway inhibition, which include inhibiting downstream kinase MEK to circumvent KRAS activation. Here, we show that pulsatile, rather than continuous, treatment with MEK inhibitors (MEKis) maintains T cell activation and enables their proliferation. Two MEKis, selumetinib and trametinib, induce T cell activation with increased CTLA-4 expression and, to a lesser extent, PD-1 expression on T cells in vivo after cyclical pulsatile MEKi treatment. In addition, the pulsatile dosing schedule alone shows superior anti-tumor effects and delays the emergence of drug resistance. Furthermore, pulsatile MEKi treatment combined with CTLA-4 blockade prolongs survival in mice bearing tumors with mutant Kras. Our results set the foundation and show the importance of a combinatorial therapeutic strategy using pulsatile targeted therapy together with immunotherapy to optimally enhance tumor delay and promote long-term anti-tumor immunity.</t>
  </si>
  <si>
    <t>The study investigates the optimization of dosing schedules for MEK inhibitors (MEKis) to preserve T-cell function.</t>
  </si>
  <si>
    <t>Yu, Yang; Zhao, Qian; He, Xiao-Peng; Wang, Zhou; Liu, Xiang-Yan; Zhang, Zhi-Ping</t>
  </si>
  <si>
    <t>Signal transducer and activator of transcription 3 overexpression promotes lymph node micrometastasis in early-stage non-small cell lung cancer</t>
  </si>
  <si>
    <t>10.1111/1759-7714.12598</t>
  </si>
  <si>
    <t>BACKGROUND: Signal transducer and activator of transcription 3 (STAT3) is constitutively activated in several malignancies. Here, we define the correlation between STAT3 expression and lymph node micrometastasis of early-stage non-small cell lung cancer. Then we highlight some possibilities associated with developing a way to detect tumor micrometastasis and an anticancer drug that might therapeutically inhibit the STAT3 signaling pathway. METHODS: The samples were collected from 50 patients with early-stage non-small cell lung cancer and 50 patients with benign lung tumors. Mucin 1 mRNA expression was evaluated to determine lymph node micrometastasis status. STAT3 mRNA, STAT3 protein, and phosphorylated STAT3 protein expression were evaluated through reverse transcription polymerase chain reaction, western blot, and immunohistochemistry, respectively. Measurement data was represented as mean ± standard deviation, and the t-rest or F-test were used. The χ2 -test was used in enumeration data. Logistic regression analysis was carried out to determine the independent risk factors influencing lymph node micrometastasis. RESULTS: STAT3 mRNA and proteins expression were correlated with lymph node micrometastasis (P &lt; 0.05). Logistic regression analysis revealed STAT3 protein overexpression and the differentiation degree of tumors were independent risk factors for lymph node micrometastasis. CONCLUSION: Overexpression of STAT3 might promote lymphatic micrometastasis of early-stage non-small cell lung cancer and might be a clinical predictor of lymph node micrometastasis.</t>
  </si>
  <si>
    <t>The study investigates STAT3 (a transcription factor/signaling protein) and Mucin 1 (MUC1) mRNA.</t>
  </si>
  <si>
    <t>Maheswaran, Emeaga; Pedersen, Christina B.; Ditzel, Henrik J.; Gjerstorff, Morten F.</t>
  </si>
  <si>
    <t>Lack of ADAM2, CALR3 and SAGE1 Cancer/Testis Antigen Expression in Lung and Breast Cancer</t>
  </si>
  <si>
    <t>10.1371/journal.pone.0134967</t>
  </si>
  <si>
    <t>Immunotherapy is emerging as a supplement to conventional cancer treatment, and identifying antigen targets for specific types of cancer is critical to optimizing therapeutic efficacy. Cancer/testis antigens are highly promising targets for immunotherapy due to their cancer-specific expression and antigenic properties, but the expression patterns of most of the more than 200 identified cancer/testis antigens in various cancers remain largely uncharacterized. In this study, we investigated the expression of the cancer/testis antigens ADAM2, CALR3 and SAGE1 in lung and breast cancer, the two most frequent human cancers, with the purpose of providing novel therapeutic targets for these diseases. We used a set of previously uncharacterized antibodies against the cancer/testis antigens ADAM2, CALR3 and SAGE1 to investigate their expression in a large panel of normal tissues as well as breast and lung cancers. Staining for the well-characterized MAGE-A proteins was included for comparison. Immunohistochemical staining confirmed previous mRNA analysis demonstrating that ADAM2, CALR3 and SAGE1 proteins are confined to testis in normal individuals. Negative tissues included plancenta, which express many other CT antigens, such as MAGE-A proteins. Surprisingly, we detected no ADAM2, CALR3 and SAGE1 in the 67 lung cancers (mainly non-small lung cancer) and 189 breast cancers, while MAGE-A proteins were present in 15% and 7-16% of these tumor types, respectively. Treatment with DNA methyltransferase inhibitors has been proposed as an attractive strategy to increase the expression of cancer/testis antigens in tumors before immunotargeting; however, neither ADAM2, CALR3 nor SAGE1 could be significantly induced in lung and breast cancer cell lines using this strategy. Our results suggest that ADAM2, CALR3 and SAGE1 cancer/testis antigens are not promising targets for immunotherapy of breast and lung cancer.</t>
  </si>
  <si>
    <t>The study investigates Cancer/Testis Antigens (CTAs): ADAM2, CALR3, and SAGE1 not neoantigens</t>
  </si>
  <si>
    <t>Lin, Jing; Liu, Jun; Hao, Shi-Guang; Lan, Bin; Zheng, Xiao-Bin; Xiong, Jia-Ni; Zhang, Ying-Qian; Gao, Xuan; Chen, Chuan-Ben; Chen, Ling; Huang, Yu-Fang; Luo, Hong; Yi, Yu-Ting; Yi, Xin; Lu, Jian-Ping; Zheng, Xiong-Wei; Chen, Gang; Wang, Xue-Feng; Chen, Yu</t>
  </si>
  <si>
    <t>An EGFR L858R mutation identified in 1862 Chinese NSCLC patients can be a promising neoantigen vaccine therapeutic strategy</t>
  </si>
  <si>
    <t>10.3389/fimmu.2022.1022598</t>
  </si>
  <si>
    <t>BACKGROUND: This study aimed to develop a vaccine that targets mutation-derived neoantigen in Chinese non-small-cell lung cancer (NSCLC). METHODS: A cohort of 1862 Chinese NSCLC patients who underwent targeted sequencing with a 1021-gene panel was investigated. HLA typing was done using OptiType v1.0 and neoantigens were predicted by netMHCpan v4.0. HLA LOH was inferred using the lohhla algorithm and TMB were quantified by counting the total number of non-synonymous ones based on our panel data. CIBERSORT was utilized to estimate the TME in different EGFR mutant subtype by using TCGA data. RESULTS: HLA-A*11:01(42.59%) was the top one allele and HLA-A*33:03(12.94%) ranked 12th. EGFR L858R (22.61%) was the most prevalent gene variant. The binding affinity (IC50 MT = 22.9 nM) and shared frequency (2.93%) of EGFR L858R in combination with HLA-A*33:03 were optimal. In a subsequent further analysis on immunological features of EGFR mutant subtypes, 63.1% HLA loss of heterozygosity LOH (HLA LOH) and 0.37% (7 of 1862) B2M aberrations were found in our population, both had no significant association with EGFR mutant subtypes suggesting that the process of antigen presentation involved HLA LOH and B2M mechanisms in EGFR L858R is working. Tumor mutation burden (TMB) was investigated by utilizing our panel and showed that EGFR L858R had the lowest TMB compared with other EGFR mutant subtypes. In addition, analysis of 22 immune cell types from The Cancer Genome Atlas (TCGA) data showed EGFR L858R was correlated with low level of CD8 T cells, activated CD4 memory T cells and elevated level of macrophage M2 suggesting an inhibited tumor microenvironment (TME). CONCLUSION: Our study identified that EGFR L858R neoantigen had the potential to generate cancer vaccines in NSCLC patients with HLA A*33:03. The neoantigen-based vaccines may become an effective salvage regimen for EGFR L858R subgroup after targeted therapy or immune checkpoint inhibitors (ICIs) failure.</t>
  </si>
  <si>
    <t>Kotsakis, Athanasios; Koinis, Filippos; Katsarou, Afroditi; Gioulbasani, Marianthi; Aggouraki, Despoina; Kentepozidis, Nikolaos; Georgoulias, Vassilis; Vetsika, Eleni-Kyriaki</t>
  </si>
  <si>
    <t>Prognostic value of circulating regulatory T cell subsets in untreated non-small cell lung cancer patients</t>
  </si>
  <si>
    <t>10.1038/srep39247</t>
  </si>
  <si>
    <t>The role of the different circulating regulatory T-cells (Treg) subsets, as well as their correlation with clinical outcome of non-small cell lung cancer (NSCLC) patients is poorly understood. Peripheral blood from 156 stage III/IV chemotherapy-naive NSCLC patients and 31 healthy donors (HD) was analyzed with flow cytometry for the presence and functionality of CD4+ Treg subsets (naive, effector and terminal effector). Their frequencies were correlated with the clinical outcome. All CD4+ Treg subsets exhibited highly suppressive activity by TGF-β and IL-10 production. The percentages of naive Treg were found elevated in NSCLC patients compared to HD and were associated with poor clinical outcome, whereas the percentage of terminal effector Treg was lower compared to HD and higher levels were correlated with improved clinical response. At baseline, normal levels of naive and effector Treg were associated with longer overall survival (OS) compared to high levels, while the high frequency of the terminal effector Treg was correlated with longer Progression-Free Survival and OS. It is demonstrated, for first time, that particular CD4+ Treg subtypes are elevated in NSCLC patients and their levels are associated to the clinical outcome. The blocking of their migration to the tumor site may be an effective therapeutic strategy.</t>
  </si>
  <si>
    <t>The study investigates circulating regulatory T-cell (Treg) subsets and cytokines (TGF-β, IL-10).Tregs are a cellular population of the immune system, not an antigen</t>
  </si>
  <si>
    <t>Li, Ailin; Zhang, Weiwei; Xia, Huifang; Miao, Yuan; Zhou, Haijing; Zhang, Xiupeng; Dong, Qianze; Li, Qingchang; Qiu, Xueshan; Wang, Enhua</t>
  </si>
  <si>
    <t>Overexpression of CASS4 promotes invasion in non-small cell lung cancer by activating the AKT signaling pathway and inhibiting E-cadherin expression</t>
  </si>
  <si>
    <t>10.1007/s13277-016-5411-5</t>
  </si>
  <si>
    <t>The role of Crk-associated substrate (CAS) family members in regulating invasion and metastasis has been described in several cancers. As the fourth member of the CAS family, CASS4 is also related with positive lymph node metastasis and poor prognosis in lung cancer. However, the underlying mechanisms and downstream effectors of CASS4 in the development and progression of non-small cell lung cancer (NSCLC) remain unclear. In this study, CASS4 overexpression inhibited E-cadherin expression and enhanced invasion in NSCLC cell line transfected with CASS4 plasmid, while CASS4 depletion upregulated E-cadherin expression and inhibited invasion in NSCLC cell line transfected with CASS4 siRNA. The effect of CASS4 overexpression in facilitating invasion of NSCLC cells was reversed by restoring E-cadherin expression, which indicates that CASS4 may promote invasion by inhibiting E-cadherin expression. Subsequent immunohistochemistry results confirmed that CASS4 overexpression correlated with loss of E-cadherin expression. We next investigated the phosphorylation levels of focal adhesion kinase (FAK), p38, extracellular signal-related kinase (ERK), and AKT after CASS4 plasmid or CASS4 siRNA transfection. CASS4 facilitated AKT (Ser473) phosphorylation. Treatment with an AKT phosphorylation inhibitor reversed the increased invasive capacity and downregulation of E-cadherin protein induced by CASS4 overexpression. Taken together, the present results indicate that CASS4 may promote NSCLC invasion by activating the AKT signaling pathway, thereby inhibiting E-cadherin expression.</t>
  </si>
  <si>
    <t>Targets wild-type signaling proteins (CASS4, AKT), not neoantigens</t>
  </si>
  <si>
    <t>Sanborn, Rachel E.; Ross, Helen J.; Aung, Sandra; Acheson, Anupama; Moudgil, Tarsem; Puri, Sachin; Hilton, Traci; Fisher, Brenda; Coffey, Todd; Paustian, Christopher; Neuberger, Michael; Walker, Edwin; Hu, Hong-Ming; Urba, Walter J.; Fox, Bernard A.</t>
  </si>
  <si>
    <t>A pilot study of an autologous tumor-derived autophagosome vaccine with docetaxel in patients with stage IV non-small cell lung cancer</t>
  </si>
  <si>
    <t>10.1186/s40425-017-0306-6</t>
  </si>
  <si>
    <t>BACKGROUND: Tumor-derived autophagosome vaccines (DRibbles) have the potential to broaden immune response to poorly immunogenic tumors. METHODS: Autologous vaccine generated from tumor cells harvested from pleural effusions was administered to patients with advanced NSCLC with the objectives of assessing safety and immune response. Four patients were vaccinated and evaluable for immune response; each received two to four doses of vaccine. Study therapy included two cycles of docetaxel 75 mg/m2 on days 1 and 29 to treat the tumor, release hidden antigens and produce lymphopenia. DRibbles were to be administered intradermally on days 14, 43, 57, 71, and 85, together with GM-CSF (50 μg/d x 6d, administered via SQ mini pump). Peripheral blood was tested for immune parameters at baseline and at each vaccination. RESULTS: Three of four patients had tumor cells available for testing. Autologous tumor-specific immune response was seen in two of the three, manifested by IL-5 (1 patient after 3 doses), and IFN-γ, TNF-α, IL-5, IL-10 (after 4 doses in one patient). All 4 patients had evidence of specific antibody responses against potential tumor antigens. All patients came off study after 4 or fewer vaccine treatments due to progression of disease. No significant immune toxicities were seen during the course of the study. CONCLUSIONS: DRibble vaccine given with GM-CSF appeared safe and capable of inducing an immune response against tumor cells in this small, pilot study. There was no evidence of efficacy in this small poor-prognosis patient population, with treatment not feasible. Trial registration NCT00850785, initial registration date February 23, 2009.</t>
  </si>
  <si>
    <t>The approach focuses on non-specific tumor-associated antigens from whole-cell lysates rather than the required somatic mutation-derived neoantigens</t>
  </si>
  <si>
    <t>Li, Ying; Xuan, Jie; Song, Yujun; Qi, Wenjin; He, Bangshun; Wang, Ping; Qin, Lidong</t>
  </si>
  <si>
    <t>Nanoporous Glass Integrated in Volumetric Bar-Chart Chip for Point-of-Care Diagnostics of Non-Small Cell Lung Cancer</t>
  </si>
  <si>
    <t>ACS nano</t>
  </si>
  <si>
    <t>10.1021/acsnano.5b07357</t>
  </si>
  <si>
    <t>Point-of-care (POC) testing has the potential to enable rapid, low-cost, and large-scale screening. POC detection of a multiplexed biomarker panel can facilitate the early diagnosis of non-small cell lung cancer (NSCLC) and, thus, may allow for more timely surgical intervention for life-saving treatment. Herein, we report the nanoporous glass (NPG) integrated volumetric bar-chart chip (V-Chip) for POC detection of the three NSCLC biomarkers CEA, CYFRA 21-1, and SCCA, by the naked eye. The 3D nanostructures in the NPG membrane efficiently increase the number of binding sites for antibodies and decrease the diffusion distance between antibody and antigen, enabling the low detection limit and rapid analysis time of the NPG-V-Chip. We utilized the NPG-V-Chip to test the NSCLC biomarker panel and found that the limit of detection can reach 50 pg/mL (10-fold improvement over the original V-Chip), and the total assay time can be decreased from 4 to 0.5 h. We then detected CEA in 21 serum samples from patients with common cancers, and the on-chip results showed good correlation with the clinical results. We further assayed 10 lung cancer samples using the device and confirmed the results obtained using conventional ELISA methods. In summary, the NPG-V-Chip platform has the ability of multiplex, low detection limit, low cost, lack of need for accessory equipment, and rapid analysis time, which may render the V-Chip a useful platform for quantitative POC detection in resource-limited settings and personalized diagnostics.</t>
  </si>
  <si>
    <t>it targets clinical tumor-associated antigens rather than the required somatic mutation-derived neoantigens</t>
  </si>
  <si>
    <t>Zhou, Shixia; Zhang, Zhongmian; Zheng, Pengyuan; Zhao, Wenchao; Han, Na</t>
  </si>
  <si>
    <t>MicroRNA-1285-5p influences the proliferation and metastasis of non-small-cell lung carcinoma cells via downregulating CDH1 and Smad4</t>
  </si>
  <si>
    <t>10.1177/1010428317705513</t>
  </si>
  <si>
    <t>Abnormal expression of microRNAs has been reported to regulate gene expression and cancer cell growth, invasion, and migration. Recently, upregulation of hsa-miR-1285 was demonstrated in bronchoalveolar lavage fluid samples from patients with lung cancer and downregulation in plasma level of stage-I lung cancer patients. However, the function and the underlying mechanism of miR-1285 in non-small-cell lung carcinoma have not been elucidated. In this study, we found that miR-1285-5p, the mature form of miR-1285, was significantly upregulated in human non-small-cell lung carcinoma cell lines A549 and SK-MES-1. Additionally, cells transfected with the miR-1285-5p inhibitor LV-anti-miR-1285-5p demonstrated significantly inhibited proliferation and invasion and depressed migration. Further analysis demonstrated that the miR-1285-5p precursor LV-miR-1285-5p attenuated the expression of Smad4 and cadherin-1 (CDH1) but that LV-anti-miR-1285-5p showed opposite results. A luciferase reporter assay confirmed that miR-1285-5p targeted Smad4 and CDH1. Mechanism analyses revealed that silence of Smad4 and CDH1 significantly attenuated the inhibitory effects of LV-anti-miR-1285-5p on non-small-cell lung carcinoma growth and invasion. Taken together, our data suggest that miR-1285-5p functions as a tumor promoter in the development of non-small-cell lung carcinoma by targeting Smad4 and CDH1, indicating a novel therapeutic strategy for non-small-cell lung carcinoma patients.</t>
  </si>
  <si>
    <t>The study investigates hsa-miR-1285-5p and its regulatory targets, Smad4 and CDH1 (E-cadherin)</t>
  </si>
  <si>
    <t>Ghazal, Diala; Zalzala, Fatma; Fisk, John C.; Tati, Swetha; Karacosta, Loukia G.; Morey, Susan; Olson, James R.; Quataert, Sally; Dy, Grace K.; Rittenhouse-Olson, Kate</t>
  </si>
  <si>
    <t>Therapeutic efficacy of the humanized JAA-F11 anti-Thomsen-Friedenreich antibody constructs H2aL2a and H3L3 in human breast and lung cancer xenograft models</t>
  </si>
  <si>
    <t>10.18632/oncotarget.28282</t>
  </si>
  <si>
    <t>The Thomsen-Friedenreich antigen (TF-Ag-α) is found on ~85% of human carcinomas but is cryptic on normal tissue. The humanized highly specific hJAA-F11-H2aL2a and -H3L3 antibodies target TF-Ag-α without binding to TF-Ag-beta (found on surface glycolipids of some normal cells). The relative affinity of H3L3 is 17 times that of H2aL2a, which would seem to favor superior efficacy, however, increased affinity can result in less tumor penetration. To assess the potential therapeutic efficacy of these antibodies, four human cancer- mouse xenograft models were treated with H2aL2a and H3L3. The tumor xenograft models used were human non-small cell lung cancer, H520, and small cell lung cancer, HTB171 in nude mice and human triple negative breast cancer, MDA-MB-231 and HCC1806 in SCID mice. H2aL2a significantly decreased tumor growth in both breast and both lung cancer models. H2aL2a showed statistically equal or better efficacy than H3L3 and has superior production capabilities. These results suggest that H2aL2a may be superior as a naked antibody, as an antibody drug conjugate or as a radiolabeled antibody, however the higher affinity of H3L3 may lead to better efficacy in bi-specific therapies in which the binding is decreased due to the presence of only one TF-Ag-α binding site.</t>
  </si>
  <si>
    <t>it targets a carbohydrate tumor-associated antigen (TACA) rather than mutation-derived neoantigens</t>
  </si>
  <si>
    <t>Segatori, Valeria I.; Cuello, Héctor A.; Gulino, Cynthia A.; Albertó, Marina; Venier, Cecilia; Guthmann, Marcelo D.; Demarco, Ignacio A.; Alonso, Daniel F.; Gabri, Mariano R.</t>
  </si>
  <si>
    <t>Antibody-dependent cell-mediated cytotoxicity induced by active immunotherapy based on racotumomab in non-small cell lung cancer patients</t>
  </si>
  <si>
    <t>10.1007/s00262-018-2188-y</t>
  </si>
  <si>
    <t>Antitumor strategies based on positive modulation of the immune system currently represent therapeutic options with prominent acceptance for cancer patients' treatment due to its selectivity and higher tolerance compared to chemotherapy. Racotumomab is an anti-idiotype (anti-Id) monoclonal antibody (mAb) directed to NeuGc-containing gangliosides such as NeuGcGM3, a widely reported tumor-specific neoantigen in many human cancers. Racotumomab has been approved in Latin American countries as an active immunotherapy for advanced non-small cell lung cancer (NSCLC) treatment. In this work, we evaluated the induction of Ab-dependent cell-mediated cytotoxicity (ADCC) in NSCLC patients included in a phase III clinical trial, in response to vaccination with racotumomab. The development of anti-NeuGcGM3 antibodies (Abs) in serum samples of immunized patients was first evaluated using the NeuGcGM3-expressing X63 cells, showing that racotumomab vaccination developed antigen-specific Abs that are able to recognize NeuGcGM3 expressed in tumor cell membranes. ADCC response against NeuGcGM3-expressing X63 (target) was observed in racotumomab-treated- but not in control group patients. When target cells were depleted of gangliosides by treatment with a glucosylceramide synthase inhibitor, we observed a significant reduction of the ADCC activity developed by sera from racotumomab-vaccinated patients, suggesting a target-specific response. Our data demonstrate that anti-NeuGcGM3 Abs induced by racotumomab vaccination are able to mediate an antigen-specific ADCC response against tumor cells in NSCLC patients.</t>
  </si>
  <si>
    <t>The study focuses on Antibody-Dependent Cell-Mediated Cytotoxicity (ADCC) and B-cell responses (serum antibodies).</t>
  </si>
  <si>
    <t>Wang, Shuang; Xu, Zhen Ye; Wang, Li Fang; Su, Wan</t>
  </si>
  <si>
    <t>CD133+ cancer stem cells in lung cancer</t>
  </si>
  <si>
    <t>Frontiers in Bioscience</t>
  </si>
  <si>
    <t>10.2741/4113</t>
  </si>
  <si>
    <t>Lung cancer is the most preventable cancer worldwide but has a poor prognosis. Recent advances in the study of lung cancer stem cell (CSC) populations has led to a growing recognition of the central importance of cells with stem cell-like properties in lung tumorigenesis. High number of CD133+ cells is associated with the maintenance, metastasis and drug-resistance of lung cancer. CD133 serves as a stemness biomarker for CD133+ CSCs, which have been found in lung cancer tissues. This article reviews the major studies supporting the existence and importance of CD133+ CSCs in the maintenance, metastasis and drug resistance of lung cancer. Continued research in the field of CD133+ CSCs biology is vital, as ongoing efforts promise to yield new prognostic and therapeutic targets.</t>
  </si>
  <si>
    <t>General CSC biology overview; lacks neoantigen discovery for therapy and its  a review</t>
  </si>
  <si>
    <t>Wang, Lishui; Wang, Ding; Zheng, Guixi; Yang, Yongmei; Du, Lutao; Dong, Zhaogang; Zhang, Xin; Wang, Chuanxin</t>
  </si>
  <si>
    <t>Clinical evaluation and therapeutic monitoring value of serum tumor markers in lung cancer</t>
  </si>
  <si>
    <t>10.5301/jbm.5000177</t>
  </si>
  <si>
    <t>BACKGROUND: Tumor markers CYFRA21-1, CEA, NSE, CA125, pro-GRP and SCC are routinely used for lung cancer. However, there has been no systematic evaluation of these markers in the same cohort. The aim of this study was to evaluate the diagnostic and therapeutic monitoring value of these markers. METHODS: The levels of 6 serum tumor markers were measured in 392 patients, including 308 patients with non-small cell lung cancer (NSCLC) and 84 with small cell lung cancer (SCLC), and 116 patients with benign lung diseases and 144 healthy controls. 34 patients were followed up after operation and chemotherapy. Multiple logistic models and receiver operating characteristic (ROC) curves were used to evaluate their diagnostic value. RESULTS: CEA, NSE, CA125 and pro-GRP in SCLC, and CYFRA21-1 as well as CEA in NSCLC, were higher than those in control groups. The level of CEA and CA125 were related to the clinical stages of NSCLC. Pro-GRP was significantly increased in extensive disease (ED) compared with limited disease (LD) in SCLC. CYFRA21-1 was reduced after the third and fifth treatment cycle respectively in patients who undergoing operation and without operation. NSE and pro-GRP were reduced significantly after the second and third treatment cycles, respectively. CONCLUSIONS: CEA, NSE, CA125 and pro-GRP could serve as biomarkers for SCLC, and CEA and CYFRA21-1 could serve as biomarkers for NSCLC. Pro-GRP, CA125 and CEA were related to the clinical stages of lung cancer. CYFRA21-1, NSE and pro-GRP could be used for monitoring the effect of chemotherapy.</t>
  </si>
  <si>
    <t>The study evaluates six established Tumor-Associated Antigens (TAAs): CYFRA21-1, CEA, NSE, CA125, pro-GRP, and SCC. These are wild-type (self) proteins that are overexpressed or shed by tumor cells</t>
  </si>
  <si>
    <t>Chen, Chao; Liu, Haozhen; Li, Yanling; Xu, Qumiao; Liu, Jixian</t>
  </si>
  <si>
    <t>Downregulation of PTPRT elevates the expression of survivin and promotes the proliferation, migration, and invasion of lung adenocarcinoma</t>
  </si>
  <si>
    <t>10.1186/s12885-024-11840-7</t>
  </si>
  <si>
    <t>BACKGROUND: Receptor-type tyrosine-protein phosphatase T (PTPRT) is a transmembrane protein that is involved in cell adhesion. We previously found that PTPRT was downregulated in multiple cancer types and the mutation of PTPRT was associated with cancer early metastasis. However, the impacts of PTPRT downregulation on tumour proliferation, invasion, and clinical interventions such as immune checkpoint inhibitor (ICI) therapies remained largely unknown. METHODS: Gene expression data of non-small cell lung cancer (NSCLC) samples from The Cancer Genome Atlas database were downloaded and used to detect the differential expressed genes between PTPRT-high and PTPRT-low subgroups. Knockdown and overexpress of PTPRT in lung cancer cell lines were performed to explore the function of PTPRT in vitro. Western blot and qRT-PCR were used to evaluate the expression of cell cycle-related genes. CCK-8 assays, wound-healing migration assay, transwell assay, and colony formation assay were performed to determine the functional impacts of PTPRT on cell proliferation, migration, and invasion. KM-plotter was used to explore the significance of selected genes on patient prognosis. RESULTS: PTPRT was found to be downregulated in tumours and lung cancer cell lines compared to normal samples. Cell cycle-related genes (BIRC5, OIP5, and CDCA3, etc.) were specifically upregulated in PTPRT-low lung adenocarcinoma (LUAD). Modulation of PTPRT expression in LUAD cell lines affected the expression of BIRC5 (survivin) significantly, as well as the proliferation, migration, and invasion of tumour cells. In addition, low PTPRT expression level was correlated with worse prognosis of lung cancer and several other cancer types. Furthermore, PTPRT downregulation was associated with elevated tumour mutation burden and tumour neoantigen burden in lung cancer, indicating the potential influence on tumour immunogenicity. CONCLUSION: Our findings uncovered the essential roles of PTPRT in the regulation of proliferation, migration, and invasion of LUAD, and highlighted the clinical significance of PTPRT downregulation in lung cancer.</t>
  </si>
  <si>
    <t>It investigates how the downregulation of PTPRT (a wild-type phosphatase) promotes proliferation and invasion via BIRC5 (survivin)</t>
  </si>
  <si>
    <t>Jubb, A. M.; Cesario, A.; Ferguson, M.; Congedo, M. T.; Gatter, K. C.; Lococo, F.; Mulè, A.; Pezzella, F.</t>
  </si>
  <si>
    <t>Vascular phenotypes in primary non-small cell lung carcinomas and matched brain metastases</t>
  </si>
  <si>
    <t>10.1038/bjc.2011.147</t>
  </si>
  <si>
    <t>BACKGROUND: Anti-angiogenic therapy with bevacizumab (an anti-vascular endothelial growth factor (VEGF) antibody) predominantly targets immature blood vessels. Bevacizumab has shown a survival benefit in non-small cell lung carcinoma (NSCLC) and has recently been demonstrated to be safe in patients with brain metastases. However, it is not known whether bevacizumab is effective against brain metastases or whether metastases are representative of their primary in terms of VEGF expression, hypoxia, proliferation and vascular phenotype. The aim of this study was to evaluate these factors in a series of matched primary NSCLCs and brain metastases. METHODS AND RESULTS: Immunohistochemistry showed strong correlation of carbonic anhydrase 9 expression (a marker of hypoxia) in primary and secondary cancers (P=0.0002). However, the proliferation index, VEGF expression, microvessel density and the proportion of mature vessels were discordant between primary and secondary cancers. The mean proportion of mature vessels was 63.2% higher in the brain metastases than the primary tumours (P=0.004). Moreover, the vascular pattern of the primary tumour was not representative of the metastasis. CONCLUSIONS: Brain metastases have a significantly higher proportion of mature vasculature, suggesting that they may be refractory to anti-VEGF therapy. These findings may have implications for clinical trials and biomarker studies evaluating anti-angiogenic agents in brain metastases.</t>
  </si>
  <si>
    <t>The study focuses on protein expression and vascular phenotype rather than mutation-derived neoantigens</t>
  </si>
  <si>
    <t>Nurlaila, Ika</t>
  </si>
  <si>
    <t>Deciphering Antigen Processing Machinery (APM) as One of the Determinants for Responsiveness of Affected Patients towards Anticancer Immunotherapy</t>
  </si>
  <si>
    <t>10.31557/APJCP.2024.25.12.4457</t>
  </si>
  <si>
    <t>Immunotherapy is one of the rising stars in the field of anticancer regiments. Aimed at reinvigorating immune cytotoxicity, this platform is capable of bulking up memory subsets by which protection against tumors is served. The most commonly applied immunotherapy is immune checkpoint inhibitor (ICIs) which received FDA approval for non-small lung cancer (NSLC) in 2014. The response toward ICI is closely related to the antigen processing machinery (APM) within which antigens are processed prior to loading onto the human leukocyte antigen (HLA) to induce cascade mechanisms for immune clearance. APM allows immune cell infiltration thus strengthens immunogenicity. Impaired components of the APM are frequently found in tumors because tumor progression requires tumor cells to acquire immune recognition evasion. Alterations in tumors' APM result in downregulation of HLA molecules and transformation of antigenic peptide repertoire presented to the T lymphocytes. Interactions of processed antigens (peptide)-HLA complex are critical for successful T cell priming and differentiation into cytotoxic effector cells. The interaction underlies not only ICI-related mechanism but also anticancer immunity in general where T cell subset can induce antitumor recognition only if a proper peptide-HLA complex is present. This feature, unfortunately, is missing in tumors. This Review highlights presentation of tumor-specific antigens to T cells in HLA-restricted manner which leads to their eradication. This is a pivotal point but in most cases is overlooked which might add some volume to the off-target and less functional of anticancer immunotherapy.</t>
  </si>
  <si>
    <t>The objective is to provide an overview of the Antigen Processing Machinery (APM) and HLA-restricted presentation.</t>
  </si>
  <si>
    <t>Jiang, Ai-Gui; Chen, Hong-Lin; Lu, Hui-Yu</t>
  </si>
  <si>
    <t>The relationship between Glasgow Prognostic Score and serum tumor markers in patients with advanced non-small cell lung cancer</t>
  </si>
  <si>
    <t>10.1186/s12885-015-1403-x</t>
  </si>
  <si>
    <t>BACKGROUND: Glasgow Prognostic Score (GPS) has been reported as a powerful prognostic tool for patients with advanced non-small cell lung cancer (NSCLC). The aim of this study was to assess the relationship between GPS and prognosis related tumor markers in patients with advanced NSCLC. METHODS: We included 138 advanced NSCLC patients and twenty healthy controls in the study. GPS was calculated by combined serum C-reactive protein (CRP) and albumin. Three serum tumor markers, which included cytokeratin 19 fragment antigen 21-1 (CYFRA21-1), carcinoembryonic antigen (CEA) and tissue polypeptide specific antigen (TPS), were detected by enzyme-linked immunosorbent assay (ELISA). GPS and tumor markers were all assessed before chemotherapy. All patients received at least 2 courses of cisplatin-based chemotherapy. After that, 2 to 5 years follow-up was conducted. RESULTS: Median levels of CYFRA21-1 were 1.5 ng/ml (0.1-3.1 ng/ml) in healthy controls, and 4.6 ng/ml (0.7-35.2 ng/ml) in GPS 0 advanced NSCLC, 11.2 ng/ml (0.4-89.2) ng/ml in GPS 1 advanced NSCLC, and 15.7 ng/ml (2.9-134.6 ng/ml) in GPS 2 advanced NSCLC, respectively. Median levels of CYFRA21-1 were higher in NSCLC patients than in healthy controls, and CYFRA21-1 increased gradually according to GPS category in NSCLC patients (P&lt; 0.05). Similar results were found for median levels of CEA and TPS in healthy controls and NSCLC patients (P &lt; 0.05). In NSCLC patients, positive correlations were found between CYFRA21-1 and GPS, CEA and GPS, TPS and GPS. The Spearman's rank correlation coefficient were 0.67 (P &lt; 0.05), 0.61 (P &lt; 0.05) and 0.55 (P &lt; 0.05), respectively. Survival analyses showed GPS was an independent prognostic factor for advanced NSCLC. CYFRA21-1(&gt;3.3 ng/ml) and TPS (&gt;80 U/l) were related with the prognosis of advanced NSCLC by univariate analyses, but multivariate analyses showed CYFRA21-1, TPS and CEA were not the independent prognostic factors for advanced NSCLC. CONCLUSIONS: Our results showed GPS were positive correlated with CYFRA21-1, CEA and TPS in patients with advanced NSCLC. However, GPS was more efficient in predicting prognosis of advanced NSCLC than these three single prognosis related tumor markers.</t>
  </si>
  <si>
    <t>Targets clinical TAAs and inflammatory markers, not neoantigens.</t>
  </si>
  <si>
    <t>Rupp, Alexander; Bahlmann, Sophie; Trimpop, Nicolai; von Pawel, Joachim; Holdenrieder, Stefan</t>
  </si>
  <si>
    <t>Lack of clinical utility of serum macrophage migration inhibitory factor (MIF) for monitoring therapy response and estimating prognosis in advanced lung cancer</t>
  </si>
  <si>
    <t>10.3233/TUB-230006</t>
  </si>
  <si>
    <t>BACKGROUND: Lung cancer is a major burden to global health and is still among the most frequent and most lethal malignant diseases. Macrophage migration inhibitory factor (MIF) is a proinflammatory cytokine involved in a variety of processes including tumorigenesis, formation of a tumor microenvironment and metastasis. It is therefore a potential prognostic biomarker in malignant diseases. OBJECTIVE: In this study, we investigated the applicability of MIF in serum samples as a biomarker in lung cancer. METHODS: In a retrospective approach, we analyzed the sera of 79 patients with non-small-cell lung cancer (NSCLC) and 14 patients with small-cell lung cancer (SCLC) before the start of chemotherapy, as well as before the second and third chemotherapy cycle, respectively. Serum MIF levels were measured using a sandwich immunoassay with a sulfo-tag-labelled detection antibody, while pro-gastrin releasing peptide (proGRP) levels were determined with an enzyme-linked immunosorbent assay. RESULTS: No difference in serum MIF levels between responders and non-responders to chemotherapy was observed at all time points, while proGRP levels were significantly lower in responders before the second chemotherapy cycle (p = 0.012). No differences in biomarker levels depending on the histopathological classification of NSCLC patients was found. Moreover, in ROC curve analyses MIF was not able to distinguish between responders and non-responders to therapy. proGRP could differentiate between responders and non-responders before the second chemotherapy cycle (p = 0.015) with sensitivities of 43% at 90% and 95% specificity, respectively. Likewise, proGRP yielded significantly longer survival times of patients with low proGRP concentrations before the second chemotherapy cycle (p = 0.015) in Kaplan-Meier analyses, yet MIF showed no significant differences in survival times at all time points. Comparison with the biomarkers CEA and CYFRA 21-1 in the same cohort showed that these established biomarkers clearly performed superior to MIF and proGRP. CONCLUSIONS: From the present results, there is no indication that serum MIF may serve as a biomarker in prognosis and monitoring of response to therapy in lung cancer. Limitations of this study include its retrospective design, the inclusion of a larger NSCLC and a smaller SCLC subgroup, the classical chemotherapeutic treatment, the use of a non-diagnostic immunoassay (RUO-test) for MIF measurement and the lack of a validation cohort. Strengths of the study are its highly standardized procedures concerning sample collection, preanalytic treatment, measurements and quality control of the laboratory assays.</t>
  </si>
  <si>
    <t>it investigates serum MIF and proGRP as prognostic biomarkers for chemotherapy response, not mutation-derived neoantigens</t>
  </si>
  <si>
    <t>Mitchell, P.; Thatcher, N.; Socinski, M. A.; Wasilewska-Tesluk, E.; Horwood, K.; Szczesna, A.; Martín, C.; Ragulin, Y.; Zukin, M.; Helwig, C.; Falk, M.; Butts, C.; Shepherd, F. A.</t>
  </si>
  <si>
    <t>Tecemotide in unresectable stage III non-small-cell lung cancer in the phase III START study: updated overall survival and biomarker analyses</t>
  </si>
  <si>
    <t>10.1093/annonc/mdv104</t>
  </si>
  <si>
    <t>BACKGROUND: Tecemotide is a MUC1-antigen-specific cancer immunotherapy. The phase III START study did not meet its primary end point but reported notable survival benefit with tecemotide versus placebo in an exploratory analysis of the predefined patient subgroup treated with concurrent chemoradiotherapy. Here, we attempted to gain further insight into the effects of tecemotide in START. PATIENTS AND METHODS: START recruited patients who did not progress following frontline chemoradiotherapy for unresectable stage III non-small-cell lung cancer. We present updated overall survival (OS) data and exploratory analyses of OS for baseline biomarkers: soluble MUC1 (sMUC1), antinuclear antibodies (ANA), neutrophil/lymphocyte ratio (NLR), lymphocyte count, and HLA type. RESULTS: Updated OS data are consistent with the primary analysis: median 25.8 months (tecemotide) versus 22.4 months (placebo) (HR 0.89, 95% CI 0.77-1.03, P = 0.111), with ∼20 months additional median follow-up time compared with the primary analysis. Exploratory analysis of the predefined subgroup treated with concurrent chemoradiotherapy revealed clinically relevant prolonged OS with tecemotide versus placebo (29.4 versus 20.8 months; HR 0.81, 95% CI 0.68-0.98, P = 0.026). No improvement was seen with sequential chemoradiotherapy. High sMUC1 and ANA correlated with a possible survival benefit with tecemotide (interaction P = 0.0085 and 0.0022) and might have future value as biomarkers. Interactions between lymphocyte count, NLR, or prespecified HLA alleles and treatment effect were not observed. CONCLUSION: Updated OS data support potential treatment benefit with tecemotide in patients treated with concurrent chemoradiotherapy. Exploratory biomarker analyses suggest that elevated sMUC1 or ANA levels correlate with tecemotide benefit. CLINICALTRIALSGOV NUMBER: NCT00409188.</t>
  </si>
  <si>
    <t>The study evaluates Tecemotide (L-BLP25), which targets MUC1.</t>
  </si>
  <si>
    <t>Gentles, Andrew J.; Bratman, Scott V.; Lee, Luke J.; Harris, Jeremy P.; Feng, Weiguo; Nair, Ramesh V.; Shultz, David B.; Nair, Viswam S.; Hoang, Chuong D.; West, Robert B.; Plevritis, Sylvia K.; Alizadeh, Ash A.; Diehn, Maximilian</t>
  </si>
  <si>
    <t>Integrating Tumor and Stromal Gene Expression Signatures With Clinical Indices for Survival Stratification of Early-Stage Non-Small Cell Lung Cancer</t>
  </si>
  <si>
    <t>Journal of the National Cancer Institute</t>
  </si>
  <si>
    <t>10.1093/jnci/djv211</t>
  </si>
  <si>
    <t>BACKGROUND: Accurate survival stratification in early-stage non-small cell lung cancer (NSCLC) could inform the use of adjuvant therapy. We developed a clinically implementable mortality risk score incorporating distinct tumor microenvironmental gene expression signatures and clinical variables. METHODS: Gene expression profiles from 1106 nonsquamous NSCLCs were used for generation and internal validation of a nine-gene molecular prognostic index (MPI). A quantitative polymerase chain reaction (qPCR) assay was developed and validated on an independent cohort of formalin-fixed paraffin-embedded (FFPE) tissues (n = 98). A prognostic score using clinical variables was generated using Surveillance, Epidemiology, and End Results data and combined with the MPI. All statistical tests for survival were two-sided. RESULTS: The MPI stratified stage I patients into prognostic categories in three microarray and one FFPE qPCR validation cohorts (HR = 2.99, 95% CI = 1.55 to 5.76, P &lt; .001 in stage IA patients of the largest microarray validation cohort; HR = 3.95, 95% CI = 1.24 to 12.64, P = .01 in stage IA of the qPCR cohort). Prognostic genes were expressed in distinct tumor cell subpopulations, and genes implicated in proliferation and stem cells portended poor outcomes, while genes involved in normal lung differentiation and immune infiltration were associated with superior survival. Integrating the MPI with clinical variables conferred greatest prognostic power (HR = 3.43, 95% CI = 2.18 to 5.39, P &lt; .001 in stage I patients of the largest microarray cohort; HR = 3.99, 95% CI = 1.67 to 9.56, P &lt; .001 in stage I patients of the qPCR cohort). Finally, the MPI was prognostic irrespective of somatic alterations in EGFR, KRAS, TP53, and ALK. CONCLUSION: The MPI incorporates genes expressed in the tumor and its microenvironment and can be implemented clinically using qPCR assays on FFPE tissues. A composite model integrating the MPI with clinical variables provides the most accurate risk stratification.</t>
  </si>
  <si>
    <t>the study utilizes qPCR on FFPE tissues to stratify stage I NSCLC patients by analyzing gene expression signatures related to proliferation, stem cells, and immune infiltration. While the MPI is prognostic regardless of EGFR, KRAS, TP53, or ALK status, it relies on wild-type gene expression rather than identifying somatic mutation-derived neoantigens</t>
  </si>
  <si>
    <t>Li, Kai; Mo, Chunfen; Gong, Di; Chen, Yan; Huang, Zhao; Li, Yanyan; Zhang, Jie; Huang, Lugang; Li, Yuan; Fuller-Pace, Frances V.; Lin, Ping; Wei, Yuquan</t>
  </si>
  <si>
    <t>DDX17 nucleocytoplasmic shuttling promotes acquired gefitinib resistance in non-small cell lung cancer cells via activation of β-catenin</t>
  </si>
  <si>
    <t>10.1016/j.canlet.2017.02.029</t>
  </si>
  <si>
    <t>Although epidermal growth factor receptor tyrosine kinase inhibitors (EGFR-TKIs) are effective for non-small cell lung cancer (NSCLC) patients with EGFR mutations, almost all these patients will eventually develop acquired resistance to EGFR-TKI. However, the molecular mechanisms responsible for gefitinib resistance remain still not fully understood. Here, we report that elevated DDX17 levels are observed in gefitinib-resistant NSCLC cells than gefitinib-sensitive cells. Upregulation of DDX17 enhances the gefitinib resistance, whereas DDX17-silenced cells partially restore gefitinib sensitivity. Mechanistically, we demonstrate that DDX17 disassociates the E-cadherin/β-catenin complex, resulting in β-catenin nuclear translocation and subsequently augmenting the transcription of β-catenin target genes. Moreover, we identify two nuclear localization signal (NLS) and four nuclear export signal (NES) sequences mediated DDX17 nucleocytoplasmic shuttling via an exportin/importin-dependent pathways. Interruption of dynamic nucleocytoplasmic shuttling of DDX17 impairs DDX17-mediating the activation of β-catenin and acquired resistance in NSCLC cells. In conclusion, our findings reveal a novel and important mechanism by which DDX17 contributes to acquired gefitinib resistance through exportin/importin-dependent cytoplasmic shuttling and followed by activation of β-catenin, and DDX17 inhibition may be a promising strategy to overcome acquired resistance of gefitinib in NSCLC patients.</t>
  </si>
  <si>
    <t>The study investigates DDX17 (an RNA helicase), E-cadherin, and β-catenin. These are wild-type signaling proteins and regulatory factors, not mutation-derived neoantigens.</t>
  </si>
  <si>
    <t>Sun, Bo; Yang, Nan; Jiang, Yao; Zhang, Huifeng; Hou, Chunying; Ji, Chao; Liu, Yanyong; Zuo, Pingping</t>
  </si>
  <si>
    <t>Antagomir-1290 suppresses CD133⁺ cells in non-small cell lung cancer by targeting fyn-related Src family tyrosine kinase</t>
  </si>
  <si>
    <t>10.1007/s13277-015-3307-4</t>
  </si>
  <si>
    <t>Cancer stem-like cells (CSLCs) are involved in cancer initiation, development, and metastasis, and microRNAs (miRNAs) play pivotal roles in regulating CSLCs. miRNA-based therapeutic strategy associated with CSLCs might promise potential new therapeutic approaches. In the present study, we found that miR-1290 was increased in CD133(+) cells. Antagomir-1290 significantly suppressed tumor volume and weight initiated by CD133(+) cells in vivo. Furthermore, antagomir-1290 significantly inhibited the proliferation, clonogenicity, invasion, and migration of CD133(+) cells by targeting fyn-related Src family tyrosine kinase. These findings provide insights into the clinical prospect of miR-1290-based therapies for non-small cell lung cancer.</t>
  </si>
  <si>
    <t>The objective is the mechanistic study of Cancer Stem-Like Cells (CSLCs) and the development of an antagomir-based therapy (antisense oligonucleotides).</t>
  </si>
  <si>
    <t>Fan, Chuifeng; Miao, Yuan; Zhang, Xiupeng; Liu, Di; Jiang, Guiyang; Lin, Xuyong; Han, Qiang; Luan, Lan; Xu, Zhonghai; Wang, Enhua</t>
  </si>
  <si>
    <t>Btbd7 contributes to reduced E-cadherin expression and predicts poor prognosis in non-small cell lung cancer</t>
  </si>
  <si>
    <t>10.1186/1471-2407-14-704</t>
  </si>
  <si>
    <t>BACKGROUND: Disorders of cell adhesion are critical steps in cancer progression in which varieties of markers including cadherins are involved in.Btbd7 was found to inhibit E-cadherin expression in MDCK cells and play important roles during branching morphogenesis of embryonic salivary glands and lungs. However its function in malignant tumors is largely unknown. The aim of this study is to investigate the clinicopathological significance and possible function of Btbd7 in non-small cell lung cancer. METHODS: Immunohistochemistry and Western blotting were used to investigate Btbd7 expression in non-small cell lung cancer and lung tissues. The clinicopathological association and the overall survival was analyzed. In vitro experiments were performed using siRNA to investigate the function of Btbd7 in lung cancer cells. RESULTS: Btbd7 expression was elevated in non-small cell lung cancer tissues compared to normal lung tissues. Increased Btbd7 expression was significantly associated with lymph node metastasis, reduced E-cadherin expression and patients' poor clinical outcome. Downregulation of Btbd7 expression in lung cancer cells by siRNA significantly inhibits cancer cell invasion and effectively restores E-cadherin expression in cancer cell membrane. CONCLUSIONS: Btbd7 contributes to reduced expression of E-cadherin and may be a promising cancer marker in non-small cell lung cancer.</t>
  </si>
  <si>
    <t>The study investigates Btbd7 (BTB domain-containing protein 7) and E-cadherin. Btbd7 is a wild-type signaling protein involved in cell adhesion and branching morphogenesis</t>
  </si>
  <si>
    <t>Grønberg, Bjørn H.; Lund-Iversen, Marius; Strøm, Erik H.; Brustugun, Odd Terje; Scott, Helge</t>
  </si>
  <si>
    <t>Associations between TS, TTF-1, FR-α, FPGS, and overall survival in patients with advanced non-small-cell lung cancer receiving pemetrexed plus carboplatin or gemcitabine plus carboplatin as first-line chemotherapy</t>
  </si>
  <si>
    <t>10.1097/JTO.0b013e3182a406a3</t>
  </si>
  <si>
    <t>INTRODUCTION: Pemetrexed is effective in the treatment of non-small-cell lung cancer, mainly in nonsquamous cell carcinomas. Inhibition of thymidylate synthase (TS) is considered the key mechanism of action. Folate receptor-α facilitates uptake of pemetrexed. Polyglutamation by folylpolyglutamate synthetase enhances activity and prolongs cellular retention of pemetrexed. Thyroid transcription factor-1 (TTF-1) is mainly positive in nonsquamous cell carcinoma and has been proposed as a marker for sensitivity to pemetrexed. The aim was to investigate associations between these biomarkers and survival in patients who participated in a phase III trial comparing pemetrexed plus carboplatin with gemcitabine plus carboplatin as first-line chemotherapy in advanced non-small-cell lung cancer (n = 436). In this study, there was no difference in overall survival between the two regimens. METHODS: Formalin-fixed, paraffin-embedded biopsies were collected. Percentages of tumor cells positive and highly positive for the biomarkers were assessed using immunohistochemistry (IHC) and an IHC score was calculated (range, 0-200). RESULTS: Two hundred thirty-six biopsies were analyzed (pemetrexed plus carboplatin: n = 114, gemcitabine plus carboplatin: n = 122). There was a significant difference in overall survival between those with TTF-1-positive and -negative tumors (10.4 versus 6.0 months; p &lt; 0.001) and those with a low and a high TS IHC score (9.7 versus 6.2 months; p &lt; 0.001). Folate receptor-α and folylpolyglutamate synthetase were not significant prognostic factors. In multivariate analyses adjusting for established prognostic characteristics, TS (p = 0.002) and TTF-1 (p = 0.003) remained significant. There were no differences in survival between the treatment arms depending on biomarker scores. CONCLUSIONS: TTF-1 positivity and low TS level were associated with prolonged survival. The associations between the biomarkers and overall survival were similar for both chemotherapy regimens.</t>
  </si>
  <si>
    <t>This study focuses on wild-type protein expression rather than somatic mutation-derived neoantigens</t>
  </si>
  <si>
    <t>Fang, M.-Y.; Wang, S.-Y.; Zheng, Y.-B.; Gong, L.-Y.; Bao, W.-L.; Gu, D.-L.; Mao, W.-M.</t>
  </si>
  <si>
    <t>Prognostic and predictive significance of plasma hepatocyte growth factor and carcinoembryonic antigen in non-small lung cancer after surgery</t>
  </si>
  <si>
    <t>OBJECTIVES: Scatter factor, also known as hepatocyte growth factor (SF/HGF), is a polypeptide growth factor with a number of biologic activities, including cell scattering, stimulation of cell motility, mitogenesis, morphogenesis, angiogenesis, and cellular invasiveness, it is thought to be important in the growth and spread of several carcinomas. We assessed whether preoperative plasma levels of HGF and carcinoembryonic antigen (CEA) can enhance the accuracy of standard models for predicting pathologic features and clinical outcomes. PATIENTS AND METHODS: The study comprised 45 consecutive patients treated with surgery for clinically localized non-small-cell lung cancer. HGF and CEA were measured using the commercially available immunoassay. Multivariate logistic regression was used to assess the relationship between plasma HGF/CEA and pathologic features. Multivariate Cox regression was used to predict disease recurrence. RESULTS: Patients with lung squamous cell cancer (SCC) more frequently had higher plasma HGF, whereas CEA levels were significantly elevated in patients with non-SCC histology. Preoperative plasma HGF and CEA levels were not the independent predictors of overall survival. CONCLUSIONS: Preoperative plasma levels of HGF and CEA are not the independent predictors of non-small lung cancer disease recurrence and metastasis after surgery; HGF is a predictor of lung squamous cell cancer. Use of HGF may help in therapeutic decision-making and estimate the histological type of NSCLC.</t>
  </si>
  <si>
    <t>The study investigates Hepatocyte Growth Factor (HGF) and Carcinoembryonic Antigen (CEA</t>
  </si>
  <si>
    <t>Suzuki, Hiroyuki; Fukuhara, Mitsuro; Yamaura, Takumi; Mutoh, Satoshi; Okabe, Naoyuki; Yaginuma, Hiroshi; Hasegawa, Takeo; Yonechi, Atsushi; Osugi, Jun; Hoshino, Mika; Kimura, Takashi; Higuchi, Mitsunori; Shio, Yutaka; Ise, Kazuya; Takeda, Kazuyoshi; Gotoh, Mitsukazu</t>
  </si>
  <si>
    <t>Multiple therapeutic peptide vaccines consisting of combined novel cancer testis antigens and anti-angiogenic peptides for patients with non-small cell lung cancer</t>
  </si>
  <si>
    <t>Journal of Translational Medicine</t>
  </si>
  <si>
    <t>10.1186/1479-5876-11-97</t>
  </si>
  <si>
    <t>BACKGROUND: Vaccine treatment using multiple peptides derived from multiple proteins is considered to be a promising option for cancer immune therapy, but scientific evidence supporting the therapeutic efficacy of multiple peptides is limited. METHODS: We conducted phase I trials using a mixture of multiple therapeutic peptide vaccines to evaluate their safety, immunogenicity and clinical response in patients with advanced/recurrent NSCLC. We administered two different combinations of four HLA-A24-restricted peptides. Two were peptides derived from vascular endothelial growth factor receptor 1 (VEGFR1) and 2 (VEGFR2), and the third was a peptide derived from up-regulated lung cancer 10 (URLC10, which is also called lymphocyte antigen 6 complex locus K [LY6K]). The fourth peptide used was derived from TTK protein kinase (TTK) or cell division associated 1 (CDCA1). Vaccines were administered weekly by subcutaneous injection into the axillary region of patients with montanide ISA-51 incomplete Freund's adjuvant, until the disease was judged to have progressed or patients requested to be withdrawn from the trial. Immunological responses were primarily evaluated using an IFN-gamma ELiSPOT assay. RESULTS: Vaccinations were well tolerated with no severe treatment-associated adverse events except for the reactions that occurred at the injection sites. Peptide-specific T cell responses against at least one peptide were observed in 13 of the 15 patients enrolled. Although no patient exhibited complete or partial responses, seven patients (47%) had stable disease for at least 2 months. The median overall survival time was 398 days, and the 1- and 2-year survival rates were 58.3% and 32.8%, respectively. CONCLUSION: Peptide vaccine therapy using a mixture of four novel peptides was found to be safe, and is expected to induce strong specific T cell responses. TRIAL REGISTRATION: These studies were registered with ClinicalTrials.gov NCT00633724 and NCT00874588.</t>
  </si>
  <si>
    <t>The study evaluates a mixture of five specific peptides: VEGFR1, VEGFR2, URLC10 (LY6K), TTK, and CDCA1. These are all Tumor-Associated Antigens (TAAs) or Cancer-Testis Antigens (CTAs). They are wild-type (normal) proteins that are overexpressed in NSCLC cells or restricted to germline tissues</t>
  </si>
  <si>
    <t>Dowlati, Afshin; Abbas, Ata; Chan, Timothy; Henick, Brian; Wang, Xuya; Doshi, Parul; Fu, Pingfu; Patel, Jyoti; Kuo, Fengshen; Chang, Han; Balli, David</t>
  </si>
  <si>
    <t>Immune Checkpoint Blockade Outcome in Small-Cell Lung Cancer and Its Relationship With Retinoblastoma Mutation Status and Function</t>
  </si>
  <si>
    <t>JCO precision oncology</t>
  </si>
  <si>
    <t>10.1200/PO.22.00257</t>
  </si>
  <si>
    <t>PURPOSE: Immune checkpoint blockade (ICB) in conjunction with chemotherapy is approved for the treatment of extensive-stage small-cell lung cancer (SCLC). Although specific genomic abnormalities such as KEAP1 and STK11 gene mutations are associated with resistance to ICB in non-SCLC, no genomic abnormality has been found in association with resistance to ICB in SCLC. MATERIALS AND METHODS: We first analyzed a retrospective cohort of 42 patients with SCLC treated with single-agent ICB or ICB combination (data set A). We then validated our results in a large prospective clinical trial of 460 patients (CheckMate 032, data set B). DNA and RNA sequencing were performed. RESULTS: In data set A, patients treated with ICB with RB1 wild-type (WT) had a median overall survival (OS) of 23.1 months (95% CI, 9 to 37.5), whereas the RB1 mutant OS was 5 months (95% CI, 2.5 to 26; P = .04). Differentially expressed gene analysis between RB1 mutant and RB1 WT samples indicated the enrichment of downregulated immune-related genes and an immune exclusion phenotype among RB1 mutant but not in the RB1 WT tumor samples. We then assessed results from 460 patients enrolled in CheckMate 032, a trial of nivolumab (NIVO) or NIVO + ipilimumab only in SCLC. In this large cohort, RB1 WT patients had significantly improved outcome with NIVO therapy compared with mutant patients (hazard ratio, 1.41; 95% CI, 1.02 to 2.01; P = .041). High RB1 loss-of-function (LOF) signature scores significantly associated with neuroendocrine subtypes (ASCL1 and NeuroD1). However, neuroendocrine subtypes did not associate with OS. Remarkably, patients with lower RB1 LOF scores had longer OS following treatment with NIVO. CONCLUSION: SCLC patients with RB1 WT status or lower RB1 LOF signature scores by transcriptomics have better outcomes with ICB monotherapy.</t>
  </si>
  <si>
    <t>investigated the relationship between RB1 mutations and immune checkpoint blockade (ICB) outcomes in small-cell lung cancer (SCLC)</t>
  </si>
  <si>
    <t>Gottschling, Sandra; Jensen, Katrin; Warth, Arne; Herth, Felix J. F.; Thomas, Michael; Schnabel, Philipp A.; Herpel, Esther</t>
  </si>
  <si>
    <t>Stage-specific embryonic antigen-4 is expressed in basaloid lung cancer and associated with poor prognosis</t>
  </si>
  <si>
    <t>The European Respiratory Journal</t>
  </si>
  <si>
    <t>10.1183/09031936.00225711</t>
  </si>
  <si>
    <t>Basaloid carcinoma represents a rare variant of nonsmall cell lung cancer (NSCLC), which has shown a poor prognosis in a number of studies. Although it is considered to derive from a pluri- or multipotent pulmonary stem cells, little is known about the expression and clinical significance of stem cell antigens in this variant. Stage-specific embryonic antigen-4 (SSEA-4) was analysed by immunohistochemistry in 38 patients with resected early-stage basaloid NSCLC who had a median follow-up of 72.9 months. The expression of SSEA-4 was related to clinico-pathological characteristics, to the expression of the adult stem cell antigens CD117, CD133 and breast cancer resistance protein 1 (BCRP1), and to prognosis. SSEA-4 was positive in 37% of the specimens and showed no association with clinico-pathological characteristics or the expression of adult stem cell antigens. Cox proportional hazards regression analysis revealed a 6.0-fold increased risk of relapse (p = 0.001) and a 4.2-fold increased risk of disease-related mortality (p = 0.017) in SSEA-4-positive patients, while SSEA-4-negative patients showed a prognosis comparable with that of other early-stage NSCLC. SSEA-4 is expressed in a fraction of basaloid NSCLC and is associated with poor prognosis.</t>
  </si>
  <si>
    <t>The study investigates SSEA-4 (Stage-Specific Embryonic Antigen-4), CD117, CD133, and BCRP1 . SSEA-4 is a Tumor-Associated Antigen (TAA) specifically a glycosphingolipid/embryonic markernot a mutation-derived neoantigen.</t>
  </si>
  <si>
    <t>Perepelyuk, Maryna; Maher, Christina; Lakshmikuttyamma, Ashakumary; Shoyele, Sunday A.</t>
  </si>
  <si>
    <t>Aptamer-hybrid nanoparticle bioconjugate efficiently delivers miRNA-29b to non-small-cell lung cancer cells and inhibits growth by downregulating essential oncoproteins</t>
  </si>
  <si>
    <t>10.2147/IJN.S110488</t>
  </si>
  <si>
    <t>MicroRNAs (miRNAs) are potentially attractive candidates for cancer therapy. However, their therapeutic application is limited by lack of availability of an efficient delivery system to stably deliver these potent molecules intracellularly to cancer cells while avoiding healthy cells. We developed a novel aptamer-hybrid nanoparticle bioconjugate delivery system to selectively deliver miRNA-29b to MUC1-expressing cancer cells. Significant downregulation of oncoproteins DNMT3b and MCL1 was demonstrated by these MUC1 aptamer-functionalized hybrid nanoparticles in A549 cells. Furthermore, downregulation of these oncoproteins led to antiproliferative effect and induction of apoptosis in a superior version when compared with Lipofectamine 2000. This novel aptamer-hybrid nanoparticle bioconjugate delivery system could potentially serve as a platform for intracellular delivery of miRNAs to cancer cells, hence improving the therapeutic outcome of lung cancer.</t>
  </si>
  <si>
    <t>it focuses on wild-type MUC1 protein and oncoprotein regulation rather than mutant-derived neoantigens</t>
  </si>
  <si>
    <t>Oremek, G. M.; Sauer-Eppel, H.; Bruzdziak, T. H.</t>
  </si>
  <si>
    <t>Value of tumour and inflammatory markers in lung cancer</t>
  </si>
  <si>
    <t>The aim of this study was to evaluate the individual diagnostic utility of tumour and inflammatory markers in patients with different pulmonary diseases. The usefulness of neuron-specific enolase (NSE), carcino-embryonic antigen (CEA), serum pro-gastrin releasing peptide (ProGRP) and CYFRA 21-1, as tumour markers, and C-reactive protein (CRP) and tumour necrosis factor-alpha (TNFalpha) as inflammatory markers for diagnosis, treatment and monitoring of patients with different pulmonary afflictions was investigated. Eighty healthy individuals were also included. Serum samples were also obtained from 20 patients suffering from bronchitis, 20 with lung fibrosis and 30 with sarcoidosis. Moreover, serum marker levels were analyzed in 139 patients with different pulmonary malignancies: 29 patients with adenocarcinoma, 30 patients with squamous cell carcinoma, 80 patients with small cell lung cancer (SCLC). All tumour markers showed significantly elevated values in malignant diseases. The levels of ProGRP in patients with benign diseases were significantly higher than those in the healthy group (35.4 +/- 6.6 compared with 21.3 +/- 9.2 pg/ml respectively). The serum ProGRP levels were elevated in SCLC patients (1673.9 +/- 706 pg/ml). The elevation was significantly higher than that of the benign reference group. The acute phase response had a wide range in patients with malignant tumours. Serum CRP levels were significantly higher in patients with SCLC (38.5 +/- 7.6 mg/dl) than in the benign reference group. In conclusion, when serum tumour markers are abnormally elevated in patients with lung cancer, CEA, CYFRA 21-1, NSE and ProGRP are useful clinical markers, good indicators of disease extent and may have important prognostic value. In particular, NSE and ProGRP have a very high sensitivity for SCLC detection.</t>
  </si>
  <si>
    <t>Diagnostic/monitoring study; lacks neoantigen discovery for therapy.</t>
  </si>
  <si>
    <t>Tosch, Caroline; Bastien, Bérangère; Barraud, Luc; Grellier, Benoit; Nourtier, Virginie; Gantzer, Murielle; Limacher, Jean Marc; Quemeneur, Eric; Bendjama, Kaïdre; Préville, Xavier</t>
  </si>
  <si>
    <t>Viral based vaccine TG4010 induces broadening of specific immune response and improves outcome in advanced NSCLC</t>
  </si>
  <si>
    <t>10.1186/s40425-017-0274-x</t>
  </si>
  <si>
    <t>BACKGROUND: Advanced non-small cell lung cancer patients receiving TG4010, a therapeutic viral vaccine encoding human Mucin 1 and interleukin-2 in addition to standard chemotherapy, displayed longer overall survival in comparison to that of patients treated with standard chemotherapy alone. Our study intended to establish the association between overall survival and vaccine-induced T cell responses against tumor associated antigens (TAA) targeted by the vaccine. METHOD: The TIME trial was a placebo-controlled, randomized phase II study aimed at assessing efficacy of TG4010 with chemotherapy in NSCLC. 78 patients from the TIME study carrying the HLA-A02*01 haplotype were analyzed using combinatorial encoding of MHC multimers to detect low frequencies of cellular immune responses to TG4010 and other unrelated TAA. RESULTS: We report that improvement of survival under TG4010 treatment correlated with development of T cell responses against MUC1. Interestingly, responses against MUC1 were associated with broadening of CD8 responses against non-targeted TAA, thus demonstrating induction of epitope spreading. CONCLUSION: Our results support the causality of specific T-cell response in improved survival in NSCLC. Additionally, vaccine induced epitope spreading to other TAA participates to the enrichment of the diversity of the anti-tumor response. Hence, TG4010 appears as a useful therapeutic option to maximize response rate and clinical benefit in association with other targeted immuno-modulators. TRIAL REGISTRATION: Registered on ClinicalTrials.gov under identifier NCT01383148 on June 23rd, 2011.</t>
  </si>
  <si>
    <t>This is one of the few studies in NSCLC that quantitatively demonstrates epitope spreading using combinatorial MHC multimer encoding. It shows that vaccining against one antigen (MUC1) triggered T-cell responses against other non-targeted TAAs.</t>
  </si>
  <si>
    <t>Atzin-Méndez, J. A.; López-González, J. S.; Báez, R.; Arenas-Del Angel, M. C.; Montaño, L. F.; Silva-Adaya, D.; Lascurain, R.; Gorocica, P.</t>
  </si>
  <si>
    <t>Expansion of quiescent lung adenocarcinoma CD8+ T cells by MUC1-8-mer peptide-T2 cell-β2 microglobulin complexes</t>
  </si>
  <si>
    <t>Oncology Reports</t>
  </si>
  <si>
    <t>10.3892/or.2015.4328</t>
  </si>
  <si>
    <t>Adoptive immunotherapy requires the isolation of CD8+ T cells specific for tumor-associated antigens, their expansion in vitro and their transfusion to the patient to mediate a therapeutic effect. MUC1 is an important adenocarcinoma antigen immunogenic for T cells. The MUC1-derived SAPDTRPA (MUC1-8-mer) peptide is a potent epitope recognized by CD8+ T cells in murine models. Likewise, the T2 cell line has been used as an antigen-presenting cell to activate CD8+ T cells, but so far MUC1 has not been assessed in this context. We evaluated whether the MUC1-8-mer peptide can be presented by T2 cells to expand CD25+CD8+ T cells isolated from HLA-A2+ lung adenocarcinoma patients with stage III or IV tumors. The results showed that MUC1-8-mer peptide-loaded T2 cells activated CD8+ T cells from cancer HLA-A2+ patients when anti-CD2, anti-CD28 antibodies and IL-2 were added. The percentage of CD25+CD8+ T cells was 3-fold higher than those in the non-stimulated cells (P=0.018). HLA-A2+ patient cells showed a significant difference (2.3-fold higher) in activation status than HLA-A2+ healthy control cells (P=0.04). Moreover, 77.6% of MUC1-8-mer peptide-specific CD8+ T cells proliferated following a second stimulation with MUC1-8-mer peptide-loaded T2 cells after 10 days of cell culture. There were significant differences in the percentage of basal CD25+CD8+ T cells in relation to the cancer stage; this difference disappeared after MUC1-8-mer peptide stimulation. In conclusion, expansion of CD25+CD8+ T cells by MUC1-8 peptide-loaded T2 cells plus costimulatory signals via CD2, CD28 and IL-2 can be useful in adoptive immunotherapy.</t>
  </si>
  <si>
    <t>The objective is the expansion of T cells for Adoptive Immunotherapy using an "off-the-shelf" shared antigen.</t>
  </si>
  <si>
    <t>Raina, Deepak; Kosugi, Michio; Ahmad, Rehan; Panchamoorthy, Govind; Rajabi, Hasan; Alam, Maroof; Shimamura, Takeshi; Shapiro, Geoffrey I.; Supko, Jeffrey; Kharbanda, Surender; Kufe, Donald</t>
  </si>
  <si>
    <t>Dependence on the MUC1-C oncoprotein in non-small cell lung cancer cells</t>
  </si>
  <si>
    <t>10.1158/1535-7163.MCT-10-1050</t>
  </si>
  <si>
    <t>Non-small cell lung cancer (NSCLC) cells are often associated with constitutive activation of the phosphoinositide 3-kinase (PI3K) → Akt → mTOR pathway. The mucin 1 (MUC1) heterodimeric glycoprotein is aberrantly overexpressed in NSCLC cells and induces gene signatures that are associated with poor survival of NSCLC patients. The present results show that the MUC1 C-terminal subunit (MUC1-C) cytoplasmic domain associates with PI3K p85 in NSCLC cells. We show that inhibition of MUC1-C with cell-penetrating peptides blocks this interaction with PI3K p85 and suppresses constitutive phosphorylation of Akt and its downstream effector, mTOR. In concert with these results, treatment of NSCLC cells with the MUC1-C peptide inhibitor GO-203 was associated with downregulation of PI3K → Akt signaling and inhibition of growth. GO-203 treatment was also associated with increases in reactive oxygen species (ROS) and induction of necrosis by a ROS-dependent mechanism. Moreover, GO-203 treatment of H1975 (EGFR L858R/T790M) and A549 (K-Ras G12S) xenografts growing in nude mice resulted in tumor regressions. These findings indicate that NSCLC cells are dependent on MUC1-C both for activation of the PI3K → Akt pathway and for survival.</t>
  </si>
  <si>
    <t>The objective is the pharmacological inhibition of oncogenic signaling.</t>
  </si>
  <si>
    <t>Liu, Linjie; Teng, Jinlong; Zhang, Lijun; Cong, Peishan; Yao, Yuan; Sun, Guirong; Liu, Zhijun; Yu, Teng; Liu, Mingjun</t>
  </si>
  <si>
    <t>The Combination of the Tumor Markers Suggests the Histological Diagnosis of Lung Cancer</t>
  </si>
  <si>
    <t>BioMed Research International</t>
  </si>
  <si>
    <t>10.1155/2017/2013989</t>
  </si>
  <si>
    <t>Tumor markers are beneficial for the diagnosis and therapy monitoring of lung cancer. However, the value of tumor markers in lung cancer histological diagnosis is unknown. In this study, we analyzed the serum levels of six tumor markers (CEA, CYFRA21-1, SCC, NSE, ProGRP, and CA125) in 2097 suspected patients with lung cancer and determined whether the combination of the tumor markers was useful for histological diagnosis of lung cancer. We found that CYFRA21-1 was the most sensitive marker in NSCLC. ProGRP showed a better clinical performance than that of NSE in discriminating between SCLC and NSCLC. The serum level of CYFRA21-1 or SCC was significantly higher in squamous carcinoma (p &lt; 0.05), and the levels of ProGRP and NSE were significantly higher in SCLC (p &lt; 0.05). According to the criteria established, SCLC and NSCLC were discriminated with sensitivity of 87.12 and 62.63% and specificity of 64.61 and 99.5%, respectively. The sensitivity and specificity in the differentiation of adenocarcinoma and squamous carcinoma were 68.1 and 81.63% and 70.73 and 65.93%, with NPV of 46.03 and 68.97% and PPV of 85.82 and 79.47%, respectively. Our results suggested the combination of six tumor markers could discriminate the histological types of lung cancer.</t>
  </si>
  <si>
    <t>The study investigates six established Tumor-Associated Antigens (TAAs): CEA, CYFRA21-1, SCC, NSE, ProGRP, and CA125. These are wild-type (self) proteins that are overexpressed or shed by tumor cells</t>
  </si>
  <si>
    <t>Ozawa, Yuichi; Harutani, Yuhei; Oyanagi, Jun; Akamatsu, Hiroaki; Murakami, Eriko; Shibaki, Ryota; Hayata, Atsushi; Sugimoto, Takeya; Tanaka, Masanori; Takakura, Toshiaki; Furuta, Katsuyuki; Okuda, Yuka; Sato, Kouichi; Teraoka, Shunsuke; Ueda, Hiroki; Tokudome, Nahomi; Kitamura, Yuka; Fukuoka, Junya; Nakanishi, Masanori; Koh, Yasuhiro; Yamamoto, Nobuyuki</t>
  </si>
  <si>
    <t>CD24, not CD47, negatively impacts upon response to PD-1/L1 inhibitors in non-small-cell lung cancer with PD-L1 tumor proportion score &lt; 50</t>
  </si>
  <si>
    <t>10.1111/cas.14705</t>
  </si>
  <si>
    <t>CD24, a heavily glycosylated glycosylphosphatidylinositol-anchored surface protein, inhibits phagocytosis as potently as CD47. The relationship between such anti-phagocytic factors and the immune response with immune-checkpoint inhibitors (ICI) remains unexplored. We evaluated CD24 and CD47 tumor proportion scores (TPS) in 68 of the 106 patients with advanced non-small-cell lung cancer who participated in a prospective observational study of ICI treatment. We also explored the impact of CD24 TPS and CD47 TPS on ICI efficacy and serum cytokine changes. CD24 positivity (TPS ≥ 1) was negatively associated with progression-free survival (PFS) of ICI when PD-L1 TPS was &lt; 50 (median PFS; 37 vs 127 d, P = .033), but there was no association when PD-L1 TPS was ≥ 50 (median PFS; 494 vs 144 d, P = .168). CD24 positivity was also related to significantly higher increase of CCL2 from baseline to 4-6 wk later, and such increase was notably observed only when PD-L1 TPS &lt; 50 (P = .0004). CCL2 increase after ICI initiation was negatively predictive for survival after initiation of ICI (median survival time; not reached vs 233 d; P = .028). CD47 TPS high (≥60) significantly suppressed the increase in vascular endothelial growth factor (VEGF)-A, D and PDGF-AB/BB after ICI initiation. There was no association, however, between CD47 tumor expression and the efficacy of ICI. In conclusion, CD24, not CD47, is a candidate negative predictive marker of ICI in advanced, non-small-cell lung cancer with PD-L1 TPS &lt; 50. Tumor expression of both CD24 and CD47 was associated with changes in factors related to monocytes and angiogenesis after ICI initiation (UMIN000024414).</t>
  </si>
  <si>
    <t>The study identifies a role for CD24 in predicting therapy outcomes rather than identifying neoantigens.</t>
  </si>
  <si>
    <t>Chen, Ming; Chen, Runzhe; Jin, Ying; Li, Jun; Hu, Xin; Zhang, Jiexin; Fujimoto, Junya; Hubert, Shawna M.; Gay, Carl M.; Zhu, Bo; Tian, Yanhua; McGranahan, Nicholas; Lee, Won-Chul; George, Julie; Hu, Xiao; Chen, Yamei; Wu, Meijuan; Behrens, Carmen; Chow, Chi-Wan; Pham, Hoa H. N.; Fukuoka, Junya; Wu, Jia; Parra, Edwin Roger; Little, Latasha D.; Gumbs, Curtis; Song, Xingzhi; Wu, Chang-Jiun; Diao, Lixia; Wang, Qi; Cardnell, Robert; Zhang, Jianhua; Wang, Jing; Le, Xiuning; Gibbons, Don L.; Heymach, John V.; Jack Lee, J.; William, William N.; Cheng, Chao; Glisson, Bonnie; Wistuba, Ignacio; Andrew Futreal, P.; Thomas, Roman K.; Reuben, Alexandre; Byers, Lauren A.; Zhang, Jianjun</t>
  </si>
  <si>
    <t>Cold and heterogeneous T cell repertoire is associated with copy number aberrations and loss of immune genes in small-cell lung cancer</t>
  </si>
  <si>
    <t>10.1038/s41467-021-26821-8</t>
  </si>
  <si>
    <t>Small-cell lung cancer (SCLC) is speculated to harbor complex genomic intratumor heterogeneity (ITH) associated with high recurrence rate and suboptimal response to immunotherapy. Here, using multi-region whole exome/T cell receptor (TCR) sequencing as well as immunohistochemistry, we reveal a rather homogeneous mutational landscape but extremely cold and heterogeneous TCR repertoire in limited-stage SCLC tumors (LS-SCLCs). Compared to localized non-small cell lung cancers, LS-SCLCs have similar predicted neoantigen burden and genomic ITH, but significantly colder and more heterogeneous TCR repertoire associated with higher chromosomal copy number aberration (CNA) burden. Furthermore, copy number loss of IFN-γ pathway genes is frequently observed and positively correlates with CNA burden. Higher mutational burden, higher T cell infiltration and positive PD-L1 expression are associated with longer overall survival (OS), while higher CNA burden is associated with shorter OS in patients with LS-SCLC.</t>
  </si>
  <si>
    <t>The study focuses specifically on Small-Cell Lung Cancer (SCLC), particularly limited-stage SCLC (LS-SCLC). While it uses Non-Small Cell Lung Cancer (NSCLC) as a comparative control group, the primary objective and data generated (TCR repertoire, CNA burden, and survival correlations) are centered on the SCLC cohort.</t>
  </si>
  <si>
    <t>Kato, Yuka; Ninomiya, Kiichiro; Ohashi, Kadoaki; Tomida, Shuta; Makimoto, Go; Watanabe, Hiromi; Kudo, Kenichiro; Matsumoto, Shingo; Umemura, Shigeki; Goto, Koichi; Ichihara, Eiki; Ninomiya, Takashi; Kubo, Toshio; Sato, Akiko; Hotta, Katsuyuki; Tabata, Masahiro; Toyooka, Shinichi; Maeda, Yoshinobu; Kiura, Katsuyuki</t>
  </si>
  <si>
    <t>Combined effect of cabozantinib and gefitinib in crizotinib-resistant lung tumors harboring ROS1 fusions</t>
  </si>
  <si>
    <t>10.1111/cas.13752</t>
  </si>
  <si>
    <t>The ROS1 tyrosine kinase inhibitor (TKI) crizotinib has shown dramatic effects in patients with non-small cell lung cancer (NSCLC) harboring ROS1 fusion genes. However, patients inevitably develop resistance to this agent. Therefore, a new treatment strategy is required for lung tumors with ROS1 fusion genes. In the present study, lung cancer cell lines, HCC78 harboring SLC34A2-ROS1 and ABC-20 harboring CD74-ROS1, were used as cell line-based resistance models. Crizotinib-resistant HCC78R cells were established from HCC78. We comprehensively screened the resistant cells using a phosphor-receptor tyrosine kinase array and RNA sequence analysis by next-generation sequencing. HCC78R cells showed upregulation of HB-EGF and activation of epidermal growth factor receptor (EGFR) phosphorylation and the EGFR signaling pathway. Recombinant HB-EGF or EGF rendered HCC78 cells or ABC-20 cells resistant to crizotinib. RNA sequence analysis by next-generation sequencing revealed the upregulation of AXL in HCC78R cells. HCC78R cells showed marked sensitivity to EGFR-TKI or anti-EGFR antibody treatment in vitro. Combinations of an AXL inhibitor, cabozantinib or gilteritinib, and an EGFR-TKI were more effective against HCC78R cells than monotherapy with an EGFR-TKI or AXL inhibitor. The combination of cabozantinib and gefitinib effectively inhibited the growth of HCC78R tumors in an in vivo xenograft model of NOG mice. The results of this study indicated that HB-EGF/EGFR and AXL play roles in crizotinib resistance in lung cancers harboring ROS1 fusions. The combination of cabozantinib and EGFR-TKI may represent a useful alternative treatment strategy for patients with advanced NSCLC harboring ROS1 fusion genes.</t>
  </si>
  <si>
    <t>This study investigates mechanisms of crizotinib resistance in ROS1-rearranged NSCLC, identifying HB-EGF/EGFR and AXL pathway upregulation as bypass mechanisms</t>
  </si>
  <si>
    <t>Marquez-Garban, Diana C.; Mah, Vei; Alavi, Mohammad; Maresh, Erin L.; Chen, Hsiao-Wang; Bagryanova, Lora; Horvath, Steve; Chia, David; Garon, Edward; Goodglick, Lee; Pietras, Richard J.</t>
  </si>
  <si>
    <t>Progesterone and estrogen receptor expression and activity in human non-small cell lung cancer</t>
  </si>
  <si>
    <t>Steroids</t>
  </si>
  <si>
    <t>10.1016/j.steroids.2011.04.015</t>
  </si>
  <si>
    <t>Lung cancer is the most common cause of cancer mortality in male and female patients in the US. Although it is clear that tobacco smoking is a major cause of lung cancer, about half of all women with lung cancer worldwide are never-smokers. Despite a declining smoking population, the incidence of non-small cell lung cancer (NSCLC), the predominant form of lung cancer, has reached epidemic proportions particularly in women. Emerging data suggest that factors other than tobacco, namely endogenous and exogenous female sex hormones, have a role in stimulating NSCLC progression. Aromatase, a key enzyme for estrogen biosynthesis, is expressed in NSCLC. Clinical data show that women with high levels of tumor aromatase (and high intratumoral estrogen) have worse survival than those with low aromatase. The present and previous studies also reveal significant expression and activity of estrogen receptors (ERα, ERβ) in both extranuclear and nuclear sites in most NSCLC. We now report further on the expression of progesterone receptor (PR) transcripts and protein in NSCLC. PR transcripts were significantly lower in cancerous as compared to non-malignant tissue. Using immunohistochemistry, expression of PR was observed in the nucleus and/or extranuclear compartments in the majority of human tumor specimens examined. Combinations of estrogen and progestins administered in vitro cooperate in promoting tumor secretion of vascular endothelial growth factor and, consequently, support tumor-associated angiogenesis. Further, dual treatment with estradiol and progestin increased the numbers of putative tumor stem/progenitor cells. Thus, ER- and/or PR-targeted therapies may offer new approaches to manage NSCLC.</t>
  </si>
  <si>
    <t>Targets wild-type hormone receptors (ER/PR), not neoantigens</t>
  </si>
  <si>
    <t>Oka, Miho; Xu, Liu; Suzuki, Toshihiro; Yoshikawa, Toshiaki; Sakamoto, Hiromi; Uemura, Hayato; Yoshizawa, Akiyasu C.; Suzuki, Yutaka; Nakatsura, Tetsuya; Ishihama, Yasushi; Suzuki, Ayako; Seki, Masahide</t>
  </si>
  <si>
    <t>Aberrant splicing isoforms detected by full-length transcriptome sequencing as transcripts of potential neoantigens in non-small cell lung cancer</t>
  </si>
  <si>
    <t>Genome Biology</t>
  </si>
  <si>
    <t>10.1186/s13059-020-02240-8</t>
  </si>
  <si>
    <t>BACKGROUND: Long-read sequencing of full-length cDNAs enables the detection of structures of aberrant splicing isoforms in cancer cells. These isoforms are occasionally translated, presented by HLA molecules, and recognized as neoantigens. This study used a long-read sequencer (MinION) to construct a comprehensive catalog of aberrant splicing isoforms in non-small-cell lung cancers, by which novel isoforms and potential neoantigens are identified. RESULTS: Full-length cDNA sequencing is performed using 22 cell lines, and a total of 2021 novel splicing isoforms are identified. The protein expression of some of these isoforms is then validated by proteome analysis. Ablations of a nonsense-mediated mRNA decay (NMD) factor, UPF1, and a splicing factor, SF3B1, are found to increase the proportion of aberrant transcripts. NetMHC evaluation of the binding affinities to each type of HLA molecule reveals that some of the isoforms potentially generate neoantigen candidates. We also identify aberrant splicing isoforms in seven non-small-cell lung cancer specimens. An enzyme-linked immune absorbent spot assay indicates that approximately half the peptide candidates have the potential to activate T cell responses through their interaction with HLA molecules. Finally, we estimate the number of isoforms in The Cancer Genome Atlas (TCGA) datasets by referring to the constructed catalog and found that disruption of NMD factors is significantly correlated with the number of splicing isoforms found in the TCGA-Lung Adenocarcinoma data collection. CONCLUSIONS: Our results indicate that long-read sequencing of full-length cDNAs is essential for the precise identification of aberrant transcript structures in cancer cells.</t>
  </si>
  <si>
    <t>Yao, Yibing; Fan, Yu; Wu, Jun; Wan, Haisu; Wang, Jing; Lam, Stephen; Lam, Wan L.; Girard, Luc; Gazdar, Adi F.; Wu, Zhihao; Zhou, Qinghua</t>
  </si>
  <si>
    <t>Potential application of non-small cell lung cancer-associated autoantibodies to early cancer diagnosis</t>
  </si>
  <si>
    <t>Biochemical and Biophysical Research Communications</t>
  </si>
  <si>
    <t>10.1016/j.bbrc.2012.06.050</t>
  </si>
  <si>
    <t>To identify a panel of tumor associated autoantibodies which can potentially be used as biomarkers for the early diagnosis of non-small cell lung cancer (NSCLC). Thirty-five unique and in-frame expressed phage proteins were isolated. Based on the gene expression profiling, four proteins were selected for further study. Both receiver operating characteristic curve analysis and leave-one-out method revealed that combined measurements of four antibodies produced have better predictive accuracies than any single marker alone. Leave-one-out validation also showed significant relevance with all stages of NSCLC patients. The panel of autoantibodies has a high potential for detecting early stage NSCLC.</t>
  </si>
  <si>
    <t>The research focuses on detecting patient immune responses to shared, wild-type antigens (TAAs) via phage-display, rather than identifying the mutation-derived neoantigens</t>
  </si>
  <si>
    <t>Papachristofilou, Alexandros; Hipp, Madeleine M.; Klinkhardt, Ute; Früh, Martin; Sebastian, Martin; Weiss, Christian; Pless, Miklos; Cathomas, Richard; Hilbe, Wolfgang; Pall, Georg; Wehler, Thomas; Alt, Jürgen; Bischoff, Helge; Geißler, Michael; Griesinger, Frank; Kallen, Karl-Josef; Fotin-Mleczek, Mariola; Schröder, Andreas; Scheel, Birgit; Muth, Anke; Seibel, Tobias; Stosnach, Claudia; Doener, Fatma; Hong, Henoch S.; Koch, Sven D.; Gnad-Vogt, Ulrike; Zippelius, Alfred</t>
  </si>
  <si>
    <t>Phase Ib evaluation of a self-adjuvanted protamine formulated mRNA-based active cancer immunotherapy, BI1361849 (CV9202), combined with local radiation treatment in patients with stage IV non-small cell lung cancer</t>
  </si>
  <si>
    <t>10.1186/s40425-019-0520-5</t>
  </si>
  <si>
    <t>BACKGROUND: Preclinical studies demonstrate synergism between cancer immunotherapy and local radiation, enhancing anti-tumor effects and promoting immune responses. BI1361849 (CV9202) is an active cancer immunotherapeutic comprising protamine-formulated, sequence-optimized mRNA encoding six non-small cell lung cancer (NSCLC)-associated antigens (NY-ESO-1, MAGE-C1, MAGE-C2, survivin, 5T4, and MUC-1), intended to induce targeted immune responses. METHODS: We describe a phase Ib clinical trial evaluating treatment with BI1361849 combined with local radiation in 26 stage IV NSCLC patients with partial response (PR)/stable disease (SD) after standard first-line therapy. Patients were stratified into three strata (1: non-squamous NSCLC, no epidermal growth factor receptor (EGFR) mutation, PR/SD after ≥4 cycles of platinum- and pemetrexed-based treatment [n = 16]; 2: squamous NSCLC, PR/SD after ≥4 cycles of platinum-based and non-platinum compound treatment [n = 8]; 3: non-squamous NSCLC, EGFR mutation, PR/SD after ≥3 and ≤ 6 months EGFR-tyrosine kinase inhibitor (TKI) treatment [n = 2]). Patients received intradermal BI1361849, local radiation (4 × 5 Gy), then BI1361849 until disease progression. Strata 1 and 3 also had maintenance pemetrexed or continued EGFR-TKI therapy, respectively. The primary endpoint was evaluation of safety; secondary objectives included assessment of clinical efficacy (every 6 weeks during treatment) and of immune response (on Days 1 [baseline], 19 and 61). RESULTS: Study treatment was well tolerated; injection site reactions and flu-like symptoms were the most common BI1361849-related adverse events. Three patients had grade 3 BI1361849-related adverse events (fatigue, pyrexia); there was one grade 3 radiation-related event (dysphagia). In comparison to baseline, immunomonitoring revealed increased BI1361849 antigen-specific immune responses in the majority of patients (84%), whereby antigen-specific antibody levels were increased in 80% and functional T cells in 40% of patients, and involvement of multiple antigen specificities was evident in 52% of patients. One patient had a partial response in combination with pemetrexed maintenance, and 46.2% achieved stable disease as best overall response. Best overall response was SD in 57.7% for target lesions. CONCLUSION: The results support further investigation of mRNA-based immunotherapy in NSCLC including combinations with immune checkpoint inhibitors. TRIAL REGISTRATION: ClinicalTrials.gov identifier: NCT01915524 .</t>
  </si>
  <si>
    <t>The study evaluates BI1361849 (CV9202), which is an mRNA vaccine encoding six specific antigens: NY-ESO-1, MAGE-C1, MAGE-C2, survivin, 5T4, and MUC-1.</t>
  </si>
  <si>
    <t>Lundholm, L.; Hååg, P.; Zong, D.; Juntti, T.; Mörk, B.; Lewensohn, R.; Viktorsson, K.</t>
  </si>
  <si>
    <t>Resistance to DNA-damaging treatment in non-small cell lung cancer tumor-initiating cells involves reduced DNA-PK/ATM activation and diminished cell cycle arrest</t>
  </si>
  <si>
    <t>Cell Death &amp; Disease</t>
  </si>
  <si>
    <t>10.1038/cddis.2012.211</t>
  </si>
  <si>
    <t>Increasing evidence suggests that tumor-initiating cells (TICs), also called cancer stem cells, are partly responsible for resistance to DNA-damaging treatment. Here we addressed if such a phenotype may contribute to radio- and cisplatin resistance in non-small cell lung cancer (NSCLC). We showed that four out of eight NSCLC cell lines (H125, A549, H1299 and H23) possess sphere-forming capacity when cultured in stem cell media and three of these display elevated levels of CD133. Indeed, sphere-forming NSCLC cells, hereafter called TICs, showed a reduced apoptotic response and increased survival after irradiation (IR), as compared with the corresponding bulk cell population. Decreased cytotoxicity and apoptotic signaling manifested by diminished poly (ADP-ribose) polymerase (PARP) cleavage and caspase 3 activity was also evident in TICs after cisplatin treatment. Neither radiation nor cisplatin resistance was due to quiescence as H125 TICs proliferated at a rate comparable to bulk cells. However, TICs displayed less pronounced G2 cell cycle arrest and S/G2-phase block after IR and cisplatin, respectively. Additionally, we confirmed a cisplatin-refractory phenotype of H125 TICs in vivo in a mouse xenograft model. We further examined TICs for altered expression or activation of DNA damage repair proteins as a way to explain their increased radio- and/or chemotherapy resistance. Indeed, we found that TICs exhibited increased basal γH2AX (H2A histone family, member X) expression and diminished DNA damage-induced phosphorylation of DNA-dependent protein kinase (DNA-PK), ataxia telangiectasia-mutated (ATM), Krüppel-associated protein 1 (KAP1) and monoubiquitination of Fanconi anemia, complementation group D2 (FANCD2). As a proof of principle, ATM inhibition in bulk cells increased their cisplatin resistance, as demonstrated by reduced PARP cleavage. In conclusion, we show that reduced apoptotic response, altered DNA repair signaling and cell cycle perturbations in NSCLC TICs are possible factors contributing to their therapy resistance, which may be exploited for DNA damage-sensitizing purposes.</t>
  </si>
  <si>
    <t>The study investigates Tumor-Initiating Cells (TICs) and DNA damage repair proteins (ATM, DNA-PK, FANCD2, γH2AX)</t>
  </si>
  <si>
    <t>Mauro, Cristian; Passerini, Rita; Spaggiari, Lorenzo; Galetta, Domenico; Radice, Davide; Lentati, Paola; Sandri, M. Teresa</t>
  </si>
  <si>
    <t>New and old biomarkers in the differential diagnosis of lung cancer: Pro-gastrin-releasing peptide in comparison with neuron-specific enolase, carcinoembryonic antigen, and CYFRA 21-1</t>
  </si>
  <si>
    <t>10.1177/1724600819834235</t>
  </si>
  <si>
    <t>BACKGROUND: Testing for circulating biomarkers in lung cancer is hampered by the insufficient specificity. We aimed to assess the relative diagnostic accuracy of pro-gastrin-releasing peptide (ProGRP) for the differential diagnosis of small cell lung cancer and compare it with more conventional biomarkers. METHODS: We enrolled a cohort of 390 patients with a clinical suspicion of lung cancer and for whom a histologic assessment was available. Serum or plasma samples were assessed for ProGRP, carcinoembryonic antigen, CYFRA 21-2, and neuron-specific enolase. The performance of each biomarker in discriminating the small cell lung cancer and squamous cell carcinoma/adenocarcinoma from non-malignant lung disease, and small cell lung cancer from squamous cell carcinoma/adenocarcinoma, was assayed by receiver operating characteristic curve analysis. RESULTS: At the cut-off levels suggested by the manufacturers, ProGRP and neuron-specific enolase showed an almost identical sensitivity of 55.2% and 55.6%, respectively, in discriminating small cell lung cancer with respect to non-malignant lung disease. In order to quantify the added value of ProGRP to other conventional markers, we ran a multivariable logistic regression analysis, but the results showed that no markers improve the performance of ProGRP. CONCLUSIONS: ProGRP and neuron-specific enolase individually appear more accurate than other conventional biomarkers for small cell lung cancer, but the union of two markers does not increase the accuracy. The very small target group of patients with small cell lung cancer is a limitation of this study, which can explain why ProGRP alone does not show a sensitivity higher than neuron-specific enolase, as reported by other authors.</t>
  </si>
  <si>
    <t xml:space="preserve"> study assesses ProGRP and NSE for distinguishing small cell lung cancer (SCLC) from other lung diseases, concluding that while effective for diagnosis,</t>
  </si>
  <si>
    <t>Sebastian, Martin; Schröder, Andreas; Scheel, Birgit; Hong, Henoch S.; Muth, Anke; von Boehmer, Lotta; Zippelius, Alfred; Mayer, Frank; Reck, Martin; Atanackovic, Djordje; Thomas, Michael; Schneller, Folker; Stöhlmacher, Jan; Bernhard, Helga; Gröschel, Andreas; Lander, Thomas; Probst, Jochen; Strack, Tanja; Wiegand, Volker; Gnad-Vogt, Ulrike; Kallen, Karl-Josef; Hoerr, Ingmar; von der Muelbe, Florian; Fotin-Mleczek, Mariola; Knuth, Alexander; Koch, Sven D.</t>
  </si>
  <si>
    <t>A phase I/IIa study of the mRNA-based cancer immunotherapy CV9201 in patients with stage IIIB/IV non-small cell lung cancer</t>
  </si>
  <si>
    <t>10.1007/s00262-019-02315-x</t>
  </si>
  <si>
    <t>CV9201 is an RNActive®-based cancer immunotherapy encoding five non-small cell lung cancer-antigens: New York esophageal squamous cell carcinoma-1, melanoma antigen family C1/C2, survivin, and trophoblast glycoprotein. In a phase I/IIa dose-escalation trial, 46 patients with locally advanced (n = 7) or metastatic (n = 39) NSCLC and at least stable disease after first-line treatment received five intradermal CV9201 injections (400-1600 µg of mRNA). The primary objective of the trial was to assess safety. Secondary objectives included assessment of antibody and ex vivo T cell responses against the five antigens, and changes in immune cell populations. All CV9201 dose levels were well-tolerated and the recommended dose for phase IIa was 1600 µg. Most AEs were mild-to-moderate injection site reactions and flu-like symptoms. Three (7%) patients had grade 3 related AEs. No related grade 4/5 or related serious AEs occurred. In phase IIa, antigen-specific immune responses against ≥ 1 antigen were detected in 63% of evaluable patients after treatment. The frequency of activated IgD+CD38hi B cells increased &gt; twofold in 18/30 (60%) evaluable patients. 9/29 (31%) evaluable patients in phase IIa had stable disease and 20/29 (69%) had progressive disease. Median progression-free and overall survival were 5.0 months (95% CI 1.8-6.3) and 10.8 months (8.1-16.7) from first administration, respectively. Two- and 3-year survival rates were 26.7% and 20.7%, respectively. CV9201 was well-tolerated and immune responses could be detected after treatment supporting further clinical investigation.</t>
  </si>
  <si>
    <t>The study evaluates CV9201, an mRNA vaccine encoding five specific antigens: NY-ESO-1, MAGE-C1, MAGE-C2, Survivin, and 5T4 (Trophoblast glycoprotein).</t>
  </si>
  <si>
    <t>Fehlings, Michael; Jhunjhunwala, Suchit; Kowanetz, Marcin; O'Gorman, William E.; Hegde, Priti S.; Sumatoh, Hermi; Lee, Boon Heng; Nardin, Alessandra; Becht, Etienne; Flynn, Susan; Ballinger, Marcus; Newell, Evan W.; Yadav, Mahesh</t>
  </si>
  <si>
    <t>Late-differentiated effector neoantigen-specific CD8+ T cells are enriched in peripheral blood of non-small cell lung carcinoma patients responding to atezolizumab treatment</t>
  </si>
  <si>
    <t>10.1186/s40425-019-0695-9</t>
  </si>
  <si>
    <t>BACKGROUND: There is strong evidence that immunotherapy-mediated tumor rejection can be driven by tumor-specific CD8+ T cells reinvigorated to recognize neoantigens derived from tumor somatic mutations. Thus, the frequencies or characteristics of tumor-reactive, mutation-specific CD8+ T cells could be used as biomarkers of an anti-tumor response. However, such neoantigen-specific T cells are difficult to reliably identify due to their low frequency in peripheral blood and wide range of potential epitope specificities. METHODS: Peripheral blood mononuclear cells (PBMC) from 14 non-small cell lung cancer (NSCLC) patients were collected pre- and post-treatment with the anti-PD-L1 antibody atezolizumab. Using whole exome sequencing and RNA sequencing we identified tumor neoantigens that are predicted to bind to major histocompatibility complex class I (MHC-I) and utilized mass cytometry, together with cellular 'barcoding', to profile immune cells from patients with objective response to therapy (n = 8) and those with progressive disease (n = 6). In parallel, a highly-multiplexed combinatorial tetramer staining was used to screen antigen-specific CD8+ T cells in peripheral blood for 782 candidate tumor neoantigens and 71 known viral-derived control peptide epitopes across all patient samples. RESULTS: No significant treatment- or response associated phenotypic difference were measured in bulk CD8+ T cells. Multiplexed peptide-MHC multimer staining detected 20 different neoantigen-specific T cell populations, as well as T cells specific for viral control antigens. Not only were neoantigen-specific T cells more frequently detected in responding patients, their phenotypes were also almost entirely distinct. Neoantigen-specific T cells from responder patients typically showed a differentiated effector phenotype, most like Cytomegalovirus (CMV) and some types of Epstein-Barr virus (EBV)-specific CD8+ T cells. In contrast, more memory-like phenotypic profiles were observed for neoantigen-specific CD8+ T cells from patients with progressive disease. CONCLUSION: This study demonstrates that neoantigen-specific T cells can be detected in peripheral blood in non-small cell lung cancer (NSCLC) patients during anti-PD-L1 therapy. Patients with an objective response had an enrichment of neoantigen-reactive T cells and these cells showed a phenotype that differed from patients without a response. These findings suggest the ex vivo identification, characterization, and longitudinal follow-up of rare tumor-specific differentiated effector neoantigen-specific T cells may be useful in predicting response to checkpoint blockade. TRIAL REGISTRATION: POPLAR trial NCT01903993 .</t>
  </si>
  <si>
    <t>Lee, Hyun Joo; Kim, Young Tae; Park, Pil Je; Shin, Yong Sung; Kang, Kyung Nam; Kim, Yongdai; Kim, Chul Woo</t>
  </si>
  <si>
    <t>A novel detection method of non-small cell lung cancer using multiplexed bead-based serum biomarker profiling</t>
  </si>
  <si>
    <t>10.1016/j.jtcvs.2011.10.046</t>
  </si>
  <si>
    <t>OBJECTIVES: Non-small cell lung cancer (NSCLC) is the leading cause of cancer-related mortality. Development of an early diagnosis method may improve survivals. We aimed to develop a new diagnostic model for NSCLC using serum biomarkers. METHODS: We set up a patient group diagnosed with NSCLC (n = 122) and a healthy control group (n = 225). Thirty serum analytes were selected on the basis of previous studies and a literature search. An antibody-bead array of 30 markers was constructed using the Luminex bead array platform (Luminex Inc, Austin, Tex) and was analyzed. Each marker was ranked by importance using the random forest method and then selected. Using selected markers, multivariate classification algorithms were constructed and were validated by application to independent validation cohort of 21 NSCLC and 28 control subjects. RESULTS: There was no difference in demographics between patients and the control population except for age (64.8 ± 10.0 for patients vs 53.0 ± 7.6 years for the control group). Among the 30 serum proteins, 23 showed a difference between the 2 groups (12 increased and 11 decreased in the patient group). We found the highest accuracy of multivariate classification algorithms when using the 5 highest-ranked biomarkers (A1AT, CYFRA 21-1, IGF-1, RANTES, AFP). When we applied the algorithms on a validation cohort, each method recognized the patients from the controls with high accuracy (89.8% with random forest, 91.8% with support vector machine, 88.2% with linear discriminant analysis, and 90.5% with logistic regression). CONCLUSIONS: We confirmed that a new diagnostic method using 5 serum biomarkers profiling constructed by multivariate classification algorithms could distinguish NSCLC from healthy controls with high accuracy.</t>
  </si>
  <si>
    <t xml:space="preserve"> The objective is the development of an early diagnostic model to distinguish NSCLC patients from healthy controls</t>
  </si>
  <si>
    <t>Wang, Weili; Guan, Songlei; Sun, Shilong; Jin, Yonglong; Lee, Kuang-Hui; Chen, Yubing; Wei, Jun</t>
  </si>
  <si>
    <t>Detection of circulating antibodies to linear peptide antigens derived from ANXA1 and DDX53 in lung cancer</t>
  </si>
  <si>
    <t>10.1007/s13277-014-1643-4</t>
  </si>
  <si>
    <t>The EarlyCDT®-Lung test was the first autoantibody-based diagnostic tool for lung cancer, which was developed with a panel of recombinant protein antigens. To confirm whether the antibody test developed with linear peptide antigens has a similar power to that developed with the whole protein molecules, the present work was then undertaken to develop an in-house enzyme-linked immunosorbent assay with linear peptide antigens derived from annexin A1 (ANXA1) and DEAD box protein 53 (DDX53), which have been used to develop the EarlyCDT®-Lung test. A total of 272 patients with non-small cell lung cancer (NSCLC) and 227 control subjects matched in age and smoking history were recruited. Student's t test showed that the levels of circulating IgG to ANXA1-derived peptide antigens were significantly higher in patients with NSCLC than control subjects (t = 5.66, P &lt; 0.0001), in which the increased anti-ANXA1 IgG levels were observed only in patients at stages I, II, or III, but not in those at stage IV. However, the levels of circulating IgG to DDX53-derived peptide antigens were not significantly altered in NSCLC (t = 1.78, P = 0.076). Receiver operating characteristic analysis showed that the sensitivity against specificity of &gt;90% was 23.7% for ANXA1 IgG assay and 13.8% for DDX53 IgG assay. This work suggests that the linear peptide antigen derived from ANXA1 may be suitable for the development of diagnostic tool for lung cancer although further screening is needed to identify more such peptide antigens derived from tumor-associated antigens.</t>
  </si>
  <si>
    <t>The objective is the technical refinement of a diagnostic tool (EarlyCDT®-Lung) for early screening</t>
  </si>
  <si>
    <t>Hsu, Han-Shui; Huang, Pin-I.; Chang, Yuh-Lih; Tzao, Ching; Chen, Yi-Wei; Shih, Hsin-Chin; Hung, Shih-Chieh; Chen, Yu-Chih; Tseng, Ling-Ming; Chiou, Shih-Hwa</t>
  </si>
  <si>
    <t>Cucurbitacin I inhibits tumorigenic ability and enhances radiochemosensitivity in nonsmall cell lung cancer-derived CD133-positive cells</t>
  </si>
  <si>
    <t>Cancer</t>
  </si>
  <si>
    <t>10.1002/cncr.25869</t>
  </si>
  <si>
    <t>BACKGROUND: Signal transducer and activator of transcription 3 (STAT3) signaling reportedly promotes tumor malignancy and recurrence in nonsmall cell lung cancer (NSCLC). It was demonstrated previously that the STAT3 pathway maintains the tumorigenicity and therapeutic resistance of malignant tumors as well as cancer stem cells (CSCs). The objective of the current study was to investigate the effect of the strong STAT3 inhibitor, cucurbitacin I, in prominin-1 (CD133)-positive lung cancer cells. METHODS: CD133-positive and CD133-negative NSCLC-derived cells were isolated from 7 patients with NSCLC. CD133-positive NSCLC cells that were treated with or without cucurbitacin I were evaluated for their expression of phosphorylated STAT3 (p-STAT3), tumorigenicity, stemness properties, and resistance to chemotherapeutic drugs and ionizing radiation. RESULTS: Compared with parental or CD133-negative NSCLC cells, CD133-positive NSCLC cells had greater tumorigenicity, greater radioresistance, and higher expression of octamer-binding transcription factor 4 (Oct-4), Nanog homeobox, and sex-determining region Y, box 2 (Sox2) at high p-STAT3 levels. Cucurbitacin I treatment at 100 nM effectively abrogated STAT3 activation, tumorigenic capacity, sphere formation ability, radioresistance, and chemoresistance in CD133-positive NSCLC cells. Microarray data suggested that cucurbitacin I inhibited the stemness gene signature of CD133-positive NSCLC cells and facilitated the differentiation of CD133-positive NSCLC cells into CD133-negative NSCLC cells. It is noteworthy that 150 nM cucurbitacin I effectively blocked STAT3 signaling and downstream survival targets, such as B-cell chronic lymphocytic leukemia/lymphoma 2 (Bcl-2) and Bcl-2-like 1 (Bcl-xL) expression and induced apoptosis in CD133-positive NSCLC cells. Finally, xenotransplantation experiments revealed that cucurbitacin I plus radiotherapy or chemotherapeutic drugs significantly suppressed tumorigenesis and improved survival in NSCLC-CD133-positive-transplanted, immunocompromised mice. CONCLUSIONS: Targeting STAT3 signaling in CD133-positive NSCLC cells with cucurbitacin I suppressed CSC-like properties and enhanced chemoradiotherapy response. The potential of cucurbitacin I should be verified further in future anti-CSC therapy.</t>
  </si>
  <si>
    <t>The objective is the pharmacological inhibition of oncogenic signaling in Cancer Stem Cells (CSCs).</t>
  </si>
  <si>
    <t>Zhou, Yiyang; Huang, Nan; Wu, Jianchun; Zhen, Ni; Li, Ning; Li, Yan; Li, Yong-Xin</t>
  </si>
  <si>
    <t>Silencing of NRAGE induces autophagy via AMPK/Ulk1/Atg13 signaling pathway in NSCLC cells</t>
  </si>
  <si>
    <t>10.1177/1010428317709676</t>
  </si>
  <si>
    <t>NRAGE has been reported to be overexpressed in cancer cells, especially in lung cancer cells. To determine the role of NRAGE in non-small-cell lung cancer cells, we investigated the effects of NRAGE on autophagy in non-small-cell lung cancer cells. Human A549 and H1299 cells were transfected with NRAGE-specific small-interfering RNA. The Cell Counting Kit-8 and plate clone assay showed that downregulation of NRAGE could induce the proliferation in A549 and H1299 cells. In addition, our data suggested that downregulation of NRAGE enhances autophagosome formation by immunofluorescence. We found that knockdown of NRAGE induced autophagy, together with downregulation of P62 and upregulation of LC3-II protein. Furthermore, to elucidate the mechanism of NRAGE in suppressing autophagy, the protein expressions of AMPK, Ulk1, and Atg13 were assessed. Collectively, these results demonstrate the effective anti-autophagic of NRAGE in non-small-cell lung cancer cells through AMPK/Ulk1/Atg13 autophagy signaling pathways. Therefore, NRAGE could be used as a potential therapeutic target for lung cancer.</t>
  </si>
  <si>
    <t>The objective is the mechanistic study of autophagy regulation and its impact on cell proliferation.</t>
  </si>
  <si>
    <t>Qi, Lei; Zhu, Feng; Li, Shu-Hai; Si, Li-Bo; Hu, Li-Kuan; Tian, Hui</t>
  </si>
  <si>
    <t>Retinoblastoma binding protein 2 (RBP2) promotes HIF-1α-VEGF-induced angiogenesis of non-small cell lung cancer via the Akt pathway</t>
  </si>
  <si>
    <t>10.1371/journal.pone.0106032</t>
  </si>
  <si>
    <t>BACKGROUND: Pathological angiogenesis plays an essential role in tumor aggressiveness and leads to unfavorable prognosis. The aim of this study is to detect the potential role of Retinoblastoma binding protein 2 (RBP2) in the tumor angiogenesis of non-small cell lung cancer (NSCLC). METHODS: Immunohistochemical staining was used to detect the expression of RBP2, hypoxia-inducible factor-1α (HIF-1α), vascular endothelial growth factor (VEGF) and CD34. Two pairs of siRNA sequences and pcDNA3-HA-RBP2 were used to down-regulate and up-regulate RBP2 expression in H1975 and SK-MES-1 cells. An endothelial cell tube formation assay, VEGF enzyme-linked immunosorbent assay, real-time PCR and western blotting were performed to detect the potential mechanisms mediated by RBP2 in tumor angiogenesis. RESULTS: Of the 102 stage I NSCLC specimens analyzed, high RBP2 protein expression is closely associated with tumor size (P = 0.030), high HIF-1α expression (P = 0.028), high VEGF expression (P = 0.048), increased tumor angiogenesis (P = 0.033) and poor prognosis (P = 0.037); high MVD was associated with high HIF-1α expression (P = 0.034), high VEGF expression (P = 0.001) and poor prognosis (P = 0.040). Multivariate analysis indicated that RBP2 had an independent influence on the survival of patients with stage I NSCLC (P = 0.044). By modulating the expression of RBP2, our findings suggested that RBP2 protein depletion decreased HUVECs tube formation by down-regulating VEGF in a conditioned medium. RBP2 stimulated the up-regulation of VEGF, which was dependent on HIF-1α, and activated the HIF-1α via phosphatidylinositol 3-kinase (PI3K)/Akt signaling pathway. Moreover, VEGF increased the activation of Akt regulated by RBP2. CONCLUSIONS: The RBP2 protein may stimulate HIF-1α expression via the activation of the PI3K/Akt signaling pathway under normoxia and then stimulate VEGF expression. These findings indicate that RBP2 may play a critical role in tumor angiogenesis and serve as an attractive therapeutic target against tumor aggressiveness for early-stage NSCLC patients.</t>
  </si>
  <si>
    <t>Targets wild-type epigenetic regulators and angiogenic factors, not neoantigens.</t>
  </si>
  <si>
    <t>Lin, Wei-Ming; Karsten, Uwe; Goletz, Steffen; Cheng, Ruo-Chuan; Cao, Yi</t>
  </si>
  <si>
    <t>Expression of CD176 (Thomsen-Friedenreich antigen) on lung, breast and liver cancer-initiating cells</t>
  </si>
  <si>
    <t>International Journal of Experimental Pathology</t>
  </si>
  <si>
    <t>10.1111/j.1365-2613.2010.00747.x</t>
  </si>
  <si>
    <t>The cancer-initiating capacity of most malignant tumours is considered to reside in a small subpopulation of cells. Therapeutical interventions should target these cells rather than the tumour mass. Numerous studies have shown that the carbohydrate antigen structure CD176 (Thomsen-Friedenreich antigen, core-1) is present in many types of cancer and absent in normal adult human tissues. In this study, we assessed whether CD176 is co-expressed with CD44 or CD133 [markers of cancer-initiating cells (CIC)] in human lung, breast and liver carcinoma. A variety of human cancer cell lines and surgical specimens of these malignancies were examined. It was found that in most cases the majority of tumour cells stained strongly for CD44 by immunohistochemistry and flow cytometry, whereas CD133 expression was found on a smaller, but varying proportion of cells. Co-expression of CD176 with CD44 was found at a surprisingly high percentage of cancer cells in vitro and in vivo. Co-expression of CD176 with CD133 was also detected, although at a lower rate. Tamoxifen treatment of MDA-435 breast cancer cells enhanced the CD44(+) /CD176(+) phenotype. Evidence is provided through a new sandwich solid-phase enzyme-linked immunosorbent assay (ELISA) suggesting that CD44 is a carrier molecule for CD176 not only in colorectal cancer as previously reported, but also in lung, breast and liver cancer. The expression of CD176 in CIC suggests that it may represent an effective target for tumour therapies.</t>
  </si>
  <si>
    <t>Targets a carbohydrate TAA (CD176) and stemness markers, not neoantigens.</t>
  </si>
  <si>
    <t>Richman, Lee P.; Vonderheide, Robert H.; Rech, Andrew J.</t>
  </si>
  <si>
    <t>Neoantigen Dissimilarity to the Self-Proteome Predicts Immunogenicity and Response to Immune Checkpoint Blockade</t>
  </si>
  <si>
    <t>Cell Systems</t>
  </si>
  <si>
    <t>10.1016/j.cels.2019.08.009</t>
  </si>
  <si>
    <t>Despite improved methods for MHC affinity prediction, the vast majority of computationally predicted tumor neoantigens are not immunogenic experimentally, indicating that high-quality neoantigens are beyond current algorithms to discern. To enrich for neoantigens with the greatest likelihood of immunogenicity, we developed an analytic method to parse neoantigen quality through rational biological criteria across five clinical datasets for 318 cancer patients. We explored four quality metrics, including analysis of dissimilarity to the non-mutated proteome that was predictive of peptide immunogenicity. In patient tumors, neoantigens with high dissimilarity were unique, enriched for hydrophobic sequences, and correlated with survival after PD-1 checkpoint therapy in patients with non-small cell lung cancer independent of predicted MHC affinity. We incorporated our neoantigen quality analysis methodology into an open-source tool, antigen.garnish, to predict immunogenic peptides from bulk computationally predicted neoantigens for which the immunogenic "hit rate" is currently low.</t>
  </si>
  <si>
    <t>Zhang, Jiajia; Ji, Zhicheng; Caushi, Justina X.; El Asmar, Margueritta; Anagnostou, Valsamo; Cottrell, Tricia R.; Chan, Hok Yee; Suri, Prerna; Guo, Haidan; Merghoub, Taha; Chaft, Jamie E.; Reuss, Joshua E.; Tam, Ada J.; Blosser, Richard L.; Abu-Akeel, Mohsen; Sidhom, John-William; Zhao, Ni; Ha, Jinny S.; Jones, David R.; Marrone, Kristen A.; Naidoo, Jarushka; Gabrielson, Edward; Taube, Janis M.; Velculescu, Victor E.; Brahmer, Julie R.; Housseau, Franck; Hellmann, Matthew D.; Forde, Patrick M.; Pardoll, Drew M.; Ji, Hongkai; Smith, Kellie N.</t>
  </si>
  <si>
    <t>Compartmental Analysis of T-cell Clonal Dynamics as a Function of Pathologic Response to Neoadjuvant PD-1 Blockade in Resectable Non-Small Cell Lung Cancer</t>
  </si>
  <si>
    <t>10.1158/1078-0432.CCR-19-2931</t>
  </si>
  <si>
    <t>PURPOSE: Neoadjuvant PD-1 blockade is a promising treatment for resectable non-small cell lung cancer (NSCLC), yet immunologic mechanisms contributing to tumor regression and biomarkers of response are unknown. Using paired tumor/blood samples from a phase II clinical trial (NCT02259621), we explored whether the peripheral T-cell clonotypic dynamics can serve as a biomarker for response to neoadjuvant PD-1 blockade. EXPERIMENTAL DESIGN: T-cell receptor (TCR) sequencing was performed on serial peripheral blood, tumor, and normal lung samples from resectable NSCLC patients treated with neoadjuvant PD-1 blockade. We explored the temporal dynamics of the T-cell repertoire in the peripheral and tumoral compartments in response to neoadjuvant PD-1 blockade by using the TCR as a molecular barcode. RESULTS: Higher intratumoral TCR clonality was associated with reduced percent residual tumor at the time of surgery, and the TCR repertoire of tumors with major pathologic response (MPR; &lt;10% residual tumor after neoadjuvant therapy) had a higher clonality and greater sharing of tumor-infiltrating clonotypes with the peripheral blood relative to tumors without MPR. Additionally, the posttreatment tumor bed of patients with MPR was enriched with T-cell clones that had peripherally expanded between weeks 2 and 4 after anti-PD-1 initiation and the intratumoral space occupied by these clonotypes was inversely correlated with percent residual tumor. CONCLUSIONS: Our study suggests that exchange of T-cell clones between tumor and blood represents a key correlate of pathologic response to neoadjuvant immunotherapy and shows that the periphery may be a previously underappreciated originating compartment for effective antitumor immunity.See related commentary by Henick, p. 1205.</t>
  </si>
  <si>
    <t>Tutar, Nuri; Yetkin, Nur Aleyna; Yazıcı, Cevat; Önal, Ömer; Kontaş, Olgun; Keleştemur, Fahrettin</t>
  </si>
  <si>
    <t>Clinical significance of progastrin-releasing peptide, neuron-specific enolase, chromogranin a, and squamous cell cancer antigen in pulmonary neuroendocrine tumors</t>
  </si>
  <si>
    <t>Turkish Journal of Medical Sciences</t>
  </si>
  <si>
    <t>10.3906/sag-1810-147</t>
  </si>
  <si>
    <t>BACKGROUND/AIM: It is not always easy to diagnose pulmonary neuroendocrine tumors (PNETs). The aim of the present study is to make a differential diagnosis by studying the same markers in patients with non-small-cell lung carcinoma (NSCLC), patients with benign lung disease (chronic obstructive pulmonary disease and pneumonia), and healthy volunteers to determine the roles of these markers in pulmonary neuroendocrine tumor diagnosis and to identify their power. MATERIALS AND METHODS: A total of 100 participants including 23 PNET patients and 28 NSCLC patients who were pathologically di-agnosed but not yet treated, 25 participants with benign disease, and 24 healthy volunteers were included in this cross-sectional study. RESULTS: No significant difference was found between the chromogranin A (CgA) and squamous cell carcinoma antigen 1 (SCCA1) values among the groups (PNET, NSCLC, benign, healthy volunteers), but the difference in progesterone-releasing peptide (ProGRP), neuron-specific enolase (NSE), and adjusted NSE was statistically significant (P values were respectively ProGRP, P = 0.006; NSE, P = 0.015; NSE adjusted, P = 0.09). In a comparison of the PNET and NSCLC groups, having a ProGRP value higher than 84.6 pg/mL re-vealed PNET with 60.9% sensitivity and 89.3% specificity (P = 0.001). CONCLUSION: The ProGRP value is the only indicator that distinguishes the PNET group from the other 3 groups.</t>
  </si>
  <si>
    <t>Targets clinical TAAs (ProGRP, NSE), not mutation-derived neoantigens</t>
  </si>
  <si>
    <t>Zhang, Yi; Zhang, Yingmei; Yin, Yunhong; Li, Shuhai</t>
  </si>
  <si>
    <t>Detection of circulating exosomal miR-17-5p serves as a novel non-invasive diagnostic marker for non-small cell lung cancer patients</t>
  </si>
  <si>
    <t>Pathology, Research and Practice</t>
  </si>
  <si>
    <t>10.1016/j.prp.2019.152466</t>
  </si>
  <si>
    <t>Exosome-shuttled bioactive miRNAs act as novel non-invasive biomarkers for cancer diagnosis have received increasing attention. In this study, we aimed to investigate the expression signatures of exosomal miRNAs and develop a serum exosome-derived miRNA panel for diagnosis of non-small cell lung cancer (NSCLC). The miR-17-92 cluster including 6 miRNAs (miR-17-5p, miR-18a-5p, miR-19a-3p, miR-19b-1-5p, miR-20a-5p and miR-92a-1-5p) was selected as potential diagnostic candidate molecule. Then, expression profiles of the candidate miRNAs were firstly analyzed in 43 pairs of serum samples from the training set by quantitative real-time PCR, and the dysregulated miRNA along with three tumor markers (carcinoembryonic antigen, CEA; cytokeratin 19 fragment, CYFRA21-1; squamous cell carcinoma antigen, SCCA) were further validated in two independent cohorts, which consisted of training set (including 100 NSCLC patients and 90 healthy controls) and validation set (including 72 NSCLC patients and 47 healthy controls). The expression of miR-17-5p was significantly up-regulated in NSCLC patients compared with the healthy controls (P &lt; 0.001), suggesting that miR-17-5p might have considerable clinical value in the diagnosis of NSCLC. Based on the data from the training set, we next used a logistic regression model to construct a 4-molecule panel consisting of miR-17-5p and three tumor markers for NSCLC diagnosis. The performance of such 4-molecule panel was verified with an area under the ROC curve of 0.860 (95% CI = 0.802 to 0.906, sensitivity = 63.0% and specificity = 93.3%) and 0.844 (95% CI = 0.766 to 0.904, sensitivity = 76.4% and specificity = 76.6%) in the training set and validation set, respectively. In conclusion, the newly developed diagnostic panel consisting of exosomal miR-17-5p, CEA, CYFRA21-1 and SCCA may have considerable clinical value in the diagnosis of NSCLC.</t>
  </si>
  <si>
    <t>The study investigates exosomal miR-17-5p and three conventional Tumor-Associated Antigens (TAAs): CEA, CYFRA21-1, and SCCA</t>
  </si>
  <si>
    <t>Liu, Wenwen; Ma, Ligang; Guo, Zhuangzhuang; Liu, Tao; Liu, Yanju; Wang, Dazhong; Kong, Jinming</t>
  </si>
  <si>
    <t>A Fluorescent Sensor Based on Reversible Addition-Fragmentation Chain Transfer Polymerization for the Early Diagnosis of Non-small Cell Lung Cancer</t>
  </si>
  <si>
    <t>Analytical Sciences: The International Journal of the Japan Society for Analytical Chemistry</t>
  </si>
  <si>
    <t>10.2116/analsci.19P359</t>
  </si>
  <si>
    <t>We propose a novel, ultrasensitive and low-cost sensor using reversible addition-fragmentation chain transfer (RAFT) polymerization as a signal amplification strategy for the detection of CYFRA 21-1 DNA fragment, a tumor marker of non-small cell lung carcinoma. The peptide nucleic acid (PNA) probes were firstly immobilized on magnetic beads (MBs) to capture the CYFRA 21-1 DNA specifically. After hybridization, CPAD was tethered to the hetero duplexes through carboxylate-Zr4+-phosphate chemistry. Subsequently, a number of fluorescent tags were introduced to the heteroduplexes through RAFT polymerization, leading to an amplification of the fluorescence signal. The sensor demonstrates a low limit of detection (LOD) of 0.02 fM. It has great selectivity with respect to base mismatch DNA, and high anti-interference ability in normal human serum. Overall findings of the study suggest that proposed sensor holds enormous potential to be used as a tool for the early-stage diagnosis of lung cancers.</t>
  </si>
  <si>
    <t>The objective is the technical development of an ultrasensitive sensor for early-stage diagnosis.</t>
  </si>
  <si>
    <t>Urquhart, Gordon; Kerr, Keith M.; Nicolson, Marianne; Loo, Peh Sun; Sharma, Ravi; Shrimali, Raj; Petty, Russell D.</t>
  </si>
  <si>
    <t>Serpin b3 is associated with poor survival after chemotherapy and is a potential novel predictive biomarker in advanced non-small-cell lung cancer</t>
  </si>
  <si>
    <t>10.1097/JTO.0000000000000016</t>
  </si>
  <si>
    <t>INTRODUCTION: In a previous biomarker discovery project using gene-expression profiling we identified Serpin B3 (SB3) as a predictor of resistance to platinum doublet chemotherapy (PtC) in non-small-cell lung cancer (NSCLC). This independent prospective study was designed to confirm the predictive utility of SB3. METHODS: SB3 immunohistochemistry was scored by previously validated criteria (score 0 = negative, score 1 = 1%-10% tumor cells positive, score 2 = 11%-50% tumor cells positive, and score 3 = &gt;50% tumor cell positive) in 197 patients with stage IV NSCLC treated with PtC. This provided 80% power to detect a median survival increase from 150 days in patients with an SB3 immunohistochemistry score of 2 or more to 300 days in those with an SB3 score of 0 or 1. RESULTS: Thirty-six percent of NSCLCs stained positive for SB3. Median survival for SB3 negative/score 0 was 332 days, SB3 positive/score 1 was 268 days, and SB3 positive/score 2 or 3 was 120 days (p = 0.004). Cox proportional hazards analysis demonstrated that SB3 positivity is an independent predictor of survival (hazard ratio = 1.87; 95% confidence interval, 1.29-2.71; p = 0.001).The disease control rate in SB3 score 0, 1 = 65%, and score of 2 or more = 20 % (p = 0.002), with median survival 306 days (score 0, 1) versus 120 days (score ≥ 2, hazard ratio= 1.71; 95% confidence interval. 1.14-3.10; p = 0.002). CONCLUSIONS: SB3-positive immunohistochemistry score of 2 or more (&gt;10% tumor cells positive) identifies a subgroup of patients with stage IV NSCLC who have a poor survival (median 120 days) when treated with PtC, similar to that estimated for untreated or chemo-refractory stage IV NSCLC. Further prospective qualification using biospecimens from randomized studies is needed, but SB3 seems to be a useful biomarker that identifies a highly resistant subgroup in whom PtC should be avoided.</t>
  </si>
  <si>
    <t>The objective is the prediction of resistance to platinum-doublet chemotherapy (PtC)</t>
  </si>
  <si>
    <t>Koopmans, Iris; Hendriks, Mark A. J. M.; van Ginkel, Robert J.; Samplonius, Douwe F.; Bremer, Edwin; Helfrich, Wijnand</t>
  </si>
  <si>
    <t>Bispecific Antibody Approach for Improved Melanoma-Selective PD-L1 Immune Checkpoint Blockade</t>
  </si>
  <si>
    <t>The Journal of Investigative Dermatology</t>
  </si>
  <si>
    <t>10.1016/j.jid.2019.01.038</t>
  </si>
  <si>
    <t>Reactivation of functionally-impaired anticancer T cells by programmed cell death protein 1 (PD-1) and programmed cell death receptor ligand-1 (PD-L1)-blocking antibodies shows prominent therapeutic benefit in advanced melanoma and patients with non-small cell lung cancer. However, current PD-L1-blocking antibodies lack intrinsic tumor selectivity. Therefore, efficacy may be reduced resulting from on-target and off-tumor binding to PD-L1-expressing normal cells. This may lead to indiscriminate activation of antigen-experienced T cells, including those implicated in autoimmune-related adverse events. To direct PD-L1 blockade to chondroitin sulfate proteoglycan 4 (CSPG4)-expressing cancers and to reactivate anticancer T cells more selectively, we constructed bispecific antibody PD-L1xCSPG4. CSPG4 is an established target antigen that is selectively overexpressed on malignant melanoma and various other difficult-to-treat cancers. PD-L1xCSPG4 showed enhanced capacity for CSPG4-directed blockade of PD-L1 on cancer cells. Importantly, treatment of mixed cultures containing primary patient-derived CSPG4-expressing melanoma cells and autologous tumor-infiltrating lymphocytes with PD-L1xCSPG4 significantly enhanced activation status, IFN-γ production, and cytolytic activity of anticancer T cells. In conclusion, tumor-directed blockade of PD-L1 by PD-L1xCSPG4 may improve efficacy and safety of PD-1/PD-L1 checkpoint blockade for treatment of melanoma and other CSPG4-overexpressing malignancies.</t>
  </si>
  <si>
    <t>The objective is the development of a bispecific antibody (PD-L1xCSPG4) to improve the selectivity of checkpoint blockade.</t>
  </si>
  <si>
    <t>Karanikas, Vaios; Tsochas, Stefanos; Boukas, Konstantinos; Kerenidi, Theodora; Nakou, Marianna; Dahabreh, Jubrail; Poularakis, Theodoros; Gourgoulianis, Konstantinos I.; Germenis, Anastasios E.</t>
  </si>
  <si>
    <t>Co-expression patterns of tumor-associated antigen genes by non-small cell lung carcinomas: implications for immunotherapy</t>
  </si>
  <si>
    <t>10.4161/cbt.7.3.5424</t>
  </si>
  <si>
    <t>BACKGROUND: Polyvalent vaccination represents a recent attempt to improve the effectiveness of lung cancer immunotherapy. This study aimed to investigate whether a gene expression pattern of tumor-associated antigens (TAA) would exist indicating that their use will be most appropriate for the polyvalent vaccination of Caucasian non-small cell lung carcinoma (NSCLC) patients. We examined the concomitant expression of genes belonging to different TAA families for which expression frequencies either have never been detected in NSCLC or vary widely in the literature. RESULTS: 15/23 (65%) and 8/23 (35%) tumor samples were found expressing 6-11 and 2-5 out of the 12 examined TAAs, respectively, at levels &gt;1% of the testis reference sample. The most prevalent TAA patterns observed were those of survivin standard (survivin-std)/survivin-2B expressed by 22/23 (95.5%) tumor samples and of survivin-std/survivin-2B/hTERT expressed by 19/23 (82.5%) tumor samples. The expression levels of the survivin-std gene strongly positively correlated to those of the survivin-2B (p=0.001) and the hTERT genes (p=0.031). The number of concomitantly expressed genes was found to be positively correlated to the age of the patients (p=0.001) and the tumor size (p=0.048). METHODS: Tumor material from 23 patients with NSCLC (12 adenocarcinomas, 8 squamous cell carcinomas, 3 bronchiolo-carcinomas) was examined. mRNA transcripts were detected for 5 genes of the survivin family, 5 MAGE-A genes as well as the genes of human telomerase reverse transcriptase (hTERT) and p53, by the use of quantitative real-time reverse-transcription polymerase chain reaction (RT-PCR) or semi-quantitative RT-PCR. CONCLUSION: This study provides evidence that, in Caucasian patients with NSCLC, highly prevalent expression patterns of TAA genes, predominantly of overexpressed TAAs, do exist. This result implies that the combined use of these TAA could help in designing more effective NSCLC immunotherapeutic protocols.</t>
  </si>
  <si>
    <t>The objective is to identify concomitant expression patterns of shared antigens to justify "off-the-shelf" polyvalent vaccination</t>
  </si>
  <si>
    <t>Pine, Sharon R.; Ryan, Bríd M.; Varticovski, Lyuba; Robles, Ana I.; Harris, Curtis C.</t>
  </si>
  <si>
    <t>Microenvironmental modulation of asymmetric cell division in human lung cancer cells</t>
  </si>
  <si>
    <t>10.1073/pnas.0909390107</t>
  </si>
  <si>
    <t>Normal tissue homeostasis is maintained through asymmetric cell divisions that produce daughter cells with differing self-renewal and differentiation potentials. Certain tumor cell subfractions can self-renew and repopulate the heterogeneous tumor bulk, suggestive of asymmetric cell division, but an equally plausible explanation is that daughter cells of a symmetric division subsequently adopt differing cell fates. Cosegregation of template DNA during mitosis is one mechanism by which cellular components are segregated asymmetrically during cell division in fibroblast, muscle, mammary, intestinal, and neural cells. Asymmetric cell division of template DNA in tumor cells has remained elusive, however. Through pulse-chase experiments with halogenated thymidine analogs, we determined that a small population of cells within human lung cancer cell lines and primary tumor cell cultures asymmetrically divided their template DNA, which could be visualized in single cells and in real time. Template DNA cosegregation was enhanced by cell-cell contact. Its frequency was density-dependent and modulated by environmental changes, including serum deprivation and hypoxia. In addition, we found that isolated CD133(+) lung cancer cells were capable of tumor cell repopulation. Strikingly, during cell division, CD133 cosegregated with the template DNA, whereas the differentiation markers prosurfactant protein-C and pan-cytokeratins were passed to the opposing daughter cell, demonstrating that segregation of template DNA correlates with lung cancer cell fate. Our results demonstrate that human lung tumor cell fate decisions may be regulated during the cell division process. The characterization and modulation of asymmetric cell division in lung cancer can provide insight into tumor initiation, growth, and maintenance.</t>
  </si>
  <si>
    <t>This study investigates mechanisms of tumor cell fate and self-renewal rather than identifying somatic mutation-derived neoantigens for immunotherapy</t>
  </si>
  <si>
    <t>Ajona, Daniel; Remirez, Ana; Sainz, Cristina; Bertolo, Cristina; Gonzalez, Alvaro; Varo, Nerea; Lozano, María D.; Zulueta, Javier J.; Mesa-Guzman, Miguel; C Martin, Ana; Perez-Palacios, Rosa; Perez-Gracia, Jose Luis; Massion, Pierre P.; Montuenga, Luis M.; Pio, Ruben</t>
  </si>
  <si>
    <t>A model based on the quantification of complement C4c, CYFRA 21-1 and CRP exhibits high specificity for the early diagnosis of lung cancer</t>
  </si>
  <si>
    <t>Translational Research: The Journal of Laboratory and Clinical Medicine</t>
  </si>
  <si>
    <t>10.1016/j.trsl.2021.02.009</t>
  </si>
  <si>
    <t>Lung cancer screening detects early-stage cancers, but also a large number of benign nodules. Molecular markers can help in the lung cancer screening process by refining inclusion criteria or guiding the management of indeterminate pulmonary nodules. In this study, we developed a diagnostic model based on the quantification in plasma of complement-derived fragment C4c, cytokeratin fragment 21-1 (CYFRA 21-1) and C-reactive protein (CRP). The model was first validated in two independent cohorts, and showed a good diagnostic performance across a range of lung tumor types, emphasizing its high specificity and positive predictive value. We next tested its utility in two clinically relevant contexts: assessment of lung cancer risk and nodule malignancy. The scores derived from the model were associated with a significantly higher risk of having lung cancer in asymptomatic individuals enrolled in a computed tomography (CT)-screening program (OR = 1.89; 95% CI = 1.20-2.97). Our model also served to discriminate between benign and malignant pulmonary nodules (AUC: 0.86; 95% CI = 0.80-0.92) with very good specificity (92%). Moreover, the model performed better in combination with clinical factors, and may be used to reclassify patients with intermediate-risk indeterminate pulmonary nodules into patients who require a more aggressive work-up. In conclusion, we propose a new diagnostic biomarker panel that may dictate which incidental or screening-detected pulmonary nodules require a more active work-up.</t>
  </si>
  <si>
    <t>The study investigates a diagnostic panel consisting of C4c (a complement-derived fragment), CYFRA 21-1 (Cytokeratin 19 fragment), and CRP (C-reactive protein).</t>
  </si>
  <si>
    <t>Carvalho, Sara; Troost, Esther G. C.; Bons, Judith; Menheere, Paul; Lambin, Philippe; Oberije, Cary</t>
  </si>
  <si>
    <t>Prognostic value of blood-biomarkers related to hypoxia, inflammation, immune response and tumour load in non-small cell lung cancer - A survival model with external validation</t>
  </si>
  <si>
    <t>Radiotherapy and Oncology: Journal of the European Society for Therapeutic Radiology and Oncology</t>
  </si>
  <si>
    <t>10.1016/j.radonc.2016.04.024</t>
  </si>
  <si>
    <t>AIM: Improve the prognostic prediction of clinical variables for non-small cell lung cancer (NSCLC), by selecting from blood-biomarkers, non-invasively describing hypoxia, inflammation and tumour load. METHODS: Model development and validation included 182 and 181 inoperable stage I-IIIB NSCLC patients treated radically with radiotherapy (55.2%) or chemo-radiotherapy (44.8%). Least absolute shrinkage and selection operator (LASSO), selected from blood-biomarkers related to hypoxia [osteopontin (OPN) and carbonic anhydrase IX (CA-IX)], inflammation [interleukin-6 (IL-6), IL-8, and C-reactive protein (CRP)], and tumour load [carcinoembryonic antigen (CEA), and cytokeratin fragment 21-1 (Cyfra 21-1)]. Sequent model extension selected from alpha-2-macroglobulin (α2M), serum interleukin-2 receptor (sIL2r), toll-like receptor 4 (TLR4), and vascular endothelial growth factor (VEGF). Discrimination was reported by concordance-index. RESULTS: OPN and Cyfra 21-1 (hazard ratios of 3.3 and 1.7) significantly improved a clinical model comprising gender, World Health Organization performance-status, forced expiratory volume in 1s, number of positive lymph node stations, and gross tumour volume, from a concordance-index of 0.66 to 0.70 (validation=0.62 and 0.66). Extension of the validated model yielded a concordance-index of 0.67, including α2M, sIL2r and VEGF (hazard ratios of 4.6, 3.1, and 1.4). CONCLUSION: Improvement of a clinical model including hypoxia and tumour load blood-biomarkers was validated. New immunological markers were associated with overall survival. Data and models can be found at www.cancerdata.org (http://dx.doi.org/10.17195/candat.2016.04.1) and www.predictcancer.org.</t>
  </si>
  <si>
    <t>The objective is to improve prognostic models for patients undergoing radiotherapy/chemoradiotherapy</t>
  </si>
  <si>
    <t>Chen, Yu-Chih; Hsu, Han-Shui; Chen, Yi-Wei; Tsai, Tung-Hu; How, Chorng-Kuang; Wang, Chien-Ying; Hung, Shih-Chieh; Chang, Yuh-Lih; Tsai, Ming-Long; Lee, Yi-Yen; Ku, Hung-Hai; Chiou, Shih-Hwa</t>
  </si>
  <si>
    <t>Oct-4 expression maintained cancer stem-like properties in lung cancer-derived CD133-positive cells</t>
  </si>
  <si>
    <t>10.1371/journal.pone.0002637</t>
  </si>
  <si>
    <t>CD133 (prominin-1), a 5-transmembrane glycoprotein, has recently been considered to be an important marker that represents the subset population of cancer stem-like cells. Herein we report the isolation of CD133-positive cells (LC-CD133(+)) and CD133-negative cells (LC-CD133(-)) from tissue samples of ten patients with non-small cell lung cancer (LC) and five LC cell lines. LC-CD133(+) displayed higher Oct-4 expressions with the ability to self-renew and may represent a reservoir with proliferative potential for generating lung cancer cells. Furthermore, LC-CD133(+), unlike LC-CD133(-), highly co-expressed the multiple drug-resistant marker ABCG2 and showed significant resistance to chemotherapy agents (i.e., cisplatin, etoposide, doxorubicin, and paclitaxel) and radiotherapy. The treatment of Oct-4 siRNA with lentiviral vector can specifically block the capability of LC-CD133(+) to form spheres and can further facilitate LC-CD133(+) to differentiate into LC-CD133(-). In addition, knock-down of Oct-4 expression in LC-CD133(+) can significantly inhibit the abilities of tumor invasion and colony formation, and increase apoptotic activities of caspase 3 and poly (ADP-ribose) polymerase (PARP). Finally, in vitro and in vivo studies further confirm that the treatment effect of chemoradiotherapy for LC-CD133(+) can be improved by the treatment of Oct-4 siRNA. In conclusion, we demonstrated that Oct-4 expression plays a crucial role in maintaining the self-renewing, cancer stem-like, and chemoradioresistant properties of LC-CD133(+). Future research is warranted regarding the up-regulated expression of Oct-4 in LC-CD133(+) and malignant lung cancer.</t>
  </si>
  <si>
    <t>The objective is the mechanistic study of CSC properties, specifically how Oct-4 maintains self-renewal and chemoradioresistance in CD133+ cells.</t>
  </si>
  <si>
    <t>Li, Shunzi; Gray, Bethany Powell; McGuire, Michael J.; Brown, Kathlynn C.</t>
  </si>
  <si>
    <t>Synthesis and biological evaluation of a peptide-paclitaxel conjugate which targets the integrin αvβ₆</t>
  </si>
  <si>
    <t>Bioorganic &amp; Medicinal Chemistry</t>
  </si>
  <si>
    <t>10.1016/j.bmc.2011.07.046</t>
  </si>
  <si>
    <t>The integrin α(v)β(6) is an emergent biomarker for non-small cell lung cancer (NSCLC) as well as other carcinomas. We previously developed a tetrameric peptide, referred to as H2009.1, which binds α(v)β(6) and displays minimal affinity for other RGD-binding integrins. Here we report the use of this peptide to actively deliver paclitaxel to α(v)β(6)-positive cells. We synthesized a water soluble paclitaxel-H2009.1 peptide conjugate in which the 2'-position of paclitaxel is attached to the tetrameric peptide via an ester linkage. The conjugate maintains its specificity for α(v)β(6)-expressing NSCLC cells, resulting in selective cytotoxicity. Treatment of α(v)β(6)-positive cells with the conjugate results in cell cycle arrest followed by induction of apoptosis in the same manner as free paclitaxel. However, initiation of apoptosis and the resultant cell death is delayed compared to free drug. The conjugate demonstrates anti-tumor activity in a H2009 xenograft model of NSCLC with efficacy comparable to treatment with free paclitaxel.</t>
  </si>
  <si>
    <t>Targets wild-type stemness markers (CD133, Oct-4), not neoantigens.</t>
  </si>
  <si>
    <t>Guffroy, Magali; Trela, Bruce; Kambara, Takahito; Stawski, Lukasz; Chen, Huidong; Luus, Lia; Montesinos, Monica S.; Olson, Lauren; He, Yupeng; Maisonave, Kevin; Carr, Tracy; Lu, Min; Ray, Adrian S.; Hazelwood, Lisa A.</t>
  </si>
  <si>
    <t>Selective inhibition of integrin αvβ6 leads to rapid induction of urinary bladder tumors in cynomolgus macaques</t>
  </si>
  <si>
    <t>Toxicological Sciences: An Official Journal of the Society of Toxicology</t>
  </si>
  <si>
    <t>10.1093/toxsci/kfac128</t>
  </si>
  <si>
    <t>Administration of a novel and selective small molecule integrin αvβ6 inhibitor, MORF-627, to young cynomolgus monkeys for 28 days resulted in the rapid induction of epithelial proliferative changes in the urinary bladder of 2 animals, in the absence of test agent genotoxicity. Microscopic findings included suburothelial infiltration by irregular nests and/or trabeculae of epithelial cells, variable cytologic atypia, and high mitotic rate, without invasion into the tunica muscularis. Morphologic features and patterns of tumor growth were consistent with a diagnosis of early-stage invasive urothelial carcinoma. Ki67 immunohistochemistry demonstrated diffusely increased epithelial proliferation in the urinary bladder of several monkeys, including those with tumors, and αvβ6 was expressed in some epithelial tissues, including urinary bladder, in monkeys and humans. Spontaneous urothelial carcinomas are extremely unusual in young healthy monkeys, suggesting a direct link of the finding to the test agent. Inhibition of integrin αvβ6 is intended to locally and selectively block transforming growth factor beta (TGF-β) signaling, which is implicated in epithelial proliferative disorders. Subsequent in vitro studies using a panel of integrin αvβ6 inhibitors in human bladder epithelial cells replicated the increased urothelial proliferation observed in monkeys and was reversed through exogenous application of TGF-β. Moreover, analysis of in vivo models of liver and lung fibrosis revealed evidence of epithelial hyperplasia and cell cycle dysregulation in mice treated with integrin αvβ6 or TGF-β receptor I inhibitors. The cumulative evidence suggests a direct link between integrin αvβ6 inhibition and decreased TGF-β signaling in the local bladder environment, with implications for epithelial proliferation and carcinogenesis.</t>
  </si>
  <si>
    <t>The primary subjects are Cynomolgus monkeys and mice. While human bladder epithelial cells were used for in vitro replication, the study does not involve a cohort of Human NSCLC patie</t>
  </si>
  <si>
    <t>Ishiwata, Toshiji; Takahashi, Kazuhisa; Shimanuki, Yuri; Ohashi, Rina; Cui, Ri; Takahashi, Fumiyuki; Shimizu, Kazue; Miura, Kayo; Fukuchi, Yoshinosuke</t>
  </si>
  <si>
    <t>Serum tenascin-C as a potential predictive marker of angiogenesis in non-small cell lung cancer</t>
  </si>
  <si>
    <t>BACKGROUND: Tenascin (Tn)-C is an extracellular matrix protein that is involved in tissue interactions during fetal development and oncogenesis. However, the role of serum Tn-C in non-small cell lung cancer (NSCLC) has not been clarified. PATIENTS AND METHODS: In this study, we determined the serum levels of Tn-C among NSCLC patients who underwent surgery, as well as other factors implicated for angiogenesis, to address the clinical implications in NSCLC. RESULTS AND CONCLUSION: The median concentration of serum Tn-C in NSCLC patients was slightly higher than that of normal controls, but this difference was not statistically significant. There was a positive correlation between serum Tn-C levels and microvessel density (MVD), serum osteopontin (OPN) and vascular endothelial growth factor (VEGF). In contrast, there was no correlation between serum Tn-C levels and serum carcinoembryonic antigen (CEA) and sialyl lewis-X (SLX) levels. The overall survival of patients with low Tn-C levels (&lt;96 ng/ml) was significantly greater than that of patients with high Tn-C levels (&gt; or =96 ng/ml). Intratumoral Tn-C expression was co-localized with expression of microvessels in the stroma of the cancer cells by immunohistochemical analysis. Moreover, enhanced in vitro migration of human umbilical vascular endothelial cells (HUVEC) was induced by recombinant Tn-C. Collectively, Tn-C may play an important role in angiogenesis of patients with NSCLC, and the determination of serum Tn-C may be useful in predicting intratumoral vasculature and patients' prognosis.</t>
  </si>
  <si>
    <t>The study investigates Tenascin-C (Tn-C), Osteopontin (OPN), VEGF, CEA, and SLX. Tenascin-C is an extracellular matrix protein and a Tumor-Associated Antigen (TAA)—a wild-type protein overexpressed during fetal development and oncogenesis.</t>
  </si>
  <si>
    <t>Alam, Maroof; Ahmad, Rehan; Rajabi, Hasan; Kufe, Donald</t>
  </si>
  <si>
    <t>MUC1-C Induces the LIN28B→LET-7→HMGA2 Axis to Regulate Self-Renewal in NSCLC</t>
  </si>
  <si>
    <t>10.1158/1541-7786.MCR-14-0363</t>
  </si>
  <si>
    <t>The LIN28B→let-7 pathway contributes to regulation of the epithelial-mesenchymal transition (EMT) and stem cell self-renewal. The oncogenic MUC1-C transmembrane protein is aberrantly overexpressed in lung and other carcinomas; however, there is no known association between MUC1-C and the LIN28B→let-7 pathway. Here in non-small cell lung cancer (NSCLC), silencing MUC1-C downregulates the RNA-binding protein LIN28B and coordinately increases the miRNA let-7. Targeting MUC1-C function with a dominant-negative mutant or a peptide inhibitor provided confirming evidence that MUC1-C induces LIN28B→let-7 signaling. Mechanistically, MUC1-C promotes NF-κB p65 chromatin occupancy of the LIN28B first intron and activates LIN28B transcription, which is associated with suppression of let-7. Consistent with let-7-mediated inhibition of HMGA2 transcripts, targeting of MUC1-C also decreases HMGA2 expression. HMGA2 has been linked to stemness, and functions as a competing endogenous RNA (ceRNA) of let-7-mediated regulation of the TGFβ coreceptor TGFBR3. Accordingly, targeting MUC1-C suppresses HMGA2 mRNA and protein, which is associated with decreases in TGFBR3, reversal of the EMT phenotype, and inhibition of self-renewal capacity. These findings support a model in which MUC1-C activates the ⇑LIN28B→⇓let-7→⇑HMGA2 axis in NSCLC and thereby promotes EMT traits and stemness. IMPLICATIONS: A novel pathway is defined in which MUC1-C drives LIN28B→let-7→HMGA2 signaling, EMT, and self-renewal in NSCLC.</t>
  </si>
  <si>
    <t>Targets wild-type signaling axis (MUC1/LIN28B), not neoantigens.</t>
  </si>
  <si>
    <t>Goswami, M. T.; Reka, A. K.; Kurapati, H.; Kaza, V.; Chen, J.; Standiford, T. J.; Keshamouni, V. G.</t>
  </si>
  <si>
    <t>Regulation of complement-dependent cytotoxicity by TGF-β-induced epithelial-mesenchymal transition</t>
  </si>
  <si>
    <t>Oncogene</t>
  </si>
  <si>
    <t>10.1038/onc.2015.258</t>
  </si>
  <si>
    <t>The process of epithelial-mesenchymal transition (EMT), in addition to being an initiating event for tumor metastasis, is implicated in conferring several clinically relevant properties to disseminating cancer cells. These include stem cell-like properties, resistance to targeted therapies and ability to evade immune surveillance. Enrichment analysis of gene expression changes during transforming growth factor-β (TGF-β)-induced EMT in lung cancer cells identified complement cascade as one of the significantly enriched pathway. Further analysis of the genes in the complement pathway revealed an increase in the expression of complement inhibitors and a decrease in the expression of proteins essential for complement activity. In this study, we tested whether EMT confers resistance to complement-dependent cytotoxicity (CDC) in lung cancer cells and promotes tumor progression. CD59 is a potent inhibitor of membrane attack complex that mediates complement-dependent cell lysis. We observed a significant increase in the CD59 expression on the surface of cells after TGF-β-induced EMT. Furthermore, CD59 knockdown restored susceptibility of cells undergoing EMT to cetuximab-mediated CDC. TGF-β-induced CD59 expression during EMT is dependent on Smad3 but not on Smad2. Chromatin immunoprecipitation analysis confirmed that Smad3 directly binds to the CD59 promoter. Stable knockdown of CD59 in A549 cells inhibited experimental metastasis. These results demonstrate that TGF-β-induced EMT and CD59 expression confers an immune-evasive mechanism to disseminating tumor cells facilitating tumor progression. Together, our data demonstrates that CD59 inhibition may serve as an adjuvant to enhance the efficacy of antibody-mediated therapies, as well as to inhibit metastasis in lung cancer.</t>
  </si>
  <si>
    <t>Targets wild-type complement inhibitors (CD59), not neoantigens</t>
  </si>
  <si>
    <t>Zhao, Lei; Wang, Wen-Jia; Zhang, Jin-Nan; Zhang, Xing-Yi</t>
  </si>
  <si>
    <t>5-Fluorouracil and interleukin-2 immunochemotherapy enhances immunogenicity of non-small cell lung cancer A549 cells through upregulation of NKG2D ligands</t>
  </si>
  <si>
    <t>10.7314/apjcp.2014.15.9.4039</t>
  </si>
  <si>
    <t>BACKGROUND: The aim of this study was to investigate the anti-cancer effects and mechanisms of immunochemotherapy of 5-fluorouracil (5-FU) and interleukin-2 (IL-2) on non-small cell lung cancer (NSCLC) A549 cells. MATERIALS AND METHODS: In order to detect whether 5-FU+IL-2 could effectively inhibit tumor growth in vivo, we established an A549-bearing nude mouse model. The cytotoxicity of natural killer (NK) cells was evaluated using a standard chromium release assay. To evaluate the relevance of NK cells in 5-FU+IL-2- mediated tumor inhibitory effects, we depleted NK cells in A549-bearing mice by injecting anti-asialo-GM-1 antibodies. Effects of 5-FU+IL-2 on the expression and promoter activity of NKG2D ligands (MICA/MICB) in A549 cells in vitro were also assessed. RESULTS: In A549-bearing nude mice, combination therapy significantly inhibited tumor growth in comparison with monotherapy with 5-FU or IL-2 and enhanced the recognition and lysis of tumor cells by NK cells. Further study of mechanisms showed that NK cells played a vital role in the anticancer immune response of 5-FU+IL-2 immunochemotherapy. In addition, the combination therapy synergistically stimulated the expression and promoter activity of MICA/MICB. CONCLUSIONS: 5-FU and IL-2 immunochemotherapy significantly inhibited tumor growth and activated NK cytotoxicity in vivo, and these effects were partly impaired after depleting NK cells in tumor-bearing mice. Combination treatment of 5-FU and IL-2 upregulated the expression and the promoter activity of MICA/MICB in A549 cells, which enhanced the recognition of A549 cells by NK cells. All of the data indicated that immunochemotherapy of 5-FU and IL-2 may provide a new treatment option for patients with lung cancer.</t>
  </si>
  <si>
    <t>The objective is the mechanistic study of chemo-immunotherapy (5-FU + IL-2).</t>
  </si>
  <si>
    <t>Jassam, Samah A.; Maherally, Zaynah; Smith, James R.; Ashkan, Keyoumars; Roncaroli, Federico; Fillmore, Helen L.; Pilkington, Geoffrey J.</t>
  </si>
  <si>
    <t>TNF-α enhancement of CD62E mediates adhesion of non-small cell lung cancer cells to brain endothelium via CD15 in lung-brain metastasis</t>
  </si>
  <si>
    <t>Neuro-Oncology</t>
  </si>
  <si>
    <t>10.1093/neuonc/nov248</t>
  </si>
  <si>
    <t>BACKGROUND: CD15, which is overexpressed on various cancers, has been reported as a cell adhesion molecule that plays a key role in non-CNS metastasis. However, the role of CD15 in brain metastasis is largely unexplored. This study provides a better understanding of CD15/CD62E interaction, enhanced by tumor necrosis factor-α (TNF-α), and its correlation with brain metastasis in non-small cell lung cancer (NSCLC). METHODS: CD15 and E-selectin (CD62E) expression was demonstrated in both human primary and metastatic NSCLC cells using flow cytometry, immunofluorescence, and Western blotting. The role of CD15 was investigated using an adhesion assay under static and physiological flow live-cell conditions. Human tissue sections were examined using immunohistochemistry. RESULTS: CD15, which was weakly expressed on hCMEC/D3 human brain endothelial cells, was expressed at high levels on metastatic NSCLC cells (NCI-H1299, SEBTA-001, and SEBTA-005) and at lower levels on primary NSCLC (COR-L105 and A549) cells (P &lt; .001). The highest expression of CD62E was observed on hCMEC/D3 cells activated with TNF-α, with lower levels on metastatic NSCLC cells followed by primary NSCLC cells. Metastatic NSCLC cells adhered most strongly to hCMEC/D3 compared with primary NSCLC cells. CD15 immunoblocking decreased cancer cell adhesion to brain endothelium under static and shear stress conditions (P &lt; .0001), confirming a correlation between CD15 and cerebral metastasis. Both CD15 and CD62E expression were detected in lung metastatic brain biopsies. CONCLUSION: This study enhances the understanding of cancer cell-brain endothelial adhesion and confirms that CD15 plays a crucial role in adhesion in concert with TNF-α activation of its binding partner, CD62E.</t>
  </si>
  <si>
    <t>This study investigates the role of CD15 and E-selectin (CD62E) in brain metastasis of non-small cell lung cancer (NSCLC),</t>
  </si>
  <si>
    <t>Gao, Jingchun; McConnell, Matthew J.; Yu, Bin; Li, Jiannong; Balko, Justin M.; Black, Esther P.; Johnson, Joseph O.; Lloyd, Mark C.; Altiok, Soner; Haura, Eric B.</t>
  </si>
  <si>
    <t>MUC1 is a downstream target of STAT3 and regulates lung cancer cell survival and invasion</t>
  </si>
  <si>
    <t>Signal transducer and activator of transcription 3 (STAT3) is aberrantly activated in human cancer including lung cancer and has been implicated in transformation, tumorigenicity, and metastasis. One putative downstream gene regulated by Stat3 is MUC1 which also has important roles in tumorigenesis. We determined if Stat3 regulates MUC1 in lung cancer cell lines and what function MUC1 plays in lung cancer cell biology. We examined MUC1 expression in non-small cell lung cancer (NSCLC) cell lines and found high levels of MUC1 protein expression associated with higher levels of tyrosine phosphorylated STAT3. STAT3 knockdown downregulated MUC1 expression whereas constitutive STAT3 expression increased MUC1 expression at mRNA and protein levels. MUC1 knockdown induced cellular apoptosis concomitant with reduced Bcl-XL and sensitized cells to cisplatin treatment. MUC1 knockdown inhibited tumor growth and metastasis in an orthotopic mouse model of lung cancer by activating apoptosis and inhibiting cell proliferation in vivo. These results demonstrate that constitutively activated STAT3 regulates expression of MUC1, which mediates lung cancer cell survival and metastasis in vitro and in vivo. MUC1 appears to be a cooperating oncoprotein with multiple oncogenic tyrosine kinase pathways and could be an effective target for the treatment of lung cancer.</t>
  </si>
  <si>
    <t>Targets wild-type TAA (MUC1) and signaling (STAT3), not neoantigens.</t>
  </si>
  <si>
    <t>Veatch, Joshua R.; Jesernig, Brenda L.; Kargl, Julia; Fitzgibbon, Matthew; Lee, Sylvia M.; Baik, Christina; Martins, Renato; Houghton, A. McGarry; Riddell, Stanley R.</t>
  </si>
  <si>
    <t>Endogenous CD4+ T Cells Recognize Neoantigens in Lung Cancer Patients, Including Recurrent Oncogenic KRAS and ERBB2 (Her2) Driver Mutations</t>
  </si>
  <si>
    <t>Cancer Immunology Research</t>
  </si>
  <si>
    <t>10.1158/2326-6066.CIR-18-0402</t>
  </si>
  <si>
    <t>T cells specific for neoantigens encoded by mutated genes in cancers are increasingly recognized as mediators of tumor destruction after immune-checkpoint inhibitor therapy or adoptive cell transfer. Much of the focus has been on identifying epitopes presented to CD8+ T cells by class I MHC. However, CD4+ class II MHC-restricted T cells have been shown to have an important role in antitumor immunity. Unfortunately, the vast majority of neoantigens recognized by CD8+ or CD4+ T cells in cancer patients result from random mutations and are patient-specific. Here, we screened the blood of 5 non-small cell lung cancer (NSCLC) patients for T-cell responses to candidate mutation-encoded neoepitopes. T-cell responses were detected to 8.8% of screened antigens, with 1 to 7 antigens identified per patient. A majority of responses were to random, patient-specific mutations. However, CD4+ T cells that recognized the recurrent KRAS G12V and the ERBB2 (Her2) internal tandem duplication (ITD) oncogenic driver mutations, but not the corresponding wild-type sequences, were identified in two patients. Two different T-cell receptors (TCR) specific for KRAS G12V and one T-cell receptor specific for Her2-ITD were isolated and conferred antigen specificity when transfected into T cells. Deep sequencing identified the Her2-ITD-specific TCR in the tumor but not nonadjacent lung. Our results showed that CD4+ T-cell responses to neoantigens, including recurrent driver mutations, can be derived from the blood of NSCLC patients. These data support the use of adoptive transfer or vaccination to augment CD4+ neoantigen-specific T cells and elucidate their role in human antitumor immunity.</t>
  </si>
  <si>
    <t>Hu, Yunhui; Li, Shuangjing; Yang, Ming; Yan, Cihui; Fan, Dongmei; Zhou, Yuan; Zhang, Yanjun; Yagüe, Ernesto; Xiong, Dongsheng</t>
  </si>
  <si>
    <t>Sorcin silencing inhibits epithelial-to-mesenchymal transition and suppresses breast cancer metastasis in vivo</t>
  </si>
  <si>
    <t>Breast Cancer Research and Treatment</t>
  </si>
  <si>
    <t>10.1007/s10549-013-2809-2</t>
  </si>
  <si>
    <t>Sorcin, a 22-kDa calcium-binding protein, renders cancer cells resistant to chemotherapeutic agents, thus playing an important role in multidrug resistance. As there is a clear association between drug resistance and an aggressive phenotype, we asked whether sorcin affects also the motility, invasion, and stem cell characteristics of cancer cells. We have used both RNA interference (transient and stable expression of hairpins) and a lentiviral expression vector to experimentally modulate sorcin expression in a variety of cells. We demonstrate that sorcin depletion in MDA-MB-231 breast cancer cells reduces the pool of CD44(+)/CD24(-) and ALDH1(high) cancer stem cells (CSCs) as well as mammosphere-forming capacity. We also observe that sorcin regulates epithelial-mesenchymal transition and CSCs partly through E-cadherin and vascular endothelial growth factor expression. This leads to the acquisition of an epithelial-like phenotype, attenuating epithelial-mesenchymal transition and suppression of metastases in nude mice. The sorcin-depleted phenotype can also be reproduced in lung adenocarcinoma A549 cells and lung fibrosarcoma HT1080 cells. In addition, overexpression of sorcin in MCF7 cells, which have low endogenous sorcin expression levels, increases their migration and invasion in vitro. This offers the rationale for the development of therapeutic strategies down-regulating sorcin expression for the treatment of cancer.</t>
  </si>
  <si>
    <t xml:space="preserve"> The study investigates Sorcin (a 22-kDa calcium-binding protein), CD44, ALDH1, and E-cadherin.  Sorcin is a wild-type (normal) protein associated with calcium signaling and multidrug resistance.
</t>
  </si>
  <si>
    <t>Cheng, Haiying; Borczuk, Alain; Janakiram, Murali; Ren, Xiaoxin; Lin, Juan; Assal, Amer; Halmos, Balazs; Perez-Soler, Roman; Zang, Xingxing</t>
  </si>
  <si>
    <t>Wide Expression and Significance of Alternative Immune Checkpoint Molecules, B7x and HHLA2, in PD-L1-Negative Human Lung Cancers</t>
  </si>
  <si>
    <t>10.1158/1078-0432.CCR-17-2924</t>
  </si>
  <si>
    <t>Purpose: Immunotherapy targeting the PD-1/PD-L1 pathway has changed the treatment landscape of non-small cell lung carcinoma (NSCLC). We demonstrated that HHLA2, a newly identified immune inhibitory molecule, was widely expressed in NSCLC. We now compared the expression and function of PD-L1 with alternative immune checkpoints, B7x and HHLA2.Experimental Design: Expression was examined in tissue microarrays consisting of 392 resected NSCLC tumors. Effects of PD-L1, B7x, and HHLA2 on human T-cell proliferation and cytokine production were investigated.Results: PD-L1 expression was identified in 25% and 31% of tumors in the discovery and validation cohorts and was associated with higher stage and lymph node involvement. The multivariate analysis showed that stage, TIL status, and lymph node involvement were independently associated with PD-L1 expression. B7x was expressed in 69% and 68%, whereas HHLA2 was positive in 61% and 64% of tumors in the two sets. The coexpression of PD-L1 with B7x or HHLA2 was infrequent, 6% and 3%. The majority (78%) of PD-L1-negative cases expressed B7x, HHLA2, or both. The triple-positive group had more TIL infiltration than the triple-negative group. B7x-Ig and HHLA2-Ig inhibited TCR-mediated proliferation of CD4 and CD8 T cells more robustly than PD-L1-Ig. All three significantly suppressed cytokine productions by T cells.Conclusions: The majority of PD-L1-negative lung cancers express alternative immune checkpoints. The roles of the B7x and HHLA2 pathway in mediating immune evasion in PD-L1-negative tumors deserve to be explored to provide the rationale for an effective immunotherapy strategy in these tumors. Clin Cancer Res; 24(8); 1954-64. ©2018 AACR.</t>
  </si>
  <si>
    <t>The objective is the characterization of immune evasion pathways alternative to the PD-1/PD-L1 axis</t>
  </si>
  <si>
    <t>Yang, Dong-Xia; Li, Nai-E.; Ma, Yun; Han, Yan-Chun; Shi, Yan</t>
  </si>
  <si>
    <t>Expression of Elf-1 and survivin in non-small cell lung cancer and their relationship to intratumoral microvessel density</t>
  </si>
  <si>
    <t>Chinese Journal of Cancer</t>
  </si>
  <si>
    <t>10.5732/cjc.009.10547</t>
  </si>
  <si>
    <t>BACKGROUND AND OBJECTIVE: The expression of transcription factor Elf-1 and inhibitor of apoptosis survivin in non-small cell lung cancer (NSCLC) is correlated with the angiogenic factor vascular endothelial growth factor (VEGF), and are both factors affecting the cell cycle. This study investigated the expression of Elf-1, survivin, and intratumoral microvessel density (iMVD) assessed by monoclonal antibody CD105 in NSCLC, and explored their correlations with clinicopathologic features and angiogenesis of NSCLC. METHODS: PowerVision(TM)-9000 immunohistochemistry was used to evaluate the expression of Elf-1, survivin, and CD105 in tissue microarrays containing 60 specimens of NSCLC and 9 specimens of normal tissue. Western blot analysis was used to evaluate the protein levels of Elf-1 and survivin in 17 specimens of NSCLC and 5 specimens of normal tissue. RESULTS: Elf-1 and survivin were detected in 1 of the 9 normal tissues. The positive rates of Elf-1 and survivin in NSCLC were 70.0% and 65.0%, respectively. The expression levels of both Elf-1 and survivin were significantly related to tumor differentiation, lymphatic metastasis, clinical stage, and postoperative survival time (P &lt; 0.05). Overexpression of both were related to poor prognosis: the survival rates were significantly lower in patients with positive expression than in those with negative expression (P &lt; 0.01). Elf-1 expression was positively correlated with survivin expression (r = 0.769, P &lt; 0.01). Elf-1 and survivin expressions were positively correlated with iMVD (r = 0.446, P &lt; 0.01; r = 0.435, P &lt; 0.01). CONCLUSIONS: The expression of Elf-1 and survivin in NSCLC is related to differentiation, lymphatic metastasis, clinical stage, and prognosis, and both are positively correlated with iMVD. Detection their combined expression can help to predict the malignant behavior of NSCLC. Blocking the activity of Elf-1 and survivin may be a new way to inhibit angiogenesis in NSCLC.</t>
  </si>
  <si>
    <t>The study investigates Elf-1 (a transcription factor), Survivin (an inhibitor of apoptosis), and CD105 (a marker for microvessel density)</t>
  </si>
  <si>
    <t>Leung, Carol Sze Ki; Van den Eynde, Benoit J.</t>
  </si>
  <si>
    <t>Combining personalized neoantigen vaccination with chemotherapy and anti-PD-1 to treat NSCLC</t>
  </si>
  <si>
    <t>10.1016/j.ccell.2022.08.002</t>
  </si>
  <si>
    <t>In this issue of Cancer Cell, Awad et al. report a phase 1b clinical trial combining a personalized vaccine NEO-PV-01 with chemotherapy and anti-PD-1 pembrolizumab in first-line metastatic non-squamous NSCLC. They demonstrate that this treatment regimen was well tolerated and induced neoantigen-specific CD4+ T cell responses with effector phenotype.</t>
  </si>
  <si>
    <t>Xi, Liqiang; Feber, Andrew; Gupta, Vanita; Wu, Maoxin; Bergemann, Andrew D.; Landreneau, Rodney J.; Litle, Virginia R.; Pennathur, Arjun; Luketich, James D.; Godfrey, Tony E.</t>
  </si>
  <si>
    <t>Whole genome exon arrays identify differential expression of alternatively spliced, cancer-related genes in lung cancer</t>
  </si>
  <si>
    <t>Nucleic Acids Research</t>
  </si>
  <si>
    <t>10.1093/nar/gkn697</t>
  </si>
  <si>
    <t>Alternative processing of pre-mRNA transcripts is a major source of protein diversity in eukaryotes and has been implicated in several disease processes including cancer. In this study we have performed a genome wide analysis of alternative splicing events in lung adenocarcinoma. We found that 2369 of the 17 800 core Refseq genes appear to have alternative transcripts that are differentially expressed in lung adenocarcinoma versus normal. According to their known functions the largest subset of these genes (30.8%) is believed to be cancer related. Detailed analysis was performed for several genes using PCR, quantitative RT-PCR and DNA sequencing. We found overexpression of ERG variant 2 but not variant 1 in lung tumors and overexpression of CEACAM1 variant 1 but not variant 2 in lung tumors but not in breast or colon tumors. We also identified a novel, overexpressed variant of CDH3 and verified the existence and overexpression of a novel variant of P16 transcribed from the CDKN2A locus. These findings demonstrate how analysis of alternative pre-mRNA processing can shed additional light on differences between tumors and normal tissues as well as between different tumor types. Such studies may lead to the development of additional tools for tumor diagnosis, prognosis and therapy.</t>
  </si>
  <si>
    <t>the study focuses on wild-type, non-mutated protein isoforms rather than somatic mutation-derived neoantigens</t>
  </si>
  <si>
    <t>John, Alison E.; Graves, Rebecca H.; Pun, K. Tao; Vitulli, Giovanni; Forty, Ellen J.; Mercer, Paul F.; Morrell, Josie L.; Barrett, John W.; Rogers, Rebecca F.; Hafeji, Maryam; Bibby, Lloyd I.; Gower, Elaine; Morrison, Valerie S.; Man, Yim; Roper, James A.; Luckett, Jeni C.; Borthwick, Lee A.; Barksby, Ben S.; Burgoyne, Rachel A.; Barnes, Rory; Le, Joelle; Flint, David J.; Pyne, Susan; Habgood, Anthony; Organ, Louise A.; Joseph, Chitra; Edwards-Pritchard, Rochelle C.; Maher, Toby M.; Fisher, Andrew J.; Gudmann, Natasja Stæhr; Leeming, Diana J.; Chambers, Rachel C.; Lukey, Pauline T.; Marshall, Richard P.; Macdonald, Simon J. F.; Jenkins, R. Gisli; Slack, Robert J.</t>
  </si>
  <si>
    <t>Translational pharmacology of an inhaled small molecule αvβ6 integrin inhibitor for idiopathic pulmonary fibrosis</t>
  </si>
  <si>
    <t>10.1038/s41467-020-18397-6</t>
  </si>
  <si>
    <t>The αvβ6 integrin plays a key role in the activation of transforming growth factor-β (TGFβ), a pro-fibrotic mediator that is pivotal to the development of idiopathic pulmonary fibrosis (IPF). We identified a selective small molecule αvβ6 RGD-mimetic, GSK3008348, and profiled it in a range of disease relevant pre-clinical systems. To understand the relationship between target engagement and inhibition of fibrosis, we measured pharmacodynamic and disease-related end points. Here, we report, GSK3008348 binds to αvβ6 with high affinity in human IPF lung and reduces downstream pro-fibrotic TGFβ signaling to normal levels. In human lung epithelial cells, GSK3008348 induces rapid internalization and lysosomal degradation of the αvβ6 integrin. In the murine bleomycin-induced lung fibrosis model, GSK3008348 engages αvβ6, induces prolonged inhibition of TGFβ signaling and reduces lung collagen deposition and serum C3M, a marker of IPF disease progression. These studies highlight the potential of inhaled GSK3008348 as an anti-fibrotic therapy.</t>
  </si>
  <si>
    <t>The study focuses on Idiopathic Pulmonary Fibrosis (IPF) and the murine bleomycin-induced lung fibrosis model. It does not investigate Non-Small Cell Lung Cancer (NSCLC).</t>
  </si>
  <si>
    <t>Chen, Simei; Han, Kexin; Chen, Yinyi; Wei, Liping; Sun, Xinlu; Luo, Yi; Wen, Lili; Tan, Liming</t>
  </si>
  <si>
    <t>P21 activated kinase 6: a promising tool for predicting small cell lung cancer diagnosis and treatment response</t>
  </si>
  <si>
    <t>PeerJ</t>
  </si>
  <si>
    <t>10.7717/peerj.19714</t>
  </si>
  <si>
    <t>OBJECTIVE: Building upon the established role of P21 Activated Kinase 6 (PAK6) in tumor progression and chemoresistance pathways, we postulate its potential as a dual-function biomarker for small cell lung cancer (SCLC). This investigation aims to conduct a comprehensive evaluation of PAK6's diagnostic validity and prognostic significance through comparative analysis of PAK6 serological levels across distinct clinical cohorts to determine diagnostic thresholds, and its clinical correlation with therapeutic responsiveness. PATIENTS AND METHODS: This study included 109 patients diagnosed with SCLC, 92 patients with non-small cell lung cancer (NSCLC), 85 patients with pulmonary nodules (PN), and 94 healthy individuals undergoing routine physical examinations as the normal control group (NC). Serum PAK6 concentrations were measured using enzyme-linked immunosorbent assay (ELISA). Additionally, levels of neuron-specific enolase (NSE), carcinoembryonic antigen (CEA), carbohydrate antigen 19-9 (CA19-9), and pro-gastrin-releasing peptide (ProGRP) were quantified via chemiluminescence assays. Progression-free survival (PFS) data for SCLC patients were collected through case review and telephone follow-up. RESULTS: Serum PAK6 levels were significantly higher in the SCLC group compared to the other three groups (p &lt; 0.01). Similarly, NSE and ProGRP levels were markedly elevated in the SCLC group compared to the other groups (p &lt; 0.01). Correlation analysis revealed a positive association between PAK6 and variables such as gender, VA (Veteran's Administration Lung Cancer Study Group) stage, age, smoking status, CEA, CA19-9, NSE, and ProGRP. The serum tumor markers (STMs) PAK6, NSE, and ProGRP exhibited superior diagnostic performance, with AUCs of 0.892, 0.834, and 0.935, respectively (95% confidence interval (CI) [0.857-0.927], [0.778-0.890], and [0.909-0.960]), compared to CEA and CA19-9 (AUCs = 0.676 and 0.611, respectively; 95% CI [0.622-0.731] and [0.547-0.675]) (p &lt; 0.01). Furthermore, PAK6, NSE, and ProGRP levels significantly decreased after three months of treatment, while CEA and CA19-9 showed no significant changes. Survival analysis demonstrated that higher PAK6 levels were associated with poorer SCLC prognosis. Increased serum PAK6 expression correlated with shorter PFS (HR = 2.02 [1.33-3.07], P = 0.001). CONCLUSION: Serum PAK6 holds significant clinical value for the diagnosis, treatment monitoring, and prognosis evaluation of SCLC and may serve as a potential therapeutic target for the disease.</t>
  </si>
  <si>
    <t>The study investigates PAK6 (P21 Activated Kinase 6) along with standard markers like NSE, ProGRP, CEA, and CA19-9</t>
  </si>
  <si>
    <t>Li, Bob T.; Lou, Emil; Hsu, Meier; Yu, Helena A.; Naidoo, Jarushka; Zauderer, Marjorie G.; Sima, Camelia; Johnson, Melissa L.; Daras, Mariza; DeAngelis, Lisa M.; Fleisher, Martin; Kris, Mark G.; Azzoli, Christopher G.</t>
  </si>
  <si>
    <t>Serum Biomarkers Associated with Clinical Outcomes Fail to Predict Brain Metastases in Patients with Stage IV Non-Small Cell Lung Cancers</t>
  </si>
  <si>
    <t>10.1371/journal.pone.0146063</t>
  </si>
  <si>
    <t>BACKGROUND: Lung cancers account for the majority of brain metastases which pose major therapeutic challenges. Biomarkers prognosticating for the development of brain metastases in patients with non-small cell lung cancers (NSCLC) may improve personalized care. Six serum proteomic biomarkers were previously investigated at Memorial Sloan Kettering but their associations with brain metastases were unknown. METHODS: Serum NSE, CYFRA 21-1, ProGRP, SCC-Ag, TIMP1, and HE4 by ELISA-based proteomic assays were prospectively collected from consecutive patients with stage IV NSCLC. Pre-treatment serum biomarker levels as well as age, histology, and epidermal growth factor receptor (EGFR) mutation status were evaluated for association with the baseline presence of brain metastases using logistic regression and multivariable analysis. For patients without brain metastases at baseline, the cumulative incidence of subsequent brain metastases were compared according to baseline biomarkers and clinical factors using Gray's test. RESULTS: A total of 118 patients were enrolled, 31 (26%; 95% CI 0.19-0.35) had brain metastases at baseline and a further 26 (22%; 95% CI 0.15-0.30) developed brain metastases subsequently. Pre-treatment serum biomarker levels were available in 104 patients. There was no significant association between the six serum biomarkers and the baseline presence or subsequent development of brain metastases. Age younger than 65 years was the only clinical factor significantly associated with brain metastasis at baseline (OR 3.00; 95% CI 1.22-7.34, P = 0.02) by multivariable analysis. A trend toward increased cumulative incidence of subsequent brain metastases was observed in patients with EGFR mutation (p = 0.2), but this was not statistically significant possibly due to small sample size. CONCLUSIONS: Serum NSE, CYFRA 21-1, Pro-GRP, SCC-Ag, TIMP1, and HE4 are not significantly associated with brain metastases. Our methods taking into account follow-up time may be applied to independent datasets to identify a patient cohort with a higher biologic propensity for developing brain metastases. Such information may be useful for the study of agents targeting the development of brain metastases.</t>
  </si>
  <si>
    <t>Talks about the prevalance and incidence of Hypoglycaemia in population based studies of type two diabetes</t>
  </si>
  <si>
    <t>Dimou, Anastasios; Grewe, Paul; Sidney, John; Sette, Alessandro; Norman, Paul J.; Doebele, Robert C.</t>
  </si>
  <si>
    <t>HLA Class I Binding of Mutant EGFR Peptides in NSCLC Is Associated With Improved Survival</t>
  </si>
  <si>
    <t>10.1016/j.jtho.2020.08.023</t>
  </si>
  <si>
    <t>INTRODUCTION: Cancer-associated mutations have the potential to generate neoantigens and elicit CD8-positive T-cell-dependent adaptive immune responses. There are currently no reports of CD8-positive T-cells with specificity for neoepitopes generated by EGFR mutations, which are driver oncogenes in a subset of patients with lung cancer. METHODS: We used NETMHCpan 4.0 to identify putative protective human leukocyte antigen (HLA) class I allotypes that are predicted in silico to bind and present mutant EGFR-generated peptides on the basis of predefined criteria. We associated the presence or absence of these alleles with clinical outcomes in patients from The Cancer Genome Atlas with lung adenocarcinoma. RESULTS: We identified 12 HLA class I alleles that fulfilled the predefined criteria for being protective for EGFR p.L858R and six for EGFR p.E746_A750del, the two most common EGFR mutations in lung cancer. We validated the in silico predictions for peptide-HLA allele binding in vitro. A third (12 of 36) of patients with mostly early stage lung adenocarcinoma in The Cancer Genome Atlas with either EGFR p.L858R or EGFR p.E746_A750del had at least one protective allele in their host genomes. More importantly, patients with protective alleles exhibited better disease-free (hazard ratio: 0.20, 95% confidence interval: 0.05-0.78) and overall survival (hazard ratio: 0.13, 95% confidence interval: 0.02-0.64), and this effect was independent of the EGFR mutation type, stage, age, and sex. CONCLUSIONS: Our data revealed that clinical outcomes were improved in patients with EGFR mutation-positive lung adenocarcinoma who harbored protective HLA class I alleles. Thus, immunity with specificity for mutant EGFR is possible in a subset of patients with early stage lung cancer and portends a better prognosis.</t>
  </si>
  <si>
    <t>The study identifies 12 HLA alleles and correlate them to the clinical outcomes in patients from TCGA with lung adenocarcinoma</t>
  </si>
  <si>
    <t>Jun, Hyun Jung; Johnson, Hannah; Bronson, Roderick T.; de Feraudy, Sebastien; White, Forest; Charest, Alain</t>
  </si>
  <si>
    <t>The oncogenic lung cancer fusion kinase CD74-ROS activates a novel invasiveness pathway through E-Syt1 phosphorylation</t>
  </si>
  <si>
    <t>10.1158/0008-5472.CAN-11-3990</t>
  </si>
  <si>
    <t>Patients with lung cancer often present with metastatic disease and therefore have a very poor prognosis. The recent discovery of several novel ROS receptor tyrosine kinase molecular alterations in non-small cell lung cancer (NSCLC) presents a therapeutic opportunity for the development of new targeted treatment strategies. Here, we report that the NSCLC-derived fusion CD74-ROS, which accounts for 30% of all ROS fusion kinases in NSCLC, is an active and oncogenic tyrosine kinase. We found that CD74-ROS-expressing cells were highly invasive in vitro and metastatic in vivo. Pharmacologic inhibition of CD74-ROS kinase activity reversed its transforming capacity by attenuating downstream signaling networks. Using quantitative phosphoproteomics, we uncovered a mechanism by which CD74-ROS activates a novel pathway driving cell invasion. Expression of CD74-ROS resulted in the phosphorylation of the extended synaptotagmin-like protein E-Syt1. Elimination of E-Syt1 expression drastically reduced invasiveness both in vitro and in vivo without modifying the oncogenic activity of CD74-ROS. Furthermore, expression of CD74-ROS in noninvasive NSCLC cell lines readily conferred invasive properties that paralleled the acquisition of E-Syt1 phosphorylation. Taken together, our findings indicate that E-Syt1 is a mediator of cancer cell invasion and molecularly define ROS fusion kinases as therapeutic targets in the treatment of NSCLC.</t>
  </si>
  <si>
    <t>CD74-ROS is one of the novel ROS fusion kinases in NSCLC which is reported as an active and oncogenic tyrosince kinase whose expression leads to high invasiveness in vivo and metastatic in Vivo</t>
  </si>
  <si>
    <t>Rotonda, Christine; Anota, Amélie; Mercier, Mariette; Bastien, Bérangère; Lacoste, Gisèle; Limacher, Jean-Marc; Quoix, Elisabeth; Bonnetain, Franck</t>
  </si>
  <si>
    <t>Impact of TG4010 Vaccine on Health-Related Quality of Life in Advanced Non-Small-Cell Lung Cancer: Results of a Phase IIB Clinical Trial</t>
  </si>
  <si>
    <t>10.1371/journal.pone.0132568</t>
  </si>
  <si>
    <t>BACKGROUND: This study describes the effect of TG4010 vaccine on Health related Quality of Life (HRQOL) in patients with stage IIIb and IV non-small-cell lung cancer (NSCLC). METHODS: 148 patients with advanced NSCLC expressing MUC1 were randomly assigned to receive TG4010 plus chemotherapy or chemotherapy alone. HRQOL was assessed with the Functional Assessment of Cancer Therapy-Lung (FACT-L) at baseline and every 6 weeks until disease progression. Time until definitive deterioration (TUDD) of the four well-being dimensions of the FACT-L physical (PWB), functional (FWB), emotional (EWB) and social well-being (SWB) and the Lung Cancer Subscale (LCS) domains were analyzed for a 5-point minimal clinically important difference. RESULTS: No difference of TUDD of HRQOL has been found between treatment arms. No prognostic factors have been found to have a significant impact on the TUDD of PWB, SWB and LCS domains. The gender, the performance status and the smoking habits seemed to be associated with a shorter TUDD of EWB domain. The smokers and the former smokers seemed to present a shorter TUDD of FWB domain. CONCLUSION: This study suggests that adding therapeutic vaccination with TG4010 to standard chemotherapy in patients with advanced NSCLC is associated with a similar evolution in HRQOL compared to chemotherapy alone.</t>
  </si>
  <si>
    <t>This study describes the effect of TG4010 vaccine on Health related Quality of Life (HRQOL) in patients with stage IIIb and IV non–small-cell lung cancer</t>
  </si>
  <si>
    <t>Bai, Xiao-Yan; Zhang, Xu-Chao; Yang, Su-Qing; An, She-Juan; Chen, Zhi-Hong; Su, Jian; Xie, Zhi; Gou, Lan-Ying; Wu, Yi-Long</t>
  </si>
  <si>
    <t>Blockade of Hedgehog Signaling Synergistically Increases Sensitivity to Epidermal Growth Factor Receptor Tyrosine Kinase Inhibitors in Non-Small-Cell Lung Cancer Cell Lines</t>
  </si>
  <si>
    <t>10.1371/journal.pone.0149370</t>
  </si>
  <si>
    <t>Aberrant activation of the hedgehog (Hh) signaling pathway has been implicated in the epithelial-to-mesenchymal transition (EMT) and cancer stem-like cell (CSC) maintenance; both processes can result in tumor progression and treatment resistance in several types of human cancer. Hh cooperates with the epidermal growth factor receptor (EGFR) signaling pathway in embryogenesis. We found that the Hh signaling pathway was silenced in EGFR-TKI-sensitive non-small-cell lung cancer (NSCLC) cells, while it was inappropriately activated in EGFR-TKI-resistant NSCLC cells, accompanied by EMT induction and ABCG2 overexpression. Upregulation of Hh signaling through extrinsic SHH exposure downregulated E-cadherin expression and elevated Snail and ABCG2 expression, resulting in gefitinib tolerance (P &lt; 0.001) in EGFR-TKI-sensitive cells. Blockade of the Hh signaling pathway using the SMO antagonist SANT-1 restored E-cadherin expression and downregulate Snail and ABCG2 in EGFR-TKI-resistant cells. A combination of SANT-1 and gefitinib markedly inhibited tumorigenesis and proliferation in EGFR-TKI-resistant cells (P &lt; 0.001). These findings indicate that hyperactivity of Hh signaling resulted in EGFR-TKI resistance, by EMT introduction and ABCG2 upregulation, and blockade of Hh signaling synergistically increased sensitivity to EGFR-TKIs in primary and secondary resistant NSCLC cells. E-cadherin expression may be a potential biomarker of the suitability of the combined application of an Hh inhibitor and EGFR-TKIs in EGFR-TKI-resistant NSCLCs.</t>
  </si>
  <si>
    <t>The study focuses on the Hedgehog (Hh) signaling pathway (SHH, SMO), EMT markers (E-cadherin, Snail), and the ABCG2 transporter. These are wild-type (self) signaling proteins and transporters not neoantigens</t>
  </si>
  <si>
    <t>Marijt, Koen A.; Griffioen, Lisa; Blijleven, Laura; van der Burg, Sjoerd H.; van Hall, Thorbald</t>
  </si>
  <si>
    <t>Cross-presentation of a TAP-independent signal peptide induces CD8 T immunity to escaped cancers but necessitates anchor replacement</t>
  </si>
  <si>
    <t>10.1007/s00262-021-02984-7</t>
  </si>
  <si>
    <t>Cancer cells frequently display defects in their antigen-processing pathway and thereby evade CD8 T cell immunity. We described a novel category of cancer antigens, named TEIPP, that emerge on cancers with functional loss of the peptide pump TAP. TEIPPs are non-mutated neoantigens despite their 'self' origin by virtue of their absence on normal tissues. Here, we describe the development of a synthetic long peptide (SLP) vaccine for the most immunogenic TEIPP antigen identified thus far, derived from the TAP-independent LRPAP1 signal sequence. LRPAP121-30-specific CD8 T cells were present in blood of all tested healthy donors as well as patients with non-small cell lung adenocarcinoma. SLPs with natural flanking, however, failed to be cross-presented by monocyte-derived dendritic cells. Since the C-terminus of LRPAP121-30 is an unconventional and weakly binding serine (S), we investigated if replacement of this anchor would result in efficient cross-presentation. Exchange into a valine (V) resulted in higher HLA-A2 binding affinity and enhanced T cell stimulation. Importantly, CD8 T cells isolated using the V-variant were able to bind tetramers with the natural S-variant and respond to TAP-deficient cancer cells. A functional screen with an array of N-terminal and C-terminal extended SLPs pointed at the 24-mer V-SLP, elongated at the N-terminus, as most optimal vaccine candidate. This SLP was efficiently cross-presented and consistently induced a strong polyclonal LRPAP121-30-specific CD8 T cells from the endogenous T cell repertoire. Thus, we designed a TEIPP SLP vaccine from the LRPAP1 signal sequence ready for validation in clinical trials.</t>
  </si>
  <si>
    <t>We describe the development of a synthetic long peptide (SLP) vaccine for the most immunogenic TEIPP antigen identified thus far, derived from the TAP-independent LRPAP1 signal sequence</t>
  </si>
  <si>
    <t>Bertolini, Giulia; Roz, Luca; Perego, Paola; Tortoreto, Monica; Fontanella, Enrico; Gatti, Laura; Pratesi, Graziella; Fabbri, Alessandra; Andriani, Francesca; Tinelli, Stella; Roz, Elena; Caserini, Roberto; Lo Vullo, Salvatore; Camerini, Tiziana; Mariani, Luigi; Delia, Domenico; Calabrò, Elisa; Pastorino, Ugo; Sozzi, Gabriella</t>
  </si>
  <si>
    <t>Highly tumorigenic lung cancer CD133+ cells display stem-like features and are spared by cisplatin treatment</t>
  </si>
  <si>
    <t>10.1073/pnas.0905653106</t>
  </si>
  <si>
    <t>The identification of lung tumor-initiating cells and associated markers may be useful for optimization of therapeutic approaches and for predictive and prognostic information in lung cancer patients. CD133, a surface glycoprotein linked to organ-specific stem cells, was described as a marker of cancer-initiating cells in different tumor types. Here, we report that a CD133+, epithelial-specific antigen-positive (CD133+ESA+) population is increased in primary nonsmall cell lung cancer (NSCLC) compared with normal lung tissue and has higher tumorigenic potential in SCID mice and expression of genes involved in stemness, adhesion, motility, and drug efflux than the CD133(-) counterpart. Cisplatin treatment of lung cancer cells in vitro resulted in enrichment of CD133+ fraction both after acute cytotoxic exposure and in cells with stable cisplatin-resistant phenotype. Subpopulations of CD133+ABCG2+ and CD133+CXCR4+ cells were spared by in vivo cisplatin treatment of lung tumor xenografts established from primary tumors. A tendency toward shorter progression-free survival was observed in CD133+ NSCLC patients treated with platinum-containing regimens. Our results indicate that chemoresistant populations with highly tumorigenic and stem-like features are present in lung tumors. The molecular features of these cells may provide the rationale for more specific therapeutic targeting and the definition of predictive factors in clinical management of this lethal disease.</t>
  </si>
  <si>
    <t>We report that a CD133+, epithelial-specific antigen-positive (CD133+ESA+) population is increased in primary nonsmall cell lung cancer (NSCLC) compared with normal lung tissue and has higher tumorigenic potential in SCID mice and expression of genes involved in stemness, adhesion, motility, and drug efflux than the CD133(-) counterpart.</t>
  </si>
  <si>
    <t>Cooke, Mariana; Kreider-Letterman, Gabriel; Baker, Martin J.; Zhang, Suli; Sullivan, Neil T.; Eruslanov, Evgeniy; Abba, Martin C.; Goicoechea, Silvia M.; García-Mata, Rafael; Kazanietz, Marcelo G.</t>
  </si>
  <si>
    <t>FARP1, ARHGEF39, and TIAM2 are essential receptor tyrosine kinase effectors for Rac1-dependent cell motility in human lung adenocarcinoma</t>
  </si>
  <si>
    <t>10.1016/j.celrep.2021.109905</t>
  </si>
  <si>
    <t>Despite the undisputable role of the small GTPase Rac1 in the regulation of actin cytoskeleton reorganization, the Rac guanine-nucleotide exchange factors (Rac-GEFs) involved in Rac1-mediated motility and invasion in human lung adenocarcinoma cells remain largely unknown. Here, we identify FARP1, ARHGEF39, and TIAM2 as essential Rac-GEFs responsible for Rac1-mediated lung cancer cell migration upon EGFR and c-Met activation. Noteworthily, these Rac-GEFs operate in a non-redundant manner by controlling distinctive aspects of ruffle dynamics formation. Mechanistic analysis reveals a leading role of the AXL-Gab1-PI3K axis in conferring pro-motility traits downstream of EGFR. Along with the positive association between the overexpression of Rac-GEFs and poor lung adenocarcinoma patient survival, we show that FARP1 and ARHGEF39 are upregulated in EpCam+ cells sorted from primary human lung adenocarcinomas. Overall, our study reveals fundamental insights into the complex intricacies underlying Rac-GEF-mediated cancer cell motility signaling, hence underscoring promising targets for metastatic lung cancer therapy.</t>
  </si>
  <si>
    <t>Just identify FARP1, ARHGEF39, and TIAM2 as essential Rac-GEFs responsible for Rac1-mediated lung cancer cell migration upon EGFR and c-Met activation.</t>
  </si>
  <si>
    <t>Zhang, Guo-Qing; Han, Feng; Fang, Xin-Zhi; Ma, Xiao-Mei</t>
  </si>
  <si>
    <t>CD4+, IL17 and Foxp3 expression in different pTNM stages of operable non-small cell lung cancer and effects on disease prognosis</t>
  </si>
  <si>
    <t>10.7314/apjcp.2012.13.8.3955</t>
  </si>
  <si>
    <t>OBJECTIVE: To investigate the effects of CD4+ , IL17 and Foxp3 expression on prognosis of operable non-small cell lung cancer (NSCLC) with different pTNM stages. METHODS: Expression of CD4+ , IL17 and Foxp3 in 102 cases of NSCLC tissues and adjacent cancer tissues was detected by immunohistochemistry and associations with prognosis with different pTNM stages were analyzed. The Chi-square test was used to compare count data. Survival differences were evaluated by Kaplan-Meier single factor analysis and the COX regression model was used to analyze the relationship between influential factors and the disease prognosis. The significance level was α= 0.05. RESULTS: Expression of CD4, IL-17 and Foxp3 significantly varied in different pTNM stages of NSCLC tissues (P &lt; 0.05). The same was true for CD4 expression (P &lt; 0.05). The median survival time (MST) in the positive CD4 expression group was evidently higher than that in the negative group (25.8/23.9 months). Compared with stage III, the MST difference of stages I and II in the positive CD4 expression group were statistically significant (P &lt; 0.05). The MST in positive IL-17 and Foxp3 expression groups was obviously lower than that in the corresponding negative group (P &lt; 0.05) (25.6/35.1 months and 24/35.3 months, respectively). There was a significant difference of MST between any two of three stages of positive IL-17 expression group (P &lt; 0.05), and it was the same with positive Foxp3 expression group. TNM stage, negative CD4 expression, and positive IL-17 and Foxp3 expression were the main risk factors for the prognosis of NSCLC. CONCLUSIONS: Surgical prognosis of NSCLC can be better assessed by the combination of clinical staging and expression of IL17 and Foxp3.</t>
  </si>
  <si>
    <t>To investigate the effects of CD4+ , IL17 and Foxp3 expression on prognosis of operable non-small cell lung cancer (NSCLC) with different pTNM stages.</t>
  </si>
  <si>
    <t>Busser, Benoît; Sancey, Lucie; Josserand, Véronique; Niang, Carole; Khochbin, Saadi; Favrot, Marie C.; Coll, Jean-Luc; Hurbin, Amandine</t>
  </si>
  <si>
    <t>Amphiregulin promotes resistance to gefitinib in nonsmall cell lung cancer cells by regulating Ku70 acetylation</t>
  </si>
  <si>
    <t>10.1038/mt.2009.227</t>
  </si>
  <si>
    <t>Multiple molecular resistance mechanisms reduce the efficiency of receptor tyrosine kinase inhibitors such as gefitinib in non-small cell lung cancer (NSCLC). We previously demonstrated that amphiregulin (Areg) inhibits gefitinib-induced apoptosis in NSCLC cells by inactivating the proapoptotic protein BAX. In this part of the investigation, we studied the molecular mechanisms leading to BAX inactivation. We show that Areg prevents gefitinib-mediated acetylation of Ku70. This augments the BAX-Ku70 interaction and therefore prevents BAX-mediated apoptosis. Accordingly, Areg or Ku70 knock down restore BAX activation and apoptosis in gefitinib-treated H358 cells in vitro. In addition, overexpression of the histone acetyltransferase (HAT) CREB-binding protein (CBP) or treatments with histone deacetylase (HDAC) inhibitors sensitize H358 cells to gefitinib. Moreover, a treatment with vorinostat, a HDAC inhibitor strongly sensitized tumors to gefitinib in vivo. These findings suggest new prospects in combining both HDAC and epidermal growth factor receptor inhibitors for the treatment of NSCLC.</t>
  </si>
  <si>
    <t>We previously demonstrated that amphiregulin (Areg) inhibits gefitinib-induced apoptosis in NSCLC cells by inactivating the proapoptotic protein BAX. In this part of the investigation, we studied the molecular mechanisms leading to BAX inactivation.</t>
  </si>
  <si>
    <t>Tang, Na; Ma, Lin; Lin, Xu-Yong; Zhang, Yong; Yang, Da-Lei; Wang, En-Hua; Qiu, Xue-Shan</t>
  </si>
  <si>
    <t>Expression of PHF20 protein contributes to good prognosis of NSCLC and is associated with Bax expression</t>
  </si>
  <si>
    <t>BACKGROUND: Recent studies demonstrate that plant homeodomain finger protein 20 (PHF20), which was initially described as an immunogenic antigen in glioblastoma, is a putative transcriptional factor, and exhibits tumor suppressor activity. However, little is known about its expression and clinical significance in lung cancer. METHODS: We investigated the expression of PHF20 in 142 cases of NSCLC tissue and 30 cases of normal lung tissue by immunohistochemical staining and downregulated PHF20 expression in SPC cell. RESULTS: PHF20 expression was significantly higher in normal lung tissues than that in NSCLC tissues. The expression of PHF20 in NSCLC was significantly correlated with histological grade, p-TNM stage and lymph node metastasis. Moreover, the loss of PHF20 expression was associated with short overall survival. We also found that the expression of PHF20 was associated with Bax expression. Additionally, PHF20 markedly inhibited cell proliferation and invasion. CONCLUSIONS: PHF20 may play an important role in NSCLC, and may serve as a potential therapeutic target of NSCLC.</t>
  </si>
  <si>
    <t>PHF20 may play an important role in NSCLC, and may serve as a potential therapeutic target of NSCLC.</t>
  </si>
  <si>
    <t>Flores-Villanueva, Pedro O.; Ganachari, Malathesha; Guio, Heinner; Mejia, Jaime A.; Granados, Julio</t>
  </si>
  <si>
    <t>An Isolated TCR αβ Restricted by HLA-A*02:01/CT37 Peptide Redirecting CD8+ T Cells To Kill and Secrete IFN-γ in Response to Lung Adenocarcinoma Cell Lines</t>
  </si>
  <si>
    <t>Journal of Immunology</t>
  </si>
  <si>
    <t>10.4049/jimmunol.1701054</t>
  </si>
  <si>
    <t>Lung cancer is a leading cause of cancer-related death among both men and women in the United States, where non-small cell lung cancer accounts for ∼85% of lung cancer. Lung adenocarcinoma (ADC) is the major histologic subtype. The presence of actionable mutations prompts the use of therapies designed to specifically address the deleterious effects of those cancer-driving mutations; these therapies have already shown promise in cases carrying those actionable mutations (∼30%). Innovative therapeutic approaches are needed for the treatment of 70% of patients suffering from lung ADC. Adoptive transfer of CD8+ T cells specific against cancer/testis (CT) Ags, whose protein expression is restricted to the gonads (testis and ovary) and cancerous cells, is an excellent alternative. In this study, we report the isolation of HLA-A*02:01/CT37 peptide-specific α and β TCR chains from a CD8+ T cell clone obtained from a patient suffering from lung ADC. We also report the development of an innovative CD3ζ construct. With those TCR chains and the engineered (modified) CD3ζ chain, we produced a construct that when transduced into CD8+ T cells is capable of redirecting transduced CD8+ T cell cytotoxic activity and IFN-γ secretion against peptide-pulsed autologous cells and HLA-A*02:01-positive and CT37-expressing lung ADC cell lines. Our findings will launch the development of innovative adoptive transfer immunotherapies for the treatment of lung ADC, targeting the most prevalent HLA molecules and CT37 peptides restricted by these molecules.</t>
  </si>
  <si>
    <t xml:space="preserve">We report the isolation of HLA-A*02:01/CT37 peptide-specific α and β TCR chains from a CD8+ T cell clone obtained from a patient suffering from lung ADC capable of redirecting transduced CD8+ T cell cytotoxic activity and IFN-γ secretion </t>
  </si>
  <si>
    <t>Le, Quynh-Thu; Chen, Eunice; Salim, Ali; Cao, Hongbin; Kong, Christina S.; Whyte, Richard; Donington, Jessica; Cannon, Walter; Wakelee, Heather; Tibshirani, Robert; Mitchell, John D.; Richardson, Donna; O'Byrne, Ken J.; Koong, Albert C.; Giaccia, Amato J.</t>
  </si>
  <si>
    <t>An evaluation of tumor oxygenation and gene expression in patients with early stage non-small cell lung cancers</t>
  </si>
  <si>
    <t>10.1158/1078-0432.CCR-05-2049</t>
  </si>
  <si>
    <t>BACKGROUND: To directly assess tumor oxygenation in resectable non-small cell lung cancers (NSCLC) and to correlate tumor pO2 and the selected gene and protein expression to treatment outcomes. METHODS: Twenty patients with resectable NSCLC were enrolled. Intraoperative measurements of normal lung and tumor pO2 were done with the Eppendorf polarographic electrode. All patients had plasma osteopontin measurements by ELISA. Carbonic anhydrase-IX (CA IX) staining of tumor sections was done in the majority of patients (n = 16), as was gene expression profiling (n = 12) using cDNA microarrays. Tumor pO2 was correlated with CA IX staining, osteopontin levels, and treatment outcomes. RESULTS: The median tumor pO2 ranged from 0.7 to 46 mm Hg (median, 16.6) and was lower than normal lung pO2 in all but one patient. Because both variables were affected by the completeness of lung deflation during measurement, we used the ratio of tumor/normal lung (T/L) pO2 as a reflection of tumor oxygenation. The median T/L pO2 was 0.13. T/L pO2 correlated significantly with plasma osteopontin levels (r = 0.53, P = 0.02) and CA IX expression (P = 0.006). Gene expression profiling showed that high CD44 expression was a predictor for relapse, which was confirmed by tissue staining of CD44 variant 6 protein. Other variables associated with the risk of relapse were T stage (P = 0.02), T/L pO2 (P = 0.04), and osteopontin levels (P = 0.001). CONCLUSIONS: Tumor hypoxia exists in resectable NSCLC and is associated with elevated expression of osteopontin and CA IX. Tumor hypoxia and elevated osteopontin levels and CD44 expression correlated with poor prognosis. A larger study is needed to confirm the prognostic significance of these factors.</t>
  </si>
  <si>
    <t>Carbonic anhydrase-IX (CA IX) staining of tumor sections and expression of osteopontin were found to be associated hypoxia</t>
  </si>
  <si>
    <t>Alamgeer, Muhammad; Ganju, Vinod; Szczepny, Anette; Russell, Prudence A.; Prodanovic, Zdenka; Kumar, Beena; Wainer, Zoe; Brown, Tracey; Schneider-Kolsky, Michal; Conron, Matthew; Wright, Gavin; Watkins, D. Neil</t>
  </si>
  <si>
    <t>The prognostic significance of aldehyde dehydrogenase 1A1 (ALDH1A1) and CD133 expression in early stage non-small cell lung cancer</t>
  </si>
  <si>
    <t>Thorax</t>
  </si>
  <si>
    <t>10.1136/thoraxjnl-2012-203021</t>
  </si>
  <si>
    <t>BACKGROUND: Expression of aldehyde dehydrogenase 1A1 (ALDH1A1) and CD133 has been functionally associated with a stem cell phenotype in normal and malignant cells. The prevalence of such cells in solid tumours should therefore correlate with recurrence and/or metastasis following definitive surgical resection. The aim of this study was to evaluate the prognostic significance of ALDH1A1 and CD133 in surgically resected, early stage non-small cell lung cancer (NSCLC). METHODS: A retrospective analysis of ALDH1A1 and CD133 expression in 205 patients with pathologic stage I NSCLC was performed using immunohistochemistry. The association between the expression of both markers and survival was determined. RESULTS: We identified 62 relapses and 58 cancer-related deaths in 144 stage 1A and 61 stage 1B patients, analysed at a median of 5-years follow-up. Overexpression of ALDH1A1 and CD133, detected in 68.7% and 50.7% of primary tumours, respectively, was an independent prognostic indicator for overall survival by multivariable Cox proportional hazard model (p=0.017 and 0.039, respectively). Overexpression of ALDH1A1, but not of CD133, predicted poor recurrence-free survival (p=0.025). When categorised into three groups according to expression of ALDH1A1/CD133, patients with overexpression of both ALDH1A1 and CD133 belonged to the group with the shortest recurrence-free and overall survival (p=0.015 and 0.017, respectively). CONCLUSIONS: Expression of ALDH1A1 and CD133, and coexpression of ALDH1A1 and CD133, is strongly associated with poor survival in early-stage NSCLC following surgical resection. These data are consistent with the hypothesis that expression of stem cell markers correlates with recurrence as an indirect measure of self-renewal capacity.</t>
  </si>
  <si>
    <t xml:space="preserve">Expression of ALDH1A1 and CD133, and coexpression of ALDH1A1 and CD133, is strongly associated with poor survival in early-stage NSCLC following surgical resection. </t>
  </si>
  <si>
    <t>Hirschowitz, Edward A.; Foody, Terry; Hidalgo, Giovanna E.; Yannelli, John R.</t>
  </si>
  <si>
    <t>Immunization of NSCLC patients with antigen-pulsed immature autologous dendritic cells</t>
  </si>
  <si>
    <t>10.1016/j.lungcan.2007.04.002</t>
  </si>
  <si>
    <t>Only a handful of NSCLC patients have been included in dendritic cell (DC) vaccine clinical trials. We had previously reported a series of 16 individuals with stages IA-IIIB NSCLC who received autologous DC vaccines matured with dendritic cell/T cell-derived maturation factor (DCTCMF). Here we report the results of a continuation study with similar inclusion criteria, immunization protocol, and analysis, using an immature DC vaccine. Of the 14 participants, 7 had undergone surgical resection (stage I/II), with or without adjuvant therapy, and 7 with unresectable stage III had been treated with chemo-radiation alone. Autologous DCs were pulsed with apoptotic bodies derived from an allogeneic NSCLC cell line that over-expresses Her2/neu, CEA, WT1, Mage2, and survivin. DCs were not exposed to any maturation stimulus. Individuals received two intradermal vaccines (average 8.1x10(7) DC per immunization) 1 month apart. Immune responses were measured by IFN-gamma ELISPOT, comparing relative number of antigen-reactive T-cells from pre-vaccine to timepoints post-immunization. Immunologic responses were seen in 4/7 stage III unresectable, and 6/7 stage I/II surgically resected patients, including 3/3 resected patients who had also received adjuvant chemo-radiation. There were no related adverse events. One of seven surgically resected patients recurred and 4/7 stage III patients progressed. Three of five patients with progressive disease showed no immunologic response. Data indicate that immature DC pulsed with apoptotic tumour cells have similar biologic activity to a DCTCMF-matured DC preparation delivered in a similar clinical protocol. Therapeutic efficacy is unknown and clinical outcomes are anecdotal.</t>
  </si>
  <si>
    <t xml:space="preserve">We report a series of 16 individuals with stage IA to IIIB NSCLC who received autologous DC vaccines matured with Dendritic Cell / T Cell-derived Maturation Factor (DCTCMF). This is a continuation study with similar inclusion criteria, immunization protocol, and analysis, using an immature DC vaccine. </t>
  </si>
  <si>
    <t>Che, Pulin; Wagener, Brant M.; Zhao, Xueke; Brandon, Angela P.; Evans, Cilina A.; Cai, Guo-Qiang; Zhao, Rui; Xu, Zhi-Xiang; Han, Xiaosi; Pittet, Jean-Francois; Ding, Qiang</t>
  </si>
  <si>
    <t>Neuronal Wiskott-Aldrich syndrome protein regulates Pseudomonas aeruginosa-induced lung vascular permeability through the modulation of actin cytoskeletal dynamics</t>
  </si>
  <si>
    <t>FASEB journal: official publication of the Federation of American Societies for Experimental Biology</t>
  </si>
  <si>
    <t>10.1096/fj.201902915R</t>
  </si>
  <si>
    <t>Pulmonary edema associated with increased vascular permeability is a severe complication of Pseudomonas (P.) aeruginosa-induced acute lung injury. The mechanisms underlying P aeruginosa-induced vascular permeability are not well understood. In the present study, we investigated the role of neuronal Wiskott Aldrich syndrome protein (N-WASP) in modulating P aeruginosa-induced vascular permeability. Using lung microvascular endothelial and alveolar epithelial cells, we demonstrated that N-WASP downregulation attenuated P aeruginosa-induced actin stress fiber formation and prevented paracellular permeability. P aeruginosa-induced dissociation between VE-cadherin and β-catenin, but increased association between N-WASP and VE-cadherin, suggesting a role for N-WASP in promoting P aeruginosa-induced adherens junction rupture. P aeruginosa increased N-WASP-Y256 phosphorylation, which required the activation of Rho GTPase and focal adhesion kinase. Increased N-WASP-Y256 phosphorylation promotes N-WASP and integrin αVβ6 association as well as TGF-β-mediated permeability across alveolar epithelial cells. Inhibition of N-WASP-Y256 phosphorylation by N-WASP-Y256F overexpression blocked N-WASP effects in P aeruginosa-induced actin stress fiber formation and increased paracellular permeability. In vivo, N-WASP knockdown attenuated the development of pulmonary edema and improved survival in a mouse model of P aeruginosa pneumonia. Together, our data demonstrate that N-WASP plays an essential role in P aeruginosa-induced vascular permeability and pulmonary edema through the modulation of actin cytoskeleton dynamics.</t>
  </si>
  <si>
    <t>We investigated the role of neuronal Wiskott Aldrich syndrome protein (N-WASP) in modulating P aeruginosa-induced vascular permeability.</t>
  </si>
  <si>
    <t>Shien, Kazuhiko; Toyooka, Shinichi; Ichimura, Kouichi; Soh, Junichi; Furukawa, Masashi; Maki, Yuho; Muraoka, Takayuki; Tanaka, Norimitsu; Ueno, Tsuyoshi; Asano, Hiroaki; Tsukuda, Kazunori; Yamane, Masaomi; Oto, Takahiro; Kiura, Katsuyuki; Miyoshi, Shinichiro</t>
  </si>
  <si>
    <t>Prognostic impact of cancer stem cell-related markers in non-small cell lung cancer patients treated with induction chemoradiotherapy</t>
  </si>
  <si>
    <t>10.1016/j.lungcan.2012.02.006</t>
  </si>
  <si>
    <t>The expression of several cancer stem cell (CSC)-related markers has been confirmed in non-small cell lung cancer (NSCLC). The aim of this study was to clarify the clinical role of CSC-related markers in patients with NSCLC undergoing induction chemoradiotherapy (CRT). Fifty patients with clinically diagnosed N2 or N3 NSCLC who underwent induction CRT with docetaxel and cisplatin concurrently with thoracic radiation followed by surgery were examined in this study. The expressions of CSC related markers (CD133, ALDH1, ABCG2, and Bmi-1) were examined using immunohistochemical staining in surgically resected specimens. Among the 50 patients, 20 patients had no residual tumor cells in the resected specimen when examined pathologically; CSC-related marker expressions and their correlation to survival were evaluated in the other 30 patients. After a median follow-up period of 72 months, the 5-year overall survival rate of the patients with CD133-positive or ALDH1-positive specimens was significantly worse than that of the patients with both CD133-negative and ALDH1-negative expressions (44.9% vs. 90.0%, respectively; P = 0.042). In a multivariate analysis, CD133 and ALDH1 negativity (P = 0.047) and cN2-3 single station metastasis (P = 0.03) were significant independent prognostic factors for prolonged survival. The expressions of CSC-related markers after CRT were significantly correlated with a poor prognosis in patients with NSCLC. The development of therapeutic strategies including adjuvant therapy that take CSC-related marker positivity into consideration is likely to be a key factor in further improvements of the prognosis of patients undergoing trimodality therapy.</t>
  </si>
  <si>
    <t xml:space="preserve"> The aim of this study was to clarify the clinical role of CSC-related markers in patients with NSCLC undergoing induction chemoradiotherapy (CRT)</t>
  </si>
  <si>
    <t>Huang, Yi-Hsiang; Terabe, Masaki; Pendleton, C. David; Stewart Khursigara, Deborah; Bera, Tapan K.; Pastan, Ira; Berzofsky, Jay A.</t>
  </si>
  <si>
    <t>Identification and enhancement of HLA-A2.1-restricted CTL epitopes in a new human cancer antigen-POTE</t>
  </si>
  <si>
    <t>10.1371/journal.pone.0064365</t>
  </si>
  <si>
    <t>Identification of CD8(+) T cell epitopes that can induce T cells to kill tumor cells is a fundamental step for development of a peptide cancer vaccine. POTE protein is a newly identified cancer antigen that was found to be expressed in a wide variety of human cancers, including prostate, colon, lung, breast, ovary and pancreas. Here, we determined HLA-A2.1-restricted cytotoxic T lymphocyte (CTL) epitopes in the POTE protein, and also designed enhanced epitopes by amino acid (AA) substitutions. Five 9-mer peptides were first selected and their binding affinity to HLA-A2 molecules was measured by the T2 binding assay. POTE 272-280 and POTE 323-331 showed the strongest HLA-A2 binding affinity. AA substituted peptides POTE 252-9V (with valine at position 9), POTE 553-1Y (with tyrosine at position 1) and POTE 323-3F (with phenylalanine at position 3) conferred higher affinity for HLA-A2, and induced CTL responses cross-reactive with wild type antigens. While POTE 252-9V was the strongest in this respect, POTE 323-3F had the greatest increase in immunogenicity compared to wild type. Importantly, two modified epitopes (POTE-553-1Y and POTE-323-3F) induced CTLs that killed NCI-H522, a POTE-expressing HLA-A2(+) human non-small cell lung cancer cell line, indicating natural endogenous processing of these epitopes. In conclusion, the immunogenicity of POTE epitopes can be enhanced by peptide modification to induce T cells that kill human cancer cells. A combination of POTE 553-1Y and POTE 323-3F epitopes might be an attractive vaccine strategy for HLA-A2 cancer patients to overcome tolerance induced by tumors and prevent escape.</t>
  </si>
  <si>
    <t>POTE protein is a newly identified cancer antigen that was found to be expressed in a wide variety of human cancers, including prostate, colon, lung, breast, ovary and pancreas.</t>
  </si>
  <si>
    <t>Zhu, Mingyu; Zhang, Lu; Cui, Haiyan; Zhao, Qiang; Wang, Hao; Zhai, Baochao; Jiang, Richeng; Jiang, Zhansheng</t>
  </si>
  <si>
    <t>Co-Mutation of FAT3 and LRP1B in Lung Adenocarcinoma Defines a Unique Subset Correlated With the Efficacy of Immunotherapy</t>
  </si>
  <si>
    <t>10.3389/fimmu.2021.800951</t>
  </si>
  <si>
    <t>Immunotherapy based on immune checkpoint inhibitors (ICIs) have demonstrated remarkable survival benefits and gained regulatory approval in non-small cell lung cancer (NSCLC) patients without an actionable driver mutation, but currently there is no well-established standard for how to screen the most suitable population for ICIs treatment. Here, we conducted a comprehensive analysis of the somatic mutation landscape of lung adenocarcinoma (LUAD) samples. After the stepwise screening of high-frequency mutated genes, two genes with prominent significance, FAT3 and LRP1B, were finally screened out. Through further analysis, we discovered that the co-mutation of FAT3 and LRP1B was associated with an earlier age of onset and occurred more frequently in Black/African American. Furthermore, co-mutation defines a unique subgroup of lung adenocarcinoma that can increase tumor mutational burden (TMB), boost cytotoxicity and tumor immunogenicity, and facilitate lymphocyte infiltration. The results of gene set enrichment analysis (GSEA) indicated that co-mutation can influence tumorigenesis through a variety of mechanisms. More strikingly, the subset of LUAD with co-mutation of FAT3 and LRP1B exhibited significantly prolonged immunotherapy progression free survival (PFS). In summary, co-mutation of FAT3 and LRP1B is a promising useful biomarker for predicting the efficacy of immunotherapy, which can improve the clinical efficiency of practicing precision medicine in lung adenocarcinoma patients.</t>
  </si>
  <si>
    <t xml:space="preserve"> We discovered that the co-mutation of FAT3 and LRP1B was associated with an earlier age of onset and occurred more frequently in Black/African American.</t>
  </si>
  <si>
    <t>Zhou, Q.; Guo, A.-L.; Xu, C.-R.; An, S.-J.; Wang, Z.; Yang, S.-Q.; Wu, Y.-L.</t>
  </si>
  <si>
    <t>A dendritic cell-based tumour vaccine for lung cancer: full-length XAGE-1b protein-pulsed dendritic cells induce specific cytotoxic T lymphocytes in vitro</t>
  </si>
  <si>
    <t>Clinical and Experimental Immunology</t>
  </si>
  <si>
    <t>10.1111/j.1365-2249.2008.03724.x</t>
  </si>
  <si>
    <t>XAGE-1b is regarded as one of the most immunogenic antigens and the most promising targets for lung adenocarcinoma immunotherapy. In this study, we sought to determine whether monocyte-derived dendritic cells (DCs) pulsed with purified full-length XAGE-1b could induce specific cytotoxic T lymphocytes (CTLs) against tumour cells from patients with non-small cell lung cancer (NSCLC) in vitro. XAGE-1b mRNA expression was examined in primary cultures of lung cancer cells and normal lung epithelial cells established from fresh tissues surgically resected from 30 patients with NSCLC using reverse transcription-polymerase chain reaction (RT-PCR). XAGE-1b mRNA expression was observed in 11 of 18 (61.1%) adenocarcinomas and one of 12 (8.3%) lung cancers of other histological types (P = 0.015). The 246-base pairs XAGE-1b gene was inserted into a recombinant expression vector. Full-length XAGE-1b was then expressed in BL21 (DE3) Escherichia coli and purified by AKTA-fast performance liquid chromatography (FPLC). DCs generated from peripheral blood mononuclear cells were pulsed with XAGE-1b by incubation with the protein at an immature stage. The XAGE-1b-pulsed DCs induced CTLs following 14 days of co-culture. Finally, an adherent target detachment (ATD) assay was performed to test the cytotoxicity of the XAGE-1b-specific CTLs against cancer cells and normal lung epithelial cells. The XAGE-1b-specific CTLs had a stronger lytic effect on autologous XAGE-1b mRNA-positive cancer cells than on autologous XAGE-1b mRNA-negative cancer cells or allogenous XAGE-1b mRNA-positive cancer cells. The CTLs had no lytic activity against normal lung epithelial cells. These results can be used to develop simple and effective cancer/testis antigen-based immunotherapies for NSCLC.</t>
  </si>
  <si>
    <t>The study focuses on XAGE-1b, which is a Cancer-Testis Antigen (CTA).</t>
  </si>
  <si>
    <t>Li, Hua-Jung; Everts, Maaike; Yamamoto, Masato; Curiel, David T.; Herschman, Harvey R.</t>
  </si>
  <si>
    <t>Combined transductional untargeting/retargeting and transcriptional restriction enhances adenovirus gene targeting and therapy for hepatic colorectal cancer tumors</t>
  </si>
  <si>
    <t>10.1158/0008-5472.CAN-08-3209</t>
  </si>
  <si>
    <t>Unresectable hepatic colorectal cancer (CRC) metastases are a leading cause of cancer mortality. These tumors and other epithelial tumors often express both cyclooxygenase-2 (COX-2) and carcinoembryonic antigen (CEA). Because adenovirus (Ad) vectors infect the liver and lack tumor tropism, they cannot be used for systemic therapy of hepatic metastases. We used COX-2 transcriptional restriction, in combination with transductional Ad hepatic untargeting and tumor retargeting by a bispecific adapter, sCARhMFE, composed of sCAR [the coxsackie/Ad receptor (CAR) ectodomain] and MFE-23 (a single-chain anti-CEA antibody), to untarget liver after i.v. administration of Ad vectors expressing firefly luciferase and to retarget virus to hepatic colorectal tumor xenografts and non-small cell lung tumor xenografts. To improve both liver untargeting and tumor retargeting, we developed sCARfMFE, a trimerized sCARhMFE adapter. Trimerization greatly improves both untargeting of CAR-dependent Ad infection and CEA-dependent virus retargeting in culture and in vivo. Combining sCARfMFE bispecific adapter transductional liver untargeting and transductional tumor retargeting with COX-2 transcriptional tumor-restricted transgene expression increases systemically administered Ad therapeutic efficacy for hepatic CRC tumors, using herpes virus type 1 thymidine kinase (HSV1-tk) as a therapeutic gene in conjunction with the prodrug ganciclovir (GCV). Both transductional untargeting and COX-2 transcriptional restriction also reduce HSV1-tk/GCV hepatic toxicity. In addition, transductional sCARfMFE untargeting reduces the innate immune response to systemic Ad administration. Combined transductional liver Ad untargeting, transductional tumor retargeting, and transcriptional transgene restriction suggests a means to engineer practical, effective therapeutic agents for hepatic CRC metastases in particular, as well as hepatic metastases of other epithelial cancers.</t>
  </si>
  <si>
    <t>The study targets Carcinoembryonic Antigen (CEA). CEA is a classic Tumor-Associated Antigen (TAA)—a wild-type (self) glycoprotein overexpressed in epithelial cancers.</t>
  </si>
  <si>
    <t>Alves, Pedro M. S.; Faure, Olivier; Graff-Dubois, Stéphanie; Cornet, Sebastien; Bolonakis, Irena; Gross, David-Alexandre; Miconnet, Isabelle; Chouaib, Salem; Fizazi, Karim; Soria, Jean Charles; Lemonnier, François A.; Kosmatopoulos, Kostas</t>
  </si>
  <si>
    <t>STEAP, a prostate tumor antigen, is a target of human CD8+ T cells</t>
  </si>
  <si>
    <t>10.1007/s00262-006-0165-3</t>
  </si>
  <si>
    <t>STEAP is a recently identified protein shown to be particularly overexpressed in prostate cancer and also present in numerous human cancer cell lines from prostate, pancreas, colon, breast, testicular, cervical, bladder and ovarian carcinoma, acute lymphocytic leukemia and Ewing sarcoma. This expression profile renders STEAP an appealing candidate for broad cancer immunotherapy. In order to investigate if STEAP is a tumor antigen that can be targeted by specific CD8(+) T cells, we identified two high affinity HLA-A*0201 restricted peptides (STEAP(86-94) and STEAP(262-270)). These peptides were immunogenic in vivo in HLA-A*0201 transgenic HHD mice. Peptide specific murine CD8 T cells recognized COS-7 cells co-transfected with HHD (HLA-A*0201) and STEAP cDNA constructs and also HLA-A*0201(+) STEAP(+) human tumor cells. Furthermore, STEAP(86-94) and STEAP(262-270) stimulated specific CD8(+) T cells from HLA-A*0201(+) healthy donors, and these peptide specific CD8(+) T cells recognized STEAP positive human tumor cells in an HLA-A*0201-restricted manner. Importantly, STEAP(86-94)-specific T cells were detected and reactive in the peripheral blood mononuclear cells in NSCLC and prostate cancer patients ex vivo. These results show that STEAP can be a target of anti-tumor CD8(+) T cells and that STEAP peptides can be used for a broad-spectrum-tumor immunotherapy.</t>
  </si>
  <si>
    <t>The study investigates STEAP (Six-Transmembrane Epithelial Antigen of the Prostate).</t>
  </si>
  <si>
    <t>Murakami, Akiko; Takahashi, Fumiyuki; Nurwidya, Fariz; Kobayashi, Isao; Minakata, Kunihiko; Hashimoto, Muneaki; Nara, Takeshi; Kato, Motoyasu; Tajima, Ken; Shimada, Naoko; Iwakami, Shin-ichiro; Moriyama, Mariko; Moriyama, Hiroyuki; Koizumi, Fumiaki; Takahashi, Kazuhisa</t>
  </si>
  <si>
    <t>Hypoxia increases gefitinib-resistant lung cancer stem cells through the activation of insulin-like growth factor 1 receptor</t>
  </si>
  <si>
    <t>10.1371/journal.pone.0086459</t>
  </si>
  <si>
    <t>Accumulating evidence indicates that a small population of cancer stem cells (CSCs) is involved in intrinsic resistance to cancer treatment. The hypoxic microenvironment is an important stem cell niche that promotes the persistence of CSCs in tumors. Our aim here was to elucidate the role of hypoxia and CSCs in the resistance to gefitinib in non-small cell lung cancer (NSCLC) with activating epidermal growth factor receptor (EGFR) mutation. NSCLC cell lines, PC9 and HCC827, which express the EGFR exon 19 deletion mutations, were exposed to high concentration of gefitinib under normoxic or hypoxic conditions. Seven days after gefitinib exposure, a small fraction of viable cells were detected, and these were referred to as "gefitinib-resistant persisters" (GRPs). CD133, Oct4, Sox2, Nanog, CXCR4, and ALDH1A1-all genes involved in stemness-were highly expressed in GRPs in PC9 and HCC827 cells, and PC9 GRPs exhibited a high potential for tumorigenicity in vivo. The expression of insulin-like growth factor 1 (IGF1) was also upregulated and IGF1 receptor (IGF1R) was activated on GRPs. Importantly, hypoxic exposure significantly increased sphere formation, reflecting the self-renewal capability, and the population of CD133- and Oct4-positive GRPs. Additionally, hypoxia upregulated IGF1 expression through hypoxia-inducible factor 1α (HIF1α), and markedly promoted the activation of IGF1R on GRPs. Knockdown of IGF1 expression significantly reduced phosphorylated IGF1R-expressing GRPs under hypoxic conditions. Finally, inhibition of HIF1α or IGF1R by specific inhibitors significantly decreased the population of CD133- and Oct4-positive GRPs, which were increased by hypoxia in PC9 and HCC827 cells. Collectively, these findings suggest that hypoxia increased the population of lung CSCs resistant to gefitinib in EGFR mutation-positive NSCLC by activating IGF1R. Targeting the IGF1R pathway may be a promising strategy for overcoming gefitinib resistance in EGFR mutation-positive NSCLC induced by lung CSCs and microenvironment factors such as tumor hypoxia.</t>
  </si>
  <si>
    <t>The study investigates molecular resistance to Tyrosine Kinase Inhibitors (TKIs), specifically focusing on Cancer Stem Cell (CSC) markers (CD133, Oct4, Sox2, Nanog, CXCR4, ALDH1A1) and the IGF1/IGF1R axis.</t>
  </si>
  <si>
    <t>Zhang, Fan; Wang, Junjun; Zheng, Xiaoyong; Hu, Lijuan; Chen, Jie; Jiang, Feng; Wang, Yumin</t>
  </si>
  <si>
    <t>Clinical value of jointly detection pleural fluid Midkine, pleural fluid adenosine deaminase, and pleural fluid carbohydrate antigen 125 in the identification of nonsmall cell lung cancer-associated malignant pleural effusion</t>
  </si>
  <si>
    <t>Journal of Clinical Laboratory Analysis</t>
  </si>
  <si>
    <t>10.1002/jcla.22576</t>
  </si>
  <si>
    <t>BACKGROUND: Midkine (MK) level has been shown to be elevated in serum of patients with nonsmall cell lung cancer (NSCLC). However, the diagnostic value of MK in pleural effusion in NSCLC has not been well validated and established. METHODS: Samples of NSCLC-associated malignant pleural effusions (MPE) and benign effusions (BPE) were collected. The pleural fluid MK (pMK), pleural fluid adenosine deaminase (pADA), pleural fluid lactate dehydrogenase (pLDH), pleural fluid glucose (pGLU), pleural fluid ferritin (pFER), pleural fluid CA199 (pCA199), pleural fluid CA125 (pCA125), pleural effusion white cell count (pWBC), and pleural effusion red cell count (pRBC) were analyzed, and the clinical data of each group were collected for statistical analysis. RESULT: The level of pMK, pCA125, pMK + pCA125, and pMK + pCA125 + pADA in the MPE was significantly higher than the BPE group (P = .003, .000, .000, .000). The pADA level in the BPE was significantly higher than the MPE group (P = .003). It showed that the area under the ROC curve (AUC) (0.816) of jointly detection pMK, pCA125, and pADA was significantly higher than other markers for the diagnosis of MPE. Therefore, joint detection of pMK + pCA125 + pADA suggested that the sensitivity, specificity, and AUC was 82.54%, 74.19% at the cutoff 0.47 and diagnostic performance was higher than others. CONCLUSION: Joint detection of pMK + pCA125 + pADA can be used as a good indicator for the identification of MPE of NSCLC.</t>
  </si>
  <si>
    <t>The study by Fan et al. evaluates the diagnostic value of measuring Midkine (MK), CA125, and adenosine deaminase (ADA) levels in pleural effusions to distinguish between malignant and benign cases</t>
  </si>
  <si>
    <t>Bouillez, Audrey; Rajabi, Hasan; Pitroda, Sean; Jin, Caining; Alam, Maroof; Kharbanda, Akriti; Tagde, Ashujit; Wong, Kwok-Kin; Kufe, Donald</t>
  </si>
  <si>
    <t>Inhibition of MUC1-C Suppresses MYC Expression and Attenuates Malignant Growth in KRAS Mutant Lung Adenocarcinomas</t>
  </si>
  <si>
    <t>10.1158/0008-5472.CAN-15-1804</t>
  </si>
  <si>
    <t>Dysregulation of MYC expression is a hallmark of cancer, but the development of agents that target MYC has remained challenging. The oncogenic MUC1-C transmembrane protein is, like MYC, aberrantly expressed in diverse human cancers. The present studies demonstrate that MUC1-C induces MYC expression in KRAS mutant non-small cell lung cancer (NSCLC) cells, an effect that can be suppressed by targeting MUC1-C via shRNA silencing, CRISPR editing, or pharmacologic inhibition with GO-203. MUC1-C activated the WNT/β-catenin (CTNNB1) pathway and promoted occupancy of MUC1-C/β-catenin/TCF4 complexes on the MYC promoter. MUC1-C also promoted the recruitment of the p300 histone acetylase (EP300) and, in turn, induced histone H3 acetylation and activation of MYC gene transcription. We also show that targeting MUC1-C decreased the expression of key MYC target genes essential for the growth and survival of NSCLC cells, such as TERT and CDK4. Based on these results, we found that the combination of GO-203 and the BET bromodomain inhibitor JQ1, which targets MYC transcription, synergistically suppressed MYC expression and cell survival in vitro as well as tumor xenograft growth. Furthermore, MUC1 expression significantly correlated with that of MYC and its target genes in human KRAS mutant NSCLC tumors. Taken together, these findings suggest a therapeutic approach for targeting MYC-dependent cancers and provide the framework for the ongoing clinical studies addressing the efficacy of MUC1-C inhibition in solid tumors.</t>
  </si>
  <si>
    <t>The study investigates the regulation of MYC by the MUC1-C transmembrane protein.</t>
  </si>
  <si>
    <t>Hosokawa, Mami; Kadota, Ritsuko; Shichijo, Shigeki; Itoh, Kyogo; Dmitriev, Igor; Krasnykh, Victor; Curiel, David T.; Takue, Yoichi; Wakasugi, Hiro; Takashima, Shigemitsu; Heike, Yuji</t>
  </si>
  <si>
    <t>Cell cycle arrest and apoptosis induced by SART-1 gene transduction</t>
  </si>
  <si>
    <t>The biological function of the SART-1 gene product is demonstrated and its potential as a target for cancer gene therapy is discussed. MATERIALS AND METHODS: The SART-1 gene was transduced by a recombinant adenovirus vector and its expression was promoted by a CMV promoter. RESULTS: The transduction efficiency by recombinant adenoviruses in A549 and MCF-7 cells was determined using a vector expressing luciferase, which showed high expression in the cells. Cell count analysis using Trypan-Blue dye exclusion showed that SART-1 gene transduction inhibited cell growth. Flow cytometry analysis suggested that SART-1 gene transduction induced cell cycle arrest followed by apoptosis. Western blot analysis confirmed that the apoptosis pathway was activated by SART-1 gene transduction. CONCLUSION: These results show that SART-1 gene transduction induces cell cycle arrest leading to apoptosis and suggest the possibility of gene therapy against cancer. In addition, SART-1 is known to be a tumor antigen in a range of cancers recognized by T cells, thus a potential strategy would be the combination of suicide gene therapy with immuno-gene therapy.</t>
  </si>
  <si>
    <t>Kubo, Toshio; Takigawa, Nagio; Osawa, Masahiro; Harada, Daijiro; Ninomiya, Takashi; Ochi, Nobuaki; Ichihara, Eiki; Yamane, Hiromichi; Tanimoto, Mitsune; Kiura, Katsuyuki</t>
  </si>
  <si>
    <t>Subpopulation of small-cell lung cancer cells expressing CD133 and CD87 show resistance to chemotherapy</t>
  </si>
  <si>
    <t>10.1111/cas.12045</t>
  </si>
  <si>
    <t>Tumors are presumed to contain a small population of cancer stem cells (CSCs) that initiate tumor growth and promote tumor spreading. Multidrug resistance in CSCs is thought to allow the tumor to evade conventional therapy. This study focused on expression of CD133 and CD87 because CD133 is a putative marker of CSCs in some cancers including lung, and CD87 is associated with a stem-cell-like property in small-cell lung cancer (SCLC). Six SCLC cell lines were used. The expression levels of CD133 and CD87 were analyzed by real-time quantitative reverse transcription-polymerase chain reaction and flow cytometry. CD133+/- and CD87+/- cells were isolated by flow cytometry. The drug sensitivities were determined using the 3-(4,5-dimethylthiazol-2-yl)-2,5-diphenyltetrazolium bromide assay. Non-obese diabetic/severe combined immunodeficiency mice were used for the tumor formation assay. SBC-7 cells showed the highest expression levels of both CD133 and CD87 among the cell lines. CD133-/CD87-, CD133+/CD87-, and CD133-/CD87+ cells were isolated from SBC-7 cells; however, CD133+/CD87+ cells could not be obtained. Both CD133+/CD87- and CD133-/CD87+ subpopulations showed a higher resistance to etoposide and paclitaxel and greater re-populating ability than the CD133-/CD87- subpopulation. CD133+/CD87- cells contained more G0 quiescent cells than CD133-/CD87- cells. By contrast, CD133-/CD87- cells showed the highest tumorigenic potential. In conclusion, both CD133 and CD87 proved to be inadequate markers for CSCs; however, they might be beneficial for predicting resistance to chemotherapy.</t>
  </si>
  <si>
    <t>The study focuses exclusively on Small-Cell Lung Cancer (SCLC) cell lines (e.g., SBC-7).</t>
  </si>
  <si>
    <t>Campa, Michael J.; Moody, M. Anthony; Zhang, Ruijun; Liao, Hua-Xin; Gottlin, Elizabeth B.; Patz, Edward F.</t>
  </si>
  <si>
    <t>Interrogation of individual intratumoral B lymphocytes from lung cancer patients for molecular target discovery</t>
  </si>
  <si>
    <t>10.1007/s00262-015-1787-0</t>
  </si>
  <si>
    <t>Intratumoral B lymphocytes are an integral part of the lung tumor microenvironment. Interrogation of the antibodies they express may improve our understanding of the host response to cancer and could be useful in elucidating novel molecular targets. We used two strategies to explore the repertoire of intratumoral B cell antibodies. First, we cloned VH and VL genes from single intratumoral B lymphocytes isolated from one lung tumor, expressed the genes as recombinant mAbs, and used the mAbs to identify the cognate tumor antigens. The Igs derived from intratumoral B cells demonstrated class switching, with a mean VH mutation frequency of 4%. Although there was no evidence for clonal expansion, these data are consistent with antigen-driven somatic hypermutation. Individual recombinant antibodies were polyreactive, although one clone demonstrated preferential immunoreactivity with tropomyosin 4 (TPM4). We found that higher levels of TPM4 antibodies were more common in cancer patients, but measurement of TPM4 antibody levels was not a sensitive test for detecting cancer. Second, in an effort to focus our recombinant antibody expression efforts on those B cells that displayed evidence of clonal expansion driven by antigen stimulation, we performed deep sequencing of the Ig genes of B cells collected from seven different tumors. Deep sequencing demonstrated somatic hypermutation but no dominant clones. These strategies may be useful for the study of B cell antibody expression, although identification of a dominant clone and unique therapeutic targets may require extensive investigation.</t>
  </si>
  <si>
    <t>The study identifies Tropomyosin 4 (TPM4) as a cognate tumor antigen. TPM4 is a wild-type (self) protein that is overexpressed in tumors. It is a Tumor-Associated Antigen (TAA), not a neoantigen.</t>
  </si>
  <si>
    <t>El Hage, Faten; Stroobant, Vincent; Vergnon, Isabelle; Baurain, Jean-François; Echchakir, Hamid; Lazar, Vladimir; Chouaib, Salem; Coulie, Pierre G.; Mami-Chouaib, Fathia</t>
  </si>
  <si>
    <t>Preprocalcitonin signal peptide generates a cytotoxic T lymphocyte-defined tumor epitope processed by a proteasome-independent pathway</t>
  </si>
  <si>
    <t>10.1073/pnas.0802753105</t>
  </si>
  <si>
    <t>We identified an antigen recognized on a human non-small-cell lung carcinoma by a cytotoxic T lymphocyte clone derived from autologous tumor-infiltrating lymphocytes. The antigenic peptide is presented by HLA-A2 and is encoded by the CALCA gene, which codes for calcitonin and for the alpha-calcitonin gene-related peptide. The peptide is derived from the carboxy-terminal region of the preprocalcitonin signal peptide and is processed independently of proteasomes and the transporter associated with antigen processing. Processing occurs within the endoplasmic reticulum of all tumoral and normal cells tested, including dendritic cells, and it involves signal peptidase and the aspartic protease, signal peptide peptidase. The CALCA gene is overexpressed in medullary thyroid carcinomas and in several lung carcinomas compared with normal tissues, leading to recognition by the T cell clone. This new epitope is, therefore, a promising candidate for cancer immunotherapy.</t>
  </si>
  <si>
    <t>The study identifies an epitope derived from the CALCA gene (preprocalcitonin signal peptide). CALCA is a wild-type (self) protein that is overexpressed in certain lung carcinomas. It is a Tumor-Associated Antigen (TAA), not a neoantigen.</t>
  </si>
  <si>
    <t>Djureinovic, Dijana; Pontén, Victor; Landelius, Per; Al Sayegh, Sahar; Kappert, Kai; Kamali-Moghaddam, Masood; Micke, Patrick; Ståhle, Elisabeth</t>
  </si>
  <si>
    <t>Multiplex plasma protein profiling identifies novel markers to discriminate patients with adenocarcinoma of the lung</t>
  </si>
  <si>
    <t>10.1186/s12885-019-5943-3</t>
  </si>
  <si>
    <t>BACKGROUND: The overall prognosis of non-small cell lung cancer (NSCLC) is poor, and currently only patients with localized disease are potentially curable. Therefore, preferably non-invasively determined biomarkers that detect NSCLC patients at early stages of the disease are of high clinical relevance. The aim of this study was to identify and validate novel protein markers in plasma using the highly sensitive DNA-assisted multiplex proximity extension assay (PEA) to discriminate NSCLC from other lung diseases. METHODS: Plasma samples were collected from a total of 343 patients who underwent surgical resection for different lung diseases, including 144 patients with lung adenocarcinoma (LAC), 68 patients with non-malignant lung disease, 83 patients with lung metastasis of colorectal cancers and 48 patients with typical carcinoid. One microliter of plasma was analyzed using PEA, allowing detection and quantification of 92 established cancer related proteins. The concentrations of the plasma proteins were compared between disease groups. RESULTS: The comparison between LAC and benign samples revealed significantly different plasma levels for four proteins; CXCL17, CEACAM5, VEGFR2 and ERBB3 (adjusted p-value &lt; 0.05). A multi-parameter classifier was developed to discriminate between samples from LAC patients and from patients with non-malignant lung conditions. With a bootstrap aggregated decision tree algorithm (TreeBagger), a sensitivity of 93% and specificity of 64% was achieved to detect LAC in this risk population. CONCLUSIONS: By applying the highly sensitive PEA, reliable protein profiles could be determined in microliter amounts of plasma. We further identified proteins that demonstrated different plasma concentration in defined disease groups and developed a signature that holds potential to be included in a screening assay for early lung cancer detection.</t>
  </si>
  <si>
    <t xml:space="preserve"> the study identify a plasma protein signature (CXCL17, CEACAM5, VEGFR2, ERBB3) using the Proximity Extension Assay (PEA) that distinguishes lung adenocarcinoma from non-malignant lung diseases with 93% sensitivity and 64% specificity.</t>
  </si>
  <si>
    <t>Knights, Ashley J.; Nuber, Natko; Thomson, Christopher W.; de la Rosa, Olga; Jäger, Elke; Tiercy, Jean-Marie; van den Broek, Maries; Pascolo, Steve; Knuth, Alexander; Zippelius, Alfred</t>
  </si>
  <si>
    <t>Modified tumour antigen-encoding mRNA facilitates the analysis of naturally occurring and vaccine-induced CD4 and CD8 T cells in cancer patients</t>
  </si>
  <si>
    <t>10.1007/s00262-008-0556-8</t>
  </si>
  <si>
    <t>The development of effective anti-cancer vaccines requires precise assessment of vaccine-induced immunity. This is often hampered by low ex vivo frequencies of antigen-specific T cells and limited defined epitopes. This study investigates the applicability of modified, in vitro-transcribed mRNA encoding a therapeutically relevant tumour antigen to analyse T cell responses in cancer patients. In this study transfection of antigen presenting cells, by mRNA encoding the tumour antigen NY-ESO-1, was optimised and applied to address spontaneous and vaccine-induced T cell responses in cancer patients. Memory CD8+ T cells from lung cancer patients having detectable humoral immune responses directed towards NY-ESO-1 could be efficiently detected in peripheral blood. Specific T cells utilised a range of different T cell receptors, indicating a polyclonal response. Specific killing of a panel of NY-ESO-1 expressing tumour cell lines indicates recognition restricted to several HLA allelic variants, including a novel HLA-B49 epitope. Using a modified mRNA construct targeting the translated antigen to the secretory pathway, detection of NY-ESO-1-specific CD4+ T cells in patients could be enhanced, which allowed the in-depth characterisation of established T cell clones. Moreover, broad CD8+ and CD4+ T cell responses covering multiple epitopes were detected following mRNA stimulation of patients treated with a recombinant vaccinia/fowlpox NY-ESO-1 vaccine. This approach allows for a precise monitoring of responses to tumour antigens in a setting that addresses the breadth and magnitude of antigen-specific T cell responses, and that is not limited to a particular combination of known epitopes and HLA-restrictions.</t>
  </si>
  <si>
    <t>The study focuses exclusively on NY-ESO-1, which is a Cancer-Testis Antigen (CTA).</t>
  </si>
  <si>
    <t>Parakasikron, Nattihda; Chaotham, Chatchai; Chanvorachote, Pithi; Vinayanuwattikun, Chanida; Buranasudja, Visarut; Taweecheep, Pornchanok; Khantasup, Kannika</t>
  </si>
  <si>
    <t>Development of a human antibody fragment directed against the alpha folate receptor as a promising molecule for targeted application</t>
  </si>
  <si>
    <t>Drug Delivery</t>
  </si>
  <si>
    <t>10.1080/10717544.2021.1943055</t>
  </si>
  <si>
    <t>Alpha folate receptor (FRα) is currently under investigation as a target for the treatment of patients with non-small-cell lung cancer (NSCLC), since it is highly expressed in tumor cells but is largely absent in normal tissue. In this study, a novel human variable domain of a heavy-chain (VH) antibody fragment specific to FRα was enriched and selected by phage bio-planning. The positive phage clone (3A102 VH) specifically bound to FRα and also cross-reacted with FRβ, as tested by ELISA. Clone 3A102 VH was then successfully expressed as a soluble protein in an E. coli shuffle strain. The obtained soluble 3A102 VH demonstrated a high affinity for FRα with affinity constants (Kaff) values around 7.77 ± 0.25 × 107 M-1, with specific binding against both FRα expressing NSCLC cells and NSCLC patient-derived primary cancer cells, as tested by cell ELISA. In addition, soluble 3A102 VH showed the potential desired property of a targeting molecule by being internalized into FRα-expressing cells, as observed by confocal microscopy. This study inspires the use of phage display to develop human VH antibody (Ab) fragments that might be well suited for drug targeted therapy of NSCLC and other FRα-positive cancer cells.</t>
  </si>
  <si>
    <t xml:space="preserve">The study targets the Alpha Folate Receptor (FRα). FRα is a Tumor-Associated Antigen (TAA)—a wild-type (self) protein that is overexpressed in NSCLC but present in normal tissues.
</t>
  </si>
  <si>
    <t>Holdenrieder, Stefan; Molina, Rafael; Qiu, Ling; Zhi, Xiuyi; Rutz, Sandra; Engel, Christine; Kasper-Sauer, Pia; Dayyani, Farshid; Korse, Catharina M.</t>
  </si>
  <si>
    <t>Technical and clinical performance of a new assay to detect squamous cell carcinoma antigen levels for the differential diagnosis of cervical, lung, and head and neck cancer</t>
  </si>
  <si>
    <t>10.1177/1010428318772202</t>
  </si>
  <si>
    <t>In squamous cell carcinoma, squamous cell carcinoma antigen levels are often elevated. This multi-center study evaluated the technical performance of a new Elecsys® squamous cell carcinoma assay, which measures serum squamous cell carcinoma antigen 1 and 2 levels in an equimolar manner, and investigated the potential of squamous cell carcinoma antigen for differential diagnosis of cervical, lung, and head and neck squamous cell carcinoma.Assay precision and method comparison experiments were performed across three European sites. Reference ranges for reportedly healthy individuals were determined using samples from banked European and Chinese populations. Differential diagnosis experiments determined whether cervical, lung, or head and neck cancer could be differentiated from apparently healthy, benign, or other malignant cohorts using squamous cell carcinoma antigen levels alone. Squamous cell carcinoma antigen cut-off levels were calculated based on squamous cell carcinoma antigen levels at 95% specificity. Repeatability coefficients of variation across nine analyte concentrations were ≤5.3%, and intermediate precision coefficients of variation were ≤10.3%. Method comparisons showed good correlations with Architect and Kryptor systems (slopes of 1.1 and 1.5, respectively). Reference ranges for 95th percentiles for apparently healthy individuals were 2.3 ng/mL (95% confidence interval: 1.9-3.8; European cohort, n = 153) and 2.7 ng/mL (95% confidence interval: 2.2-3.3; Chinese cohort, n = 146). Strongest differential diagnosis results were observed for cervical squamous cell carcinoma: receiver operating characteristic analysis showed that squamous cell carcinoma antigen levels (2.9 ng/mL cut-off) differentiate cervical squamous cell carcinoma (n = 127) from apparently healthy females (n = 286; area under the curve: 86.2%; 95% confidence interval: 81.8-90.6; sensitivity: 61.4%; specificity: 95.6%), benign diseases (n = 187; area under the curve: 86.3%; 95% confidence interval: 81.2-91.3; sensitivity: 61.4%; specificity: 95.0%), and other cervical cancers (n = 157; area under the curve: 78.9%; 95% confidence interval: 70.8-87.1; sensitivity: 61.4%; specificity: 86.7%). Squamous cell carcinoma may also aid in the differential diagnosis of lung cancer. The Elecsys squamous cell carcinoma assay exhibited good technical performance and is suitable for differential diagnosis of cervical squamous cell carcinoma in clinical practice.</t>
  </si>
  <si>
    <t>The study investigates Squamous Cell Carcinoma Antigen (SCCA), specifically SCCA1 and SCCA2.</t>
  </si>
  <si>
    <t>Sun, Yunguang; Zheng, Siyuan; Torossian, Artour; Speirs, Christina K.; Schleicher, Stephen; Giacalone, Nicholas J.; Carbone, David P.; Zhao, Zhongming; Lu, Bo</t>
  </si>
  <si>
    <t>Role of insulin-like growth factor-1 signaling pathway in cisplatin-resistant lung cancer cells</t>
  </si>
  <si>
    <t>International Journal of Radiation Oncology, Biology, Physics</t>
  </si>
  <si>
    <t>10.1016/j.ijrobp.2011.06.1999</t>
  </si>
  <si>
    <t>PURPOSE: The development of drug-resistant phenotypes has been a major obstacle to cisplatin use in non-small-cell lung cancer. We aimed to identify some of the molecular mechanisms that underlie cisplatin resistance using microarray expression analysis. METHODS AND MATERIALS: H460 cells were treated with cisplatin. The differences between cisplatin-resistant lung cancer cells and parental H460 cells were studied using Western blot, MTS, and clonogenic assays, in vivo tumor implantation, and microarray analysis. The cisplatin-R cells were treated with human recombinant insulin-like growth factor (IGF) binding protein-3 and siRNA targeting IGF-1 receptor. RESULTS: Cisplatin-R cells illustrated greater expression of the markers CD133 and aldehyde dehydrogenase, more rapid in vivo tumor growth, more resistance to cisplatin- and etoposide-induced apoptosis, and greater survival after treatment with cisplatin or radiation than the parental H460 cells. Also, cisplatin-R demonstrated decreased expression of insulin-like growth factor binding protein-3 and increased activation of IGF-1 receptor signaling compared with parental H460 cells in the presence of IGF-1. Human recombinant IGF binding protein-3 reversed cisplatin resistance in cisplatin-R cells and targeting of IGF-1 receptor using siRNA resulted in sensitization of cisplatin-R-cells to cisplatin and radiation. CONCLUSIONS: The IGF-1 signaling pathway contributes to cisplatin-R to cisplatin and radiation. Thus, this pathway represents a potential target for improved lung cancer response to treatment.</t>
  </si>
  <si>
    <t>The study investigates molecular resistance mechanisms to chemotherapy, specifically focusing on the IGF-1/IGFBP-3 axis and stemness markers (CD133, ALDH).</t>
  </si>
  <si>
    <t>Bretz, Niko P.; Salnikov, Alexei V.; Perne, Claudia; Keller, Sascha; Wang, Xiaoli; Mierke, Claudia T.; Fogel, Mina; Erbe-Hofmann, Natalie; Schlange, Thomas; Moldenhauer, Gerhard; Altevogt, Peter</t>
  </si>
  <si>
    <t>CD24 controls Src/STAT3 activity in human tumors</t>
  </si>
  <si>
    <t>Cellular and molecular life sciences: CMLS</t>
  </si>
  <si>
    <t>10.1007/s00018-012-1055-9</t>
  </si>
  <si>
    <t>CD24 is a glycosyl-phosphatidylinositol-anchored membrane protein that is frequently over-expressed in a variety of human carcinomas and is correlated with poor prognosis. In cancer cell lines, changes of CD24 expression can alter several cellular properties in vitro and tumor growth in vivo. However, little is known about how CD24 mediates these effects. Here we have analyzed the functional consequences of CD24 knock-down or over-expression in human cancer cell lines. Depletion of CD24 reduced cell proliferation and adhesion, enhanced apoptosis, and regulated the expression of various genes some of which were identified as STAT3 target genes. Loss of CD24 reduced STAT3 and FAK phosphorylation. Diminished STAT3 activity was confirmed by specific reporter assays. We found that reduced STAT3 activity after CD24 knock-down was accompanied by altered Src phosphorylation. Silencing of Src, similar to CD24, targeted the expression of prototype STAT3-regulated genes. Likewise, the over-expression of CD24 augmented Src-Y416 phosphorylation, the recruitment of Src into lipid rafts and the expression of STAT3-dependent target genes. An antibody to CD24 was effective in reducing tumor growth of A549 lung cancer and BxPC3 pancreatic cancer xenografts in mice. Antibody treatment affected the level of Src-phosphorylation in the tumor and altered the expression of STAT3 target genes. Our results provide evidence that CD24 regulates STAT3 and FAK activity and suggest an important role of Src in this process. Finally, the targeting of CD24 by antibodies could represent a novel route for tumor therapy.</t>
  </si>
  <si>
    <t>The study investigates CD24, a glycosyl-phosphatidylinositol-anchored membrane protein.</t>
  </si>
  <si>
    <t>Ramlau, Rodryg; Quoix, Elisabeth; Rolski, Janusz; Pless, Miklos; Lena, Herve; Lévy, Eric; Krzakowski, Maciej; Hess, Dagmar; Tartour, Eric; Chenard, Marie-Pierre; Limacher, Jean-Marc; Bizouarne, Nadine; Acres, Bruce; Halluard, Céline; Velu, Thierry</t>
  </si>
  <si>
    <t>A phase II study of Tg4010 (Mva-Muc1-Il2) in association with chemotherapy in patients with stage III/IV Non-small cell lung cancer</t>
  </si>
  <si>
    <t>10.1097/JTO.0b013e31817c6b4f</t>
  </si>
  <si>
    <t>BACKGROUND: TG4010 is a recombinant viral vector expressing both the tumor-associated antigen MUC1 and Interleukine-2. This vector is based on the modified virus of Ankara, a significantly attenuated strain of vaccinia virus. TG4010 has been designed to induce or amplify a cellular immune response directed against tumor cells expressing MUC1. METHODS: A multicenter, randomized phase II study has explored two schedules of the combination of TG4010 with first line chemotherapy in patients with stage IIIB/IV non-small cell lung cancer. In Arm 1, TG4010 was combined upfront with cisplatin (100 mg/m day 1) and vinorelbine (25 mg/m day 1 and day 8). In Arm 2, patients were treated with TG4010 monotherapy until disease progression, followed by TG4010 plus the same chemotherapy as in Arm1. Response rate was evaluated according to RECIST. Median time to progression and median overall survival were calculated according to the Kaplan-Meier method. RESULTS: Sixty-five patients were enrolled, 44 in Arm 1 and 21 in Arm 2, in accordance with the two stage Simon design of the statistical plan. In Arm 1, partial response was observed in 13 patients out of 37 evaluable patients (29.5% of the intent to treat population, 35.1% of the evaluable patients). In Arm 2, two patients experienced stable disease for more than 6 months with TG4010 alone (up to 211 days), in the subsequent combination with chemotherapy, one complete and one partial response were observed out of 14 evaluable patients. Arm 2 did not meet the criteria for moving forward to second stage. The median time to progression was 4.8 months for Arm 1. The median overall survival was 12.7 months for Arm 1 and 14.9 for Arm 2. One year survival rate was 53% for Arm 1 and 60% for Arm 2. TG4010 was well tolerated, mild to moderate injection site reactions, flu-like symptoms, and fatigue being the most frequent adverse reactions. A MUC1-specific cellular immune response was observed in lymphocyte samples from all responding patients evaluable for immunology. CONCLUSIONS: The combination of TG4010 with standard chemotherapy in advanced non-small cell lung cancer is feasible and shows encouraging results. A randomized study evaluating the addition of TG4010 to first line chemotherapy in this population is in progress.</t>
  </si>
  <si>
    <t>the study focused on a shared tumor-associated antigen (TAA) rather than mutation-derived neoantigens</t>
  </si>
  <si>
    <t>Zhang, Wang; Pal, Sumanta K.; Liu, Xueli; Yang, Chunmei; Allahabadi, Sachin; Bhanji, Shaira; Figlin, Robert A.; Yu, Hua; Reckamp, Karen L.</t>
  </si>
  <si>
    <t>Myeloid clusters are associated with a pro-metastatic environment and poor prognosis in smoking-related early stage non-small cell lung cancer</t>
  </si>
  <si>
    <t>10.1371/journal.pone.0065121</t>
  </si>
  <si>
    <t>BACKGROUND: This study aimed to understand the role of myeloid cell clusters in uninvolved regional lymph nodes from early stage non-small cell lung cancer patients. METHODS: Uninvolved regional lymph node sections from 67 patients with stage I-III resected non-small cell lung cancer were immunostained to detect myeloid clusters, STAT3 activity and occult metastasis. Anthracosis intensity, myeloid cluster infiltration associated with anthracosis and pSTAT3 level were scored and correlated with patient survival. Multivariate Cox regression analysis was performed with prognostic variables. Human macrophages were used for in vitro nicotine treatment. RESULTS: CD68+ myeloid clusters associated with anthracosis and with an immunosuppressive and metastasis-promoting phenotype and elevated overall STAT3 activity were observed in uninvolved lymph nodes. In patients with a smoking history, myeloid cluster score significantly correlated with anthracosis intensity and pSTAT3 level (P&lt;0.01). Nicotine activated STAT3 in macrophages in long-term culture. CD68+ myeloid clusters correlated and colocalized with occult metastasis. Myeloid cluster score was an independent prognostic factor (P = 0.049) and was associated with survival by Kaplan-Maier estimate in patients with a history of smoking (P = 0.055). The combination of myeloid cluster score with either lymph node stage or pSTAT3 level defined two populations with a significant difference in survival (P = 0.024 and P = 0.004, respectively). CONCLUSIONS: Myeloid clusters facilitate a pro-metastatic microenvironment in uninvolved regional lymph nodes and associate with occult metastasis in early stage non-small cell lung cancer. Myeloid cluster score is an independent prognostic factor for survival in patients with a history of smoking, and may present a novel method to inform therapy choices in the adjuvant setting. Further validation studies are warranted.</t>
  </si>
  <si>
    <t>The study investigates CD68+ myeloid clusters, anthracosis (carbon pigment), and STAT3 signaling</t>
  </si>
  <si>
    <t>Singh, Ajay N.; McGuire, Michael J.; Li, Shunzi; Hao, Guiyang; Kumar, Amit; Sun, Xiankai; Brown, Kathlynn C.</t>
  </si>
  <si>
    <t>Dimerization of a phage-display selected peptide for imaging of αvβ6- integrin: two approaches to the multivalent effect</t>
  </si>
  <si>
    <t>Theranostics</t>
  </si>
  <si>
    <t>10.7150/thno.7811</t>
  </si>
  <si>
    <t>The integrin αvβ6 is an emerging biomarker for non-small cell lung cancer (NSCLC). An αvβ6-binding peptide was previously selected from a phage-displayed peptide library. Here, we utilize a multivalent design to develop a peptidic probe for positron emission tomography (PET) imaging of αvβ6+ NSCLC tumors. Multimeric presentation of this peptide, RGDLATLRQL, on a bifunctional copper chelator was achieved using two approaches: dimerization of the peptide followed by conjugation to the chelator (H2-D10) and direct presentation of two copies of the peptide on the chelator scaffold (H2-(M10)2). Binding affinities of the divalent peptide conjugates are four-fold higher than their monovalent counterpart (H2-M10), suggestive of multivalent binding. PET imaging using the bivalent 64Cu-labeled conjugates showed rapid and persistent accumulation in αvβ6+ tumors. By contrast, no significant accumulation was observed in αvβ6- tumors. Irrespective of the dimerization approach, all divalent probes showed three-fold higher tumor uptake than the monovalent probe, indicating the role of valency in signal enhancement. However, the divalent probes have elevated uptake in non-target organs, especially the kidneys. To abrogate nonspecific uptake, the peptide's N-terminus was acetylated. The resultant bivalent probe, 64Cu- AcD10, showed drastic decrease of kidney accumulation while maintaining tumor uptake. In conclusion, we developed an αvβ6-integrin specific probe with optimized biodistribution for noninvasive PET imaging of NSCLC. Further, we have demonstrated that use of multivalent scaffolds is a plausible method to improve library selected peptides, which would be suboptimal or useless otherwise, for imaging probe development.</t>
  </si>
  <si>
    <t>The study focuses on CD68+ myeloid clusters and anthracosis (carbon pigment) rather than mutation-derived neoantigens.</t>
  </si>
  <si>
    <t>Yang-Chun, Feng; Min, Feng; Di, Zhang; Yan-Chun, Huang</t>
  </si>
  <si>
    <t>Retrospective Study to Determine Diagnostic Utility of 6 Commonly Used Lung Cancer Biomarkers Among Han and Uygur Population in Xinjiang Uygur Autonomous Region of People's Republic of China</t>
  </si>
  <si>
    <t>10.1097/MD.0000000000003568</t>
  </si>
  <si>
    <t>Early diagnosis was the main way to improve the survival rate of lung cancer patients. At present, the methods to diagnose lung cancer were varied, but early diagnosis of lung cancer was still difficult. In experimental and clinical studies, lung cancer related tumor markers were helpful to the early diagnosis of lung cancer. So far, there were many studies about lung cancer related tumor markers in China, but the subjects in these studies were almost the Han population. There were few studies about the Uygur population. Xinjiang was a multi-ethnic region in China, the ratios of Han and Uygur population were 40% and 45%, respectively. Xinjiang also was a high incidence area of lung cancer in China. The purpose of this study was to research the application of 6 tumor markers in Uygur and Han lung cancer patients in XinJiang, China.The study collected 342 cases who were diagnosed as lung cancer in Tumor Hospital Affiliated to XinJiang Medical University from May 2012 to December 2012. Serum concentrations of squamous cell carcinoma (SCC), cytokeratin fragment 19 (CYFRA21-1), carcino-embryonic antigen (CEA), carbohydrate antigen 125 (CA125), precursor of gastrin-releasing peptide (Pro-GRP), and neuron-specific enolase (NSE) were tested for every patient before radiation, chemotherapy, or surgery. The serum concentrations of SCC, CYFRA21-1, CEA, CA125, and Pro-GRP were assayed using the micro-particle luminescence analysis testing by the Abbott ARHCITECT i2000SR immunoanalyzer. NSE was assayed by the electrochemical luminescence analysis testing using Roche Cobas E601 electrochemical luminescence analyzer.Serum levels of SCC were different between 2 ethnic populations, smoking should be the influence factor to create the difference. Cluster analysis showed that the NSE and Pro-GRP were helpful to identify small cell lung cancer (SCLC), and CEA, CA125, SCC, CYFRA21-1 were beneficial to diagnose non-small cell lung cancer (NSCLC). The compare of diagnosis value about serum tumor markers also proved the result of cluster analysis. No matter SCLC or NSCLC, the positives rate of all tumor markers were increasing as clinical stage advancing. Pro-GRP had higher positive rate than NSE in limited stage of SCLC. CA125 had the highest positive rate in I and II stage of NSCLC, and CYFRA21-1 had the highest positive rate in III and IV stage of NSCLC. CEA and CA125 were beneficial to diagnose adenocarcinoma, CYFRA21-1, and SCC identified squamous cell cancer better.Only SCC level was higher in Han population than Uygur population because of the differences of smoking constituent ratio between 2 populations. So, it could be unified to research the application value of the 6 indicators for the Han and Uygur population. Then, we suggested a primary diagnostic utility of 6 commonly by lung cancer biomarkers in both the Han and Uygur populations in Xinjiang Uygur Autonomous Region of People's Republic of China.</t>
  </si>
  <si>
    <t>The study investigates a panel of 6 traditional serum tumor markers: SCC, CYFRA21-1, CEA, CA125, Pro-GRP, and NSE.</t>
  </si>
  <si>
    <t>Yang, Da-Wei; Zhang, Yong; Hong, Qun-Ying; Hu, Jie; Li, Chun; Pan, Bai-Shen; Wang, Qun; Ding, Fei-Hong; Ou, Jia-Xian; Liu, Fang-Lei; Zhang, Dan; Zhou, Jie-Bai; Song, Yuan-Lin; Bai, Chun-Xue</t>
  </si>
  <si>
    <t>Role of a serum-based biomarker panel in the early diagnosis of lung cancer for a cohort of high-risk patients</t>
  </si>
  <si>
    <t>10.1002/cncr.29551</t>
  </si>
  <si>
    <t>BACKGROUND: This study applied a combined cancer biomarker panel to clinically identify small cell lung cancer (SCLC) and non-small cell lung cancer (NSCLC) in a high-risk population. METHODS: The serum levels of 4 biomarkers (progastrin-releasing peptide [ProGRP], carcinoembryonic antigen [CEA], squamous cell carcinoma antigen [SCC], and cytokeratin 19 fragment [CYFRA21-1]) were determined in 153 patients with a high risk of lung cancer (12 with a new diagnosis of SCLC, 52 with NSCLC, and 89 without lung cancer). Information about diagnosis delays was collected through interviews of all participants. RESULTS: Significantly higher serum levels of ProGRP (P &lt; .0001) were found among the SCLC patients versus the rest of the population. A receiver operating characteristic curve analysis established the cutoff values of ProGRP, CEA, SCC, and CYFRA21-1 as 300 pg/mL, 7.3 ng/mL, 3 ng/mL, and 6.5 ng/mL, respectively. The sensitivity and specificity of ProGRP in diagnosing SCLC were 75% and 100%, respectively. Among the 14 lung cancer patients with a false-negative computed tomography (CT) result, the diagnostic panel detected 8 additional cancers. CONCLUSIONS: This panel increased the diagnostic specificity for high-risk subjects (those with renal failure being excluded), and auxiliary to a CT scan, it increased the sensitivity for patients with lung cancer. These results might be applied to shorten the diagnosis delay at health care institutions in China.</t>
  </si>
  <si>
    <t>This study by Wang et al. evaluated a four-biomarker panel (ProGRP, CEA, SCC, and CYFRA21-1) for identifying SCLC and NSCLC in high-risk patients, demonstrating high specificity for ProGRP in SCLC diagnosis</t>
  </si>
  <si>
    <t>Hur, Jin; Lee, Hye-Jeong; Nam, Ji Eun; Kim, Young Jin; Hong, Yoo Jin; Kim, Hee Yeong; Kim, Se Kyu; Chang, Joon; Kim, Joo-Hang; Chung, Kyung Young; Lee, Hye Sun; Choi, Byoung Wook</t>
  </si>
  <si>
    <t>Additional diagnostic value of tumor markers in cytological fluid for diagnosis of non-small-cell lung cancer</t>
  </si>
  <si>
    <t>10.1186/1471-2407-12-392</t>
  </si>
  <si>
    <t>BACKGROUND: Cytological fluid from a needle aspiration biopsy (NAB) is obtained directly from tumor tissue, therefore many biomarker candidates will be present in high concentrations. The aim of this study was to prospectively assess and validate the tumor markers CYFRA 21-1, CEA, and SCC in cytological fluid obtained from NAB samples to determine if they improved the performance of NAB for diagnosing non-small cell lung cancer (NSCLC). METHODS: A total of 194 patients (M:F = 128:66, mean age 63.7 years) with suspected malignant pulmonary lesions were prospectively enrolled and underwent percutaneous NAB. Levels of CYFRA 21-1, CEA, and SCC were measured by immunoassay in serum and cytological fluid obtained during aspiration biopsy. Cut-off values to determined malignancy were 3.3 ng/mL in serum and 15.7 ng/mL in cytological fluid for CYFRA 21-1, 5 ng/mL and 0.6 ng/mL for CEA, and 2 ng/mL and 0.86 ng/mL for SCC. RESULTS: Of 194 patients, 139 patients (71.6%) had NSCLC and 55 (28.4%) had benign lesions. Sensitivity increased significantly for NAB combined with cytological tumor markers compared with NAB alone (CYFRA 21-1: 95% versus 83.5%, p &lt; 0.001, CEA: 92.1% versus 83.5%, p = 0.002, SCC: 91.4% versus 83.5%, p = 0.003). Accuracy improved significantly for NAB combined with cytological CYFRA 21-1 compared with NAB alone (95.9% versus 88.1%, p &lt; 0.001). The area under curve (AUC) of NAB with cytological CYFRA 21-1 was significantly larger than for NAB alone (0.966 versus 0.917, p = 0.009). CONCLUSION: Of the tested tumor markers, cytological fluid measurements of CYFRA 21-1 improved the diagnostic performance of NAB for NSCLC.</t>
  </si>
  <si>
    <t>Targets wild-type diagnostic markers (CEA, SCC, etc.), not neoantigens.</t>
  </si>
  <si>
    <t>Zhu, Xiaohua; Li, Jinbo; Hong, Yeongjin; Kimura, Richard H.; Ma, Xiaowei; Liu, Hongguang; Qin, Chunxia; Hu, Xiang; Hayes, Thomas R.; Benny, Paul; Gambhir, Sanjiv Sam; Cheng, Zhen</t>
  </si>
  <si>
    <t>99mTc-labeled cystine knot peptide targeting integrin αvβ6 for tumor SPECT imaging</t>
  </si>
  <si>
    <t>10.1021/mp400683q</t>
  </si>
  <si>
    <t>Integrin αvβ6 is overexpressed in a variety of cancers, and its expression is often associated with poor prognosis. Therefore, there is a need to develop affinity reagents for noninvasive imaging of integrin αvβ6 expression since it may provide early cancer diagnosis, more accurate prognosis, and better treatment planning. We recently engineered and validated highly stable cystine knot peptides that selectively bind integrin αvβ6 with no cross-reactivity to integrins αvβ5, α5β1, or αvβ3, also known to be overexpressed in many cancers. Here, we developed a single photon emission computed tomography (SPECT) probe for imaging integrin αvβ6 positive tumors. Cystine knot peptide, S02, was first conjugated with a single amino acid chelate (SAAC) and labeled with [(99m)Tc(H2O)3(CO)3](+). The resulting probe, (99m)Tc-SAAC-S02, was then evaluated by in vitro cell uptake studies using two αvβ6 positive cell lines (human lung adenocarcinoma cell line HCC4006 and pancreatic cancer cell line BxPC-3) and two αvβ6 negative cell lines (human lung adenocarcinoma cell line H838 and human embryonic kidney cell line 293T). Next, SPECT/CT and biodistribution studies were performed in nude mice bearing HCC4006 and H838 tumor xenografts to evaluate the in vivo performance of (99m)Tc-SAAC-S02. Significant differences in the uptake of (99m)Tc-SAAC-S02 were observed in αvβ6 positive vs negative cells (P &lt; 0.05). Biodistribution and small animal SPECT/CT studies revealed that (99m)Tc-SAAC-S02 accumulated to moderate levels in antigen positive tumors (∼2% ID/g at 1 and 6 h postinjection, n = 3 or 4/group). Moreover, the probe demonstrated tumor-to-background tissue ratios of 6.81 ± 2.32 (tumor-to-muscle) and 1.63 ± 0.18 (tumor-to-blood) at 6 h postinjection in αvβ6 positive tumor xenografts. Co-incubation of the probe with excess amount of unlabeled S02 as a blocking agent demonstrated significantly reduced tumor uptake, which is consistent with specific binding to the target. Renal filtration was the main route of clearance. In conclusion, knottin peptides are excellent scaffolds for which to develop highly stable imaging probes for a variety of oncological targets. (99m)Tc-SAAC-S02 demonstrates promise for use as a SPECT agent to image integrin αvβ6 expression in living systems.</t>
  </si>
  <si>
    <t>Targets wild-type Integrin αvβ6 (TAA), not neoantigens.</t>
  </si>
  <si>
    <t>Zhao, Wei; Yu, Haixiang; Han, Zhifeng; Gao, Nan; Xue, Jinru; Wang, Yan</t>
  </si>
  <si>
    <t>Clinical significance of joint detection of serum CEA, SCCA, and bFGF in the diagnosis of lung cancer</t>
  </si>
  <si>
    <t>Lung cancer is a type of malignant tumor with highest morbidity and mortality. This study tested three tumor marker levels including CEA, SCCA, and bFGF to explore their value in lung cancer diagnosis and pathological type judgment. Venous blood was extracted from lung cancer patients, lung benign lesion patients and healthy control. Electrochemiluminescence immunoassay was applied to detect serum CEA and SCCA content. ELISA was used to test serum bFGF level. Serum CEA, SCCA, and bFGF levels and positive rates were significantly higher in lung cancer group than that of lung benign disease group and health control (P &lt; 0.05). bFGF showed higher detection sensitivity than CEA in lung cancer (P &lt; 0.05). Three joint detection sensitivity was higher than single test (P &lt; 0.05), while its specificity was lower (P &lt; 0.05), and the accuracy presented no significant difference. Serum CEA and SCCA levels and positive rates were obviously higher in non-small cell lung cancer patients when compared with small cell lung cancer patients (P &lt; 0.05), while bFGF level was similar between small cell lung cancer and non-small cell lung cancer. bFGF showed higher detection rate than SCCA in small cell lung cancer (P &lt; 0.05). Three joint detection exhibited higher positive rate in small cell lung cancer and non-small lung cancer than single test. Serum CEA, SCCA and bFGF joint detection improved detection sensitivity in lung cancer and had important reference value for pathological type deduction.</t>
  </si>
  <si>
    <t>The study investigates a panel of standard serum markers: CEA (Carcinoembryonic Antigen), SCCA (Squamous Cell Carcinoma Antigen), and bFGF (Basic Fibroblast Growth Factor).</t>
  </si>
  <si>
    <t>Baba, Tetsuro; Hanagiri, Takeshi; Takenoyama, Mitsuhiro; Shiota, Hironobu; Kuroda, Koji; Shigematsu, Yoshiki; Ichiki, Yoshinobu; Uramoto, Hidetaka; So, Tomoko; Yasumoto, Kosei</t>
  </si>
  <si>
    <t>Identification of a lung cancer antigen evading CTL attack due to loss of human leukocyte antigen (HLA) class I expression</t>
  </si>
  <si>
    <t>10.1111/j.1349-7006.2010.01659.x</t>
  </si>
  <si>
    <t>The human lung cancer cell line, C831L, lost HLA class I expression due to a mutation of the β2-microglobulin (β2m) gene, and it may have been the result of immunoediting by CTL cytotoxicity. By restoration of HLA class I expression, we could identify the antigen that may be associated with HLA downregulation. Such an antigen might be a promising target of immunotherapy because it potentially may induce a sufficient immune response to eradicate cancer cells. The CTL clone could be established from lymph node lymphocytes in patient C831 by stimulation with wild-type β2m-transduced C831L (C831L-wβ2m). The CTL clone showed reactivity against C831L-wβ2m in a HLA-B*0702-restricted manner, but not Parental-C831L or autologous normal cells. The cDNA expression cloning method was used to identify the antigen coding gene recognized by the CTL clone. The cDNA clone exhibited a homology with a part of the mRNA that codes for leucine rich repeat containing eight family member A (LRRC8A). A transfection analysis of minigenes indicated that the antigen peptide was derived from protein translated from the downstream of the registered open reading frame in LRRC8A mRNA. The antigenic 9-mer peptide (GPRESRPPA) was identified. The present methodology should be useful to find the crucial tumor antigens, which are potentially associated with loss of HLA expression. Furthermore, such an antigen may help in achieving a better understanding of the immunological escape mechanisms and it may also provide a favorable immune response in cancer immunotherapy.</t>
  </si>
  <si>
    <t>Smith, S. L.; Bowers, N. L.; Betticher, D. C.; Gautschi, O.; Ratschiller, D.; Hoban, P. R.; Booton, R.; Santibáñez-Koref, M. F.; Heighway, J.</t>
  </si>
  <si>
    <t>Overexpression of aurora B kinase (AURKB) in primary non-small cell lung carcinoma is frequent, generally driven from one allele, and correlates with the level of genetic instability</t>
  </si>
  <si>
    <t>10.1038/sj.bjc.6602779</t>
  </si>
  <si>
    <t>Aurora kinases are key regulators of chromosome segregation during mitosis. We have previously shown by microarray analysis of primary lung carcinomas and matched normal tissue that AURKB (22 out of 37) and AURKA (15 out of 37) transcripts are frequently over-represented in these tumours. We now confirm these observations in a second series of 44 carcinomas and also show that aurora B kinase protein levels are raised in the tumours compared to normal tissue. Elevated levels of expression in tumours are not a consequence of high-level amplification of the AURKB gene. Using a coding sequence polymorphism we show that in most cases (seven out of nine) tumour expression is predominantly driven from one AURKB allele. Given the function of aurora B kinase, we examined whether there was an association between expression levels and genetic instability. We defined two groups of high and low AURKB expression. Using a panel of 10 microsatellite markers, we found that the group showing the higher level of expression had a higher frequency of allelic imbalance (P=0.0012). Analysis of a number of other genes that are strongly and specifically expressed in tumour over normal lung, including SERPINB5, TERT and PRAME, showed marked allelic expression imbalances in the tumour tissue in the context of balanced or only marginally imbalanced relative allelic copy numbers. Our data support a model of early carcinogenesis wherein defects in the process of inactivation of lung stem-cell associated genes during differentiation, contributes to the development of carcinogenesis.</t>
  </si>
  <si>
    <t xml:space="preserve"> The study investigates Aurora Kinase B (AURKB), AURKA, TERT, and PRAME.</t>
  </si>
  <si>
    <t>Chai, Yurong; Liu, Xinxin; Dai, Liping; Li, Yang; Liu, Mei; Zhang, Jian-Ying</t>
  </si>
  <si>
    <t>Overexpression of HCC1/CAPERα may play a role in lung cancer carcinogenesis</t>
  </si>
  <si>
    <t>10.1007/s13277-014-1819-y</t>
  </si>
  <si>
    <t>HCC1/CAPERα is considered to be a novel human tumor-associated antigen, and the tumor-specific immunity of HCC1/CAPERα has been reported in several types of cancer. However, there was very limited evidence indicating its function in tumorigenesis. In the present study, to elucidate the roles and underlying molecular mechanism of HCC1/CAPERα in lung cancer, we examined the expression of HCC1/CAPERα in human non-small cell lung cancer (NSCLC) cell line and NSCLC tissue microarray (TMA). Immunohistochemistry with TMA was performed to detect HCC1/CAPERα expression in NSCLC and adjacent lung tissues. NSCLC cell line constitutively transfected by pcDNA3.1-HCC1/CAPERα, and empty pcDNA3.1 vector were used. These cells were analyzed by Western blot, MTT, immunofluorescence, wound healing assay, and transwell assays. It was found that HCC1/CAPERα was mainly localized in the nucleus of the lung cancer cells and overexpression of HCC1/CAPERα may promote lung cancer cells proliferation and increase cells migration. The frequency of HCC1/CAPERα expression in NSCLC tissues was significantly higher than that in adjacent and normal tissues (P &lt; 0.01). Our data suggest that overexpression of HCC1/CAPERα may increase the proliferation and migration of NSCLC cells, and HCC1/CAPERα could be a promising biomarker for lung cancer.</t>
  </si>
  <si>
    <t>The text explicitly identifies it as a Tumor-Associated Antigen (TAA)—a wild-type (self) protein that is overexpressed in cancer.</t>
  </si>
  <si>
    <t>Wurz, Gregory T.; Gutierrez, Audrey M.; Greenberg, Brittany E.; Vang, Daniel P.; Griffey, Stephen M.; Kao, Chiao-Jung; Wolf, Michael; DeGregorio, Michael W.</t>
  </si>
  <si>
    <t>Antitumor effects of L-BLP25 antigen-specific tumor immunotherapy in a novel human MUC1 transgenic lung cancer mouse model</t>
  </si>
  <si>
    <t>10.1186/1479-5876-11-64</t>
  </si>
  <si>
    <t>BACKGROUND: L-BLP25 antigen-specific cancer immunotherapeutic agent is currently in phase III clinical trials for non-small cell lung cancer. Using a novel human MUC1 transgenic (hMUC1.Tg) lung cancer mouse model, we evaluated effects of L-BLP25 combined with low-dose cyclophosphamide (CPA) pretreatment on Th1/Th2 cytokine production and antitumor activity. METHODS: A chemically-induced lung tumor model was developed in hMUC1.Tg C57BL/6 mice by administering 10 weekly 0.75-mg/g doses of the chemical carcinogen urethane by intraperitoneal injection. Serum cytokines associated with Th1/Th2 polarization and inflammation were measured by multiplex cytokine assay during tumorigenesis. Antitumor activity of L-BLP25 (10 μg) with CPA (100 mg/kg) pretreatment was evaluated following either one or two eight-week cycles of treatment by preparing lung whole mounts and counting tumor foci, and assessing IFN-γ production by ELISpot assay. RESULTS: During the carcinogenesis phase, no detectable Th1- or Th2-associated cytokine responses were observed, but levels of pro-inflammatory cytokines were increased with distinctive kinetics. A single cycle of L-BLP25 consisting of eight weekly doses was ineffective, whereas adding a second cycle given during tumor progression showed a significant reduction in the incidence of tumor foci. Administering two cycles of L-BLP25 induced Th1 cytokines IL-12, IL-2 and IFNγ at 24 h after the last dose, while Th2 and inflammatory cytokines were elevated to a lesser extent. CONCLUSIONS: Urethane-induced lung tumors in hMUC1.Tg mice can be used as a model to assess the efficacy of the MUC1 antigen-specific cancer immunotherapeutic agent L-BLP25. The results indicate that the antitumor response to L-BLP25 requires at least two cycles and pre-treatment with CPA. In addition, monitoring pro-inflammatory serum cytokines may be useful as a biomarker of L-BLP25 response. Taken together, the preclinical lung tumor model can be utilized for determining effective combinations of L-BLP25 with chemotherapy and/or other immunotherapies.</t>
  </si>
  <si>
    <t xml:space="preserve">The study highlights the requirement for multiple treatment cycles and identifies pro-inflammatory cytokines as potential biomarkers, though it focuses on a wild-type MUC1 protein rather than mutated neoantigens </t>
  </si>
  <si>
    <t>Moro, Massimo; Bertolini, Giulia; Pastorino, Ugo; Roz, Luca; Sozzi, Gabriella</t>
  </si>
  <si>
    <t>Combination Treatment with All-Trans Retinoic Acid Prevents Cisplatin-Induced Enrichment of CD133+ Tumor-Initiating Cells and Reveals Heterogeneity of Cancer Stem Cell Compartment in Lung Cancer</t>
  </si>
  <si>
    <t>10.1097/JTO.0000000000000563</t>
  </si>
  <si>
    <t>The existence of specific cellular subpopulations within primary tumors with increased tumorigenic potential and chemotherapy resistance (tumor-initiating cells, TICs) holds great therapeutic implications. Resistant cells can remain quiescent for long periods and be responsible for local relapses and metastasis. We and others have previously described in non-small-cell lung cancer the presence of cisplatin-resistant CD133⁺ cells with tumor-initiating potential and co-expression of CXCR4 as possible indicator of TICs with disseminating potential. In this study, we report, by in vitro cell fate tracing systems, heterogeneity within the TIC compartment with a highly quiescent pool and a slowly dividing subpopulation, both containing CD133⁺ cells but respectively enriched for CD133⁺/CXCR4⁻ and CD133⁺/CXCR4⁺ cells. Pretreatment with differentiating agent all-trans retinoic acid counteracts cisplatin resistance specifically of the slowly dividing compartment indicating effect on CD133⁺/CXCR4⁺ cells. The same effects are appreciable also in vivo in patient-derived xenografts, where several cycles of all-trans retinoic acid and cisplatin treatment are able to stably reduce this fraction of TICs and tumor dissemination. Thus, partially affecting the heterogeneous TICs compartment, differentiating therapy has promising effects in counteracting cisplatin resistance of CD133⁺ cells, reducing both local tumor growth and dissemination. In addition, our approach discloses a further level of complexity of chemotherapy-resistant CD133⁺ TICs, revealing phenotypical and functional heterogeneity of the cancer stem cell compartment in lung cancer.</t>
  </si>
  <si>
    <t>The study investigates Tumor-Initiating Cells (TICs) characterized by the expression of CD133 and CXCR4.</t>
  </si>
  <si>
    <t>Dohm, Ammoren; Su, Jing; McTyre, Emory R.; Taylor, James M.; Miller, Lance D.; Petty, W. Jeffrey; Xing, Fei; Lo, Hui-Wen; Metheny-Barlow, Linda J.; O'Neill, Stacey; Bellinger, Christina; Dotson, Travis; Pasche, Boris; Watabe, Kounosuke; Chan, Michael D.; Ruiz, Jimmy</t>
  </si>
  <si>
    <t>Identification of CD37, cystatin A, and IL-23A gene expression in association with brain metastasis: analysis of a prospective trial</t>
  </si>
  <si>
    <t>10.1177/1724600818803104</t>
  </si>
  <si>
    <t>PURPOSE/OBJECTIVES: We aimed to assess the predictive value of a lung cancer gene panel for the development of brain metastases. MATERIALS/METHODS: Between 2011 and 2015, 102 patients with lung cancer were prospectively enrolled in a clinical trial in which a diagnostic fine-needle aspirate was obtained. Gene expression was conducted on all samples that rendered a diagnosis of non-small cell lung cancer (NSCLC). Subsequent retrospective analysis of brain metastases-related outcomes was performed by reviewing patient electronic medical records. A competing risk multivariable regression was performed to estimate the adjusted hazard ratio for the development of brain metastases and non-brain metastases from NSCLC. RESULTS: A total of 49 of 102 patients had died by the last follow-up. Median time of follow-up was 13 months (range 0.23-67 months). A total of 17 patients developed brain metastases. Median survival time after diagnosis of brain metastases was 3.58 months (95% confidence interval (CI) 2.17, not available). A total of 30 patients developed metastases without any evidence of brain metastases until the time of death or last follow-up. Competing risk analysis identified three genes that were downregulated differentially in the patients with brain metastases versus non-brain metastatic disease: CD37 (0.017), cystatin A (0.022), and IL-23A (0.027). Other factors associated with brain metastases include: stage T ( P ⩽ 8.3e-6) and stage N ( P= 6.8e-4). CONCLUSIONS: We have identified three genes, CD37, cystatin A, and IL-23A, for which downregulation of gene expression was associated with a greater propensity for developing brain metastases. Validation of these biomarkers could have implications on surveillance patterns in patients with brain metastases from NSCLC.</t>
  </si>
  <si>
    <t>it focuses on the downregulation of wild-type genes (CD37, cystatin A, IL-23A) to predict brain metastases, rather than identifying somatic mutation-derived neoantigens</t>
  </si>
  <si>
    <t>Vural, Burcak; Chen, Lin-Chi; Saip, Pinar; Chen, Yao-Tseng; Ustuner, Zeki; Gonen, Mithat; Simpson, Andrew J. G.; Old, Lloyd J.; Ozbek, Ugur; Gure, Ali O.</t>
  </si>
  <si>
    <t>Frequency of SOX Group B (SOX1, 2, 3) and ZIC2 antibodies in Turkish patients with small cell lung carcinoma and their correlation with clinical parameters</t>
  </si>
  <si>
    <t>10.1002/cncr.21088</t>
  </si>
  <si>
    <t>BACKGROUND: Expression of neuroectodermal markers is a key feature of small cell lung carcinoma (SCLC). Although immune responses against a number of these proteins have been associated with paraneoplastic neuronal disease (PND), most patients with SCLC have anti-neuroectodermal antibodies in the absence of PND. Whether these immune responses affect the clinical outcome in SCLC is critical in understanding the potential value of these proteins as cancer vaccine targets as well as in the pathogenesis of PND. METHODS: The authors investigated the frequency of immunoglobulin G autoantibodies against Sry-like high-mobility group box (SOX)1, 2, 3 and Zinc-finger gene of the cerebellum (ZIC)2 proteins in stored serum samples from 90 patients utilizing the lambda-phage plaque assay. Data obtained from patient records were utilized to measure clinical correlates of seroreactivity. RESULTS: Antibodies to SOX1 were present in 28% of patients and another 28% had anti-ZIC2 antibodies, classifying these as some of the most frequent antibody responses observed in SCLC. None had autoimmune paraneoplastic disease. Antibody titers were frequently as high as &gt; or = 1:10(6) and were stable for &lt; or = 6 months after diagnosis. Seroreactivity against either SOX1 or ZIC2 correlated with younger age, lower lactate dehydrogenase levels, and better response to initial therapy. CONCLUSIONS: The frequent and stable presence of SOX Group B and/or ZIC2 antibodies in SCLC, but not in healthy individuals examined, indicates they are serological markers of SCLC. However, the correlation between known clinical parameters of less aggressive disease and seroreactivity suggests that these antibodies are indicators of better prognosis in SCLC and warrants further studies to clarify the nature of the underlying immune responses.</t>
  </si>
  <si>
    <t>The study focus is exclusively on Small-Cell Lung Carcinoma</t>
  </si>
  <si>
    <t>St Hill, Catherine A.; Krieser, Katherine; Farooqui, Mariya</t>
  </si>
  <si>
    <t>Neutrophil interactions with sialyl Lewis X on human nonsmall cell lung carcinoma cells regulate invasive behavior</t>
  </si>
  <si>
    <t>10.1002/cncr.26059</t>
  </si>
  <si>
    <t>BACKGROUND: The carbohydrate sialyl Lewis X (sLeX) is expressed on leukocytes and carcinoma cells and binds to selectins during inflammatory processes and early metastasis. Synthesis of sLeX depends on activity of enzymes, including α(1,3/1,4) fucosyltransferase (FucT-III). Tumor necrosis factor-α (TNF-α) up-regulates FucT-III, resulting in increased sLeX in the airways of patients with respiratory disease; however, the mechanisms that regulate sLeX in the inflammatory tumor microenvironment are not well understood. METHODS: The authors stably transfected human lung carcinoma cell lines with the FucT-III gene and exposed them to TNF-α to investigate its role in regulation of sLeX expression and selectin-binding ability using semiquantitative real-time polymerase chain reaction and flow cytometry. Cytokine expression was examined in transfected cells using chemiluminescent arrays and enzyme-linked immunosorbent assays, and invasion was studied using Matrigel assays and alterations in morphology. Human lung tissue arrays were analyzed for immunohistochemical detection of sLeX and neutrophils. RESULTS: Stimulation of FucT-III-transfected cells with recombinant human (rh) TNF-α up-regulated sLeX expression and increased E-selectin binding. Transfected cells secreted high levels of interleukin 8, growth-regulated oncogene-α, and mast cell proteinase-1. Cells exposed to rhTNF-α, neutrophil-conditioned media, and cultures with a 5:1 ratio of neutrophils to cancer cells had significantly increased sLeX expression and invasiveness and underwent nonadherent morphologic changes. In lung carcinomas, but not in normal lung tissues, 71% of tumors were highly positive for sLeX expression in areas of increased neutrophil infiltration. CONCLUSIONS: The current results indicated that neutrophils may be recruited to areas of FucT-III activity and sLeX expression in lung carcinomas to enhance the invasive and metastatic potential of lung cancer cells.</t>
  </si>
  <si>
    <t xml:space="preserve"> it focuses on a wild-type carbohydrate modification rather than mutation-derived neoantigens</t>
  </si>
  <si>
    <t>Muley, Thomas; Dienemann, Hendrik; Herth, Felix J. F.; Thomas, Michael; Meister, Michael; Schneider, Joachim</t>
  </si>
  <si>
    <t>Combination of mesothelin and CEA significantly improves the differentiation between malignant pleural mesothelioma, benign asbestos disease, and lung cancer</t>
  </si>
  <si>
    <t>10.1097/JTO.0b013e31828f696b</t>
  </si>
  <si>
    <t>INTRODUCTION: Soluble mesothelin-related peptides (SMRP) have been reported as potential markers for the diagnosis of malignant pleural mesothelioma (MPM). We wondered, whether a combination with a carcinoembryonic antigen (CEA) test might improve the relatively low diagnostic yield of the SMRP test. METHODS: In a retrospective study, SMRP (mesothelin) and CEA serum concentrations were measured, using commercially available kits, in 93 previously untreated MPM patients, 75 patients with benign asbestos disease, and 139 patients suffering from lung cancer (LC). RESULTS: The differentiation between MPM, LC, and benign asbestos disease could be improved by applying the ratio mesothelin/CEA. Whereas CEA expression was found to be low in MPM, most LC patients had elevated CEA serum levels. The area under curve (AUC) of the receiver operator characteristics curve for mesothelin alone was found to be only 0.708. For mesothelin/CEA the AUC of the receiver operator characteristics curve increased to 0.978. The sensitivity was 93% (69%) at 95% (100%) specificity for the differentiation between MPM and LC. Comparison of MPM and benign asbestos disease showed that the AUC was 0.887 and the sensitivity 56% (47%) at 95% (100%) specificity. In contrast, the AUC for the mesothelin test alone was only 0.715, and for the CEA test alone it was 0.16. An average increment in sensitivity of 38% (range, 16%-63%) could be achieved by the quotient mesothelin/CEA compared with the sensitivity of mesothelin alone. CONCLUSION: The diagnostic yield of the mesothelin test can be considerably improved when combined with a CEA test with regard to the differential diagnosis between MPM and LC and between MPM and benign asbestos disease.</t>
  </si>
  <si>
    <t>The study investigates Soluble Mesothelin-Related Peptides (SMRP) and Carcinoembryonic Antigen (CEA)</t>
  </si>
  <si>
    <t>Laza-Briviesca, Raquel; Cruz-Bermúdez, Alberto; Nadal, Ernest; Insa, Amelia; García-Campelo, María Del Rosario; Huidobro, Gerardo; Dómine, Manuel; Majem, Margarita; Rodríguez-Abreu, Delvys; Martínez-Martí, Alex; De Castro Carpeño, Javier; Cobo, Manuel; López Vivanco, Guillermo; Del Barco, Edel; Bernabé Caro, Reyes; Viñolas, Nuria; Barneto Aranda, Isidoro; Viteri, Santiago; Massuti, Bartomeu; Casarrubios, Marta; Sierra-Rodero, Belén; Tarín, Carlos; García-Grande, Aránzazu; Haymaker, Cara; Wistuba, Ignacio I.; Romero, Atocha; Franco, Fernando; Provencio, Mariano</t>
  </si>
  <si>
    <t>Blood biomarkers associated to complete pathological response on NSCLC patients treated with neoadjuvant chemoimmunotherapy included in NADIM clinical trial</t>
  </si>
  <si>
    <t>10.1002/ctm2.491</t>
  </si>
  <si>
    <t>BACKGROUND: Immunotherapy is being tested in early-stage non-small cell lung cancer (NSCLC), and achieving higher rates of complete pathological responses (CPR) as compared to standard of care. Early identification of CPR patients has vital clinical implications. In this study, we focused on basal peripheral immune cells and their treatment-related changes to find biomarkers associated to CPR. METHODS: Blood from 29 stage IIIA NSCLC patients participating in the NADIM trial (NCT03081689) was collected at diagnosis and post neoadjuvant treatment. More than 400 parameters of peripheral blood mononuclear cells (PBMCs) phenotype and plasma soluble factors were analyzed. RESULTS: Neoadjuvant chemoimmunotherapy altered more than 150 immune parameters. At diagnosis, 11 biomarkers associated to CPR were described, with an area under the ROC curve &gt;0.70 and p-value &lt;.05. CPR patients had significantly higher levels of CD4+ PD-1+ cells, NKG2D, and CD56 expression on T CD56 cells, intensity of CD25 expression on CD4+ CD25hi+ cells and CD69 expression on intermediate monocytes; but lower levels of CD3+ CD56- CTLA-4+ cells, CD14++ CD16+ CTLA-4+ cells, CTLA-4 expression on T CD56 cells and lower levels of b-NGF, NT-3, and VEGF-D in plasma compared to non-CPR. Post treatment, CPR patients had significantly higher levels of CD19 expression on B cells, BCMA, 4-1BB, MCSF, and PARC and lower levels of MPIF-1 and Flt-3L in plasma compared to non-CPR. CONCLUSIONS: Patients achieving CPR seem to have a distinctive peripheral blood immune status at diagnosis, even showing different immune response to treatment. These results reinforce the different biology behind CPR and non-CPR responses.</t>
  </si>
  <si>
    <t>Kanazawa, Shigenori; Yamaguchi, Kazuyuki; Kinoshita, Yoshimi; Komiyama, Yutaka; Muramatsu, Mikiko; Nomura, Shosaku</t>
  </si>
  <si>
    <t>Elevation of soluble interleukin-2 receptor in patients with non-small cell lung cancer treated with gefitinib</t>
  </si>
  <si>
    <t>10.1007/s00432-006-0120-x</t>
  </si>
  <si>
    <t>PURPOSE: We previously reported that plasma thromboxan B(2), soluble P-selectin, and serum regulated on activation, normal T-cell expressed and secreted (RANTES) were elevated after gefitinib treatment. We hypothesized that gefitinib could activate T-lymphocytes via activated platelets, and so we measured serum levels of soluble interleukin-2 receptor (sIL-2R) in patients medicated with gefitinib. METHODS: Twenty-one patients with non-small cell lung cancer (NSCLC) were entered into this study. All patients received gefitinib over 2 weeks without severe adverse effects. Blood samples were withdrawn from all patients before and after the administration of gefitinib and plasma soluble P-selectin, serum RANTES, and serum sIL-2R were measured by enzyme-linked immunosolvent assay. In addition, we carried out the basic study of the interleukin-2 receptor (IL-2R) expression on CD4(+) lymphocytes by RANTES. RESULTS: Plasma soluble P-selectin, serum RANTES, and serum sIL-2R levels increased significantly in patients receiving gefitinib treatment for 1 and 2 weeks. RANTES did not induce the expression of IL-2R on CD4(+) lymphocyte. However, the anti-CD3 monoclonal antibody-induced expression of IL-2R was enhanced by the addition of RANTES. CONCLUSION: Our finding indicated that lymphocytes were activated by gefitinib treatment. We think that sIL-2R elevation after gefitinib administration may be a factor positively effecting patients with NSCLC. It is deemed possible that the effect of gefitinib is induced not only by its blocking of the tyrosine kinase of epidermal growth factor receptor but also by antitumor immunity via its activation of T-cells.</t>
  </si>
  <si>
    <t>The study focuses on general immune activation markers: sIL-2R, P-selectin, and RANTES</t>
  </si>
  <si>
    <t>Sandercock, Alan M.; Rust, Steven; Guillard, Sandrine; Sachsenmeier, Kris F.; Holoweckyj, Nick; Hay, Carl; Flynn, Matt; Huang, Qihui; Yan, Kuan; Herpers, Bram; Price, Leo S.; Soden, Jo; Freeth, Jim; Jermutus, Lutz; Hollingsworth, Robert; Minter, Ralph</t>
  </si>
  <si>
    <t>Identification of anti-tumour biologics using primary tumour models, 3-D phenotypic screening and image-based multi-parametric profiling</t>
  </si>
  <si>
    <t>Molecular Cancer</t>
  </si>
  <si>
    <t>10.1186/s12943-015-0415-0</t>
  </si>
  <si>
    <t>BACKGROUND: Monolayer cultures of immortalised cell lines are a popular screening tool for novel anti-cancer therapeutics, but these methods can be a poor surrogate for disease states, and there is a need for drug screening platforms which are more predictive of clinical outcome. In this study, we describe a phenotypic antibody screen using three-dimensional cultures of primary cells, and image-based multi-parametric profiling in PC-3 cells, to identify anti-cancer biologics against new therapeutic targets. METHODS: ScFv Antibodies and designed ankyrin repeat proteins (DARPins) were isolated using phage display selections against primary non-small cell lung carcinoma cells. The selected molecules were screened for anti-proliferative and pro-apoptotic activity against primary cells grown in three-dimensional culture, and in an ultra-high content screen on a 3-D cultured cell line using multi-parametric profiling to detect treatment-induced phenotypic changes. The targets of molecules of interest were identified using a cell-surface membrane protein array. An anti-CUB domain containing protein 1 (CDCP1) antibody was tested for tumour growth inhibition in a patient-derived xenograft model, generated from a stage-IV non-small cell lung carcinoma, with and without cisplatin. RESULTS: Two primary non-small cell lung carcinoma cell models were established for antibody isolation and primary screening in anti-proliferative and apoptosis assays. These assays identified multiple antibodies demonstrating activity in specific culture formats. A subset of the DARPins was profiled in an ultra-high content multi-parametric screen, where 300 morphological features were measured per sample. Machine learning was used to select features to classify treatment responses, then antibodies were characterised based on the phenotypes that they induced. This method co-classified several DARPins that targeted CDCP1 into two sets with different phenotypes. Finally, an anti-CDCP1 antibody significantly enhanced the efficacy of cisplatin in a patient-derived NSCLC xenograft model. CONCLUSIONS: Phenotypic profiling using complex 3-D cell cultures steers hit selection towards more relevant in vivo phenotypes, and may shed light on subtle mechanistic variations in drug candidates, enabling data-driven decisions for oncology target validation. CDCP1 was identified as a potential target for cisplatin combination therapy.</t>
  </si>
  <si>
    <t xml:space="preserve">The study identifies and targets CUB domain-containing protein 1 (CDCP1). CDCP1 is a wild-type (self) transmembrane glycoprotein that is overexpressed in various cancers, including NSCLC. It is a Tumor-Associated Antigen (TAA) or a therapeutic target, not a neoantigen.
</t>
  </si>
  <si>
    <t>Wang, Bo; Yang, Huan; Huang, Yu-Zheng; Yan, Ru-Hong; Liu, Fen-Ju; Zhang, Jun-Ning</t>
  </si>
  <si>
    <t>Biologic characteristics of the side population of human small cell lung cancer cell line H446</t>
  </si>
  <si>
    <t>10.5732/cjc.009.10330</t>
  </si>
  <si>
    <t>BACKGROUND AND OBJECTIVE: Recently, the theory of cancer stem cells (CSCs) has presented new targets and orientations for tumor therapy. The major difficulties in researching CSCs include their isolation and purification. The aim of this study is to identify and characterize the side population (SP) cells in small cell lung cancer (SCLC) cell line H446, which lays the foundation for the isolation and purification of CSCs. METHODS: Fluorescence-activated cell sorting (FACS) was used to sort SP and non-SP (NSP) cells from H446. Both subgroups were cultivated to survey the capacity to form into suspended tumor cell spheres. Reverse transcription-polymerase chain reaction (RT-PCR) and real-time PCR were used to evaluate the expression levels of the mRNA of CD133, ABCG2, and nucleostemin in both subgroups. The capacity of proliferation and the differences in drug resistance of both subgroups and unsorted cells were tested by the MTT method. The differentiation ability of both subgroups was determined by FACS. Proliferation was determined by subcutaneous tumor formation in nude mice. RESULTS: The percent of Hoechst 33342 negative cells was about (5.1 +/- 0.2)% in H446 by fluorescence microscopy. The percent of SP cells was (6.3 +/- 0.1)% by flow cytometry. SP cells had a stronger capability of forming into tumor spheres than NSP cells. The mRNA expression levels of ABCG2, CD133, and nucleostemin in SP cells were 21.60 +/- 0.26, 7.10 +/- 0.14, and 1.02 +/- 0.08 folds higher than that in NSP cells (P &lt; 0.01, P &lt; 0.01, and P &gt; 0.05, respectively). In vivo, SP cells showed better proliferative ability and tougher viability when treated with drugs. SP cells can differentiate into NSP cells, but NSP cells cannot differentiate into SP cells. SP cells had a greater ability to form tumors. CONCLUSION: The H446 cell line contained some SP cells with stem cell properties. CD133 and ABCG2 may be cancer stem cell markers of SCLC.</t>
  </si>
  <si>
    <t>The study focus is exclusively on Small Cell Lung Cancer (SCLC) using the H446 cell line</t>
  </si>
  <si>
    <t>Gruselle, Olivier; Coche, Thierry; Louahed, Jamila</t>
  </si>
  <si>
    <t>Development of a Quantitative Real-Time RT-PCR Assay for the Detection of MAGE-A3-Positive Tumors</t>
  </si>
  <si>
    <t>The Journal of molecular diagnostics: JMD</t>
  </si>
  <si>
    <t>10.1016/j.jmoldx.2015.03.008</t>
  </si>
  <si>
    <t>Melanoma antigen A3 (MAGE-A3) is a member of the MAGE family of tumor antigens and a relevant candidate for use in cancer immunotherapy. However, not all tumors express MAGE-A3, and closely related members of the MAGE family can be co-expressed with MAGE-A3 in the same tumor. Therefore, in the frame of MAGE-A3 clinical trials, it appeared necessary to evaluate tumors for MAGE-A3 expression with a highly specific quantitative assay to select patients who are eligible for anti-MAGE-A3 immunotherapy treatment. Herein, we describe the development and validation of a quantitative real-time RT-PCR (RT-qPCR) assay for the determination of MAGEA3 gene expression in tumor tissues. In the early phases of development, the designed primers and probe were not able to distinguish between MAGE-A3 and MAGE-A6. To ensure the specificity for MAGE-A3 over MAGE-A6, our strategy was to use a 5'-nuclease probe (or hydrolysis probe). The final assay was shown to be specific and linear within the analytical range, with an acceptable CV for repeatability and intermediate precision. When compared with a reference semiquantitative RT-PCR assay, the two methods were in good agreement, with only 4.23% of the samples giving discordant results. In conclusion, we have developed a MAGE-A3-specific RT-qPCR assay, compatible with a high-throughput setting for the estimation of MAGEA3 gene expression in present and future clinical trials.</t>
  </si>
  <si>
    <t>Targets MAGE-A3 (Wild-type CTA), not a mutation-derived neoantigen.</t>
  </si>
  <si>
    <t>Ramos-Gomes, Fernanda; Bode, Julia; Sukhanova, Alyona; Bozrova, Svetlana V.; Saccomano, Mara; Mitkovski, Miso; Krueger, Julia Eva; Wege, Anja K.; Stuehmer, Walter; Samokhvalov, Pavel S.; Baty, Daniel; Chames, Patrick; Nabiev, Igor; Alves, Frauke</t>
  </si>
  <si>
    <t>Single- and two-photon imaging of human micrometastases and disseminated tumour cells with conjugates of nanobodies and quantum dots</t>
  </si>
  <si>
    <t>10.1038/s41598-018-22973-8</t>
  </si>
  <si>
    <t>Early detection of malignant tumours and, especially, micrometastases and disseminated tumour cells is still a challenge. In order to implement highly sensitive diagnostic tools we demonstrate the use of nanoprobes engineered from nanobodies (single-domain antibodies, sdAbs) and fluorescent quantum dots (QDs) for single- and two-photon detection and imaging of human micrometastases and disseminated tumour cells in ex vivo biological samples of breast and pancreatic metastatic tumour mouse models expressing human epidermal growth factor receptor 2 (HER2) or carcinoembryonic antigen (CEA). By staining thin (5-10 µm) paraffin and thick (50 µm) agarose tissue sections, we detected HER2- and CEA-positive human tumour cells infiltrating the surrounding tissues or metastasizing to different organs, including the brain, testis, lung, liver, and lymph nodes. Compared to conventional fluorescently labelled antibodies the sdAb-HER2-QD and sdAb-CEA-QD nanoprobes are superior in detecting micrometastases in tissue sections by lower photobleaching and higher brightness of fluorescence signals ensuring much better discrimination of positive signals versus background. Very high two-photon absorption cross-sections of QDs and small size of the nanoprobes ensure efficient imaging of thick tissue sections unattainable with conventional fluorescent probes. The nanobody-QD probes will help to improve early cancer diagnosis and prognosis of progression by assessing metastasis.</t>
  </si>
  <si>
    <t>Targets wild-type HER2 and CEA (TAAs), not mutation-derived neoantigens.</t>
  </si>
  <si>
    <t>Shamji, Mohamed H.; Temblay, Jeff N.; Cheng, Wei; Byrne, Susan M.; Macfarlane, Ellen; Switzer, Amy R.; Francisco, Natalia D. C.; Olexandra, Fedina; Jacubczik, Fabian; Durham, Stephen R.; Ashton-Rickardt, Philip G.</t>
  </si>
  <si>
    <t>Antiapoptotic serine protease inhibitors contribute to survival of allergenic TH2 cells</t>
  </si>
  <si>
    <t>The Journal of Allergy and Clinical Immunology</t>
  </si>
  <si>
    <t>10.1016/j.jaci.2017.07.055</t>
  </si>
  <si>
    <t>BACKGROUND: The mechanisms that regulate maintenance of persistent TH2 cells and potentiate allergic inflammation are not well understood. OBJECTIVE: The function of serine protease inhibitor 2A (Spi2A) was studied in mouse TH2 cells, and the serine protease inhibitor B3 (SERPINB3) and SERPINB4 genes were studied in TH2 cells from patients with grass pollen allergy. METHODS: Spi2A-deficient TH2 cells were studied in in vitro culture or in vivo after challenge of Spi2A knockout mice with ovalbumin in alum. Expression of SERPINB3 and SERPINB4 mRNA was measured in in vitro-cultured TH2 cells and in ex vivo CD27-CD4+ cells and innate lymphoid cell (ILC) 2 from patients with grass pollen allergy by using quantitative PCR. SERPINB3 and SERPINB4 mRNA levels were knocked down in cultured CD27-CD4+ cells with small hairpin RNA. RESULTS: There were lower levels of in vitro-polarized TH2 cells from Spi2A knockout mice (P &lt; .005) and in vivo after ovalbumin challenge (P &lt; .05), higher levels of apoptosis (Annexin V positivity, P &lt; .005), and less lung allergic inflammation (number of lung eosinophils, P &lt; .005). In vitro-polarized TH2 cells from patients with grass pollen allergy expressed higher levels of both SERPINB3 and SERPINB4 mRNA (both P &lt; .05) compared with unpolarized CD4 T cells. CD27-CD4+ from patients with grass pollen allergy expressed higher levels of both SERPINB3 and SERPINB4 mRNA (both P &lt; .0005) compared with CD27+CD4+ cells. ILC2 expressed higher levels of both SERPINB3 and SERPINB4 mRNA (both P &lt; .0005) compared with ILC1. Knockdown of either SERPINB3 or SERPINB4 mRNA (both P &lt; .005) levels resulted in decreased viability of CD27-CD4+ compared with control transduced cells. CONCLUSION: The Serpins Spi2A in mice and SERPINB3 and SERPINB4 in allergic patients control the viability of TH2 cells. This provides proof of principle for a therapeutic approach for allergic disease through ablation of allergic memory TH2 cells through SERPINB3 and SERPINB4 mRNA downregulation.</t>
  </si>
  <si>
    <t>The study focuses on allergic disease (grass pollen allergy) and mouse asthma models</t>
  </si>
  <si>
    <t>Ma, Zhihong; Li, Hongwei; Wang, Bin; Shen, Qibin; Cui, Enhai; Min, Lishan; Qian, Fuchu; Ping, Jinliang; Dai, Licheng</t>
  </si>
  <si>
    <t>Midkine mRNA level in peripheral blood mononuclear cells is a novel biomarker for primary non-small cell lung cancer: a prospective study</t>
  </si>
  <si>
    <t>10.1007/s00432-012-1357-1</t>
  </si>
  <si>
    <t>BACKGROUND AND OBJECTIVES: Midkine (MK) mRNA was highly expressed in various human cancer tissues and cells. The present study aimed to investigate whether MK mRNA level in peripheral blood mononuclear cells (PBMC) could serve as a diagnostic biomarker for patients having primary non-small cell lung cancer (NSCLC). METHODS: MK mRNA level in PBMC from 87 patients with primary NSCLC, 35 patients with lung benign lesion (LEL), and 30 healthy volunteers was analyzed by real-time quantitative RT-PCR. The levels of serum carcinoembryonic antigen, carbohydrate antigen 125 (CA125), and neuron-specific enolase were detected by chemiluminescent microparticle enzyme immunoassay. RESULTS: PBMC MK mRNA level was significantly higher in patients with primary NSCLC than that in other groups (P &lt; 0.001), while there was no significant difference between LEL patients and healthy volunteers (P &gt; 0.05). Higher MK mRNA level was correlated with clinical stages (P = 0.026), differentiation (P = 0.025), and lymph node metastasis (P = 0.022) of NSCLC. Using a cutoff of 0.0063, the sensitivity and specificity of MK mRNA levels to differentiate between patients with NSCLC and patients with LEL were 57.47 and 93.33 %,and it were 56.32 and 93.33 % for patients with NSCLC and healthy volunteers, respectively. Furthermore, multivariate analysis indicated that PBMC MK mRNA level above the cutoff value presented a chance of 11-fold higher for NSCLC occurrence. CONCLUSIONS: MK mRNA level in PBMC may be a potential non-invasive molecular marker for the diagnosis of primary NSCLC.</t>
  </si>
  <si>
    <t xml:space="preserve"> The study investigates Midkine (MK) mRNA levels in peripheral blood mononuclear cells (PBMC)</t>
  </si>
  <si>
    <t>Salnikov, A. V.; Bretz, N. P.; Perne, C.; Hazin, J.; Keller, S.; Fogel, M.; Herr, I.; Schlange, T.; Moldenhauer, G.; Altevogt, P.</t>
  </si>
  <si>
    <t>Antibody targeting of CD24 efficiently retards growth and influences cytokine milieu in experimental carcinomas</t>
  </si>
  <si>
    <t>10.1038/bjc.2013.102</t>
  </si>
  <si>
    <t>BACKGROUND: The targeting of cancer stem cells by monoclonal antibodies offers new options for therapy. CD24 is a glycosylphosphatidylinositol-anchored membrane protein with a small protein core and a high level of glycosylation. It is overexpressed in many human carcinomas and is correlated with poor prognosis. CD24 is a marker for pancreatic and ovarian cancer stem cells, whereas breast cancer stem cells are negative for CD24. In cancer cell lines, changes of CD24 expression can alter cellular properties in vitro and tumour growth in vivo. We have shown before that monotherapy with monoclonal antibody (mAb) SWA11 to CD24 effectively retarded tumour growth in xenotransplanted mice. METHODS: Here, we have investigated in more detail the molecular mechanisms of mAb SWA11 therapeutic effects in A549 lung and SKOV3ip ovarian carcinoma models in scid/beige and CD1 mice, respectively. We focused on anti-proliferative, pro-apoptotic, anti-angiogenic and microenvironmental effects of SWA11 mAb treatment. RESULTS: We find that CD24 targeting is associated with changes in tumour cell proliferation and angiogenesis. The treatment lead to increased infiltration of tumour tissues with immune cells suggesting involvement of ADCC. We found that SWA11 mAb treatment strongly altered the intratumoural cytokine microenvironment. The addition of SWA11 mAb to gemcitabine treatment strongly potentiated its anti-cancer efficacy in A549 lung cancer model. CONCLUSION: Our data demonstrate that targeting of CD24 could be beneficial for the anti-cancer treatment combined with standard chemotherapy regimes.</t>
  </si>
  <si>
    <t>The study targets CD24, a glycosylphosphatidylinositol-anchored membrane protein</t>
  </si>
  <si>
    <t>Ma, Shaohua; Shen, Luyan; Qian, Na; Chen, Keneng</t>
  </si>
  <si>
    <t>The prognostic values of CA125, CA19.9, NSE, AND SCC for stage I NSCLC are limited</t>
  </si>
  <si>
    <t>10.3233/CBM-2012-0246</t>
  </si>
  <si>
    <t>OBJECTIVE: Amongst the current detections of tumor markers, measurement of serum tumor markers is the most convenient and the safest way. However, there are few promising serum tumor markers with confirmed prognostic value in NSCLC (non-small-cell lung cancer, NSCLC). Therefore, scientists only grafted the useful tumor markers, such as CA125, CA19.9, NSE, SCC, CEA and CYFRA21.1 which have been found in other solid tumors. However, previous reports about this issue remain controversial. This study is to analyze the prognostic values of these 6 markers in stage I NSCLC. METHODS: One hundred and sixty four patients with stage I NSCLC who underwent operation by single-surgery-team in Department I of Thoracic Surgery, Peking University Cancer Hospital between March 2000 and March 2011 were included. These patients had measurement of CA125, CA19.9, NSE, SCC, CEA and CYFRA21.1 using electrochemiluminescence immunoassay one week before operation. The relationship between the level of these 6 tumor markers and long term survival rate was analyzed. RESULTS: The positive rate for CA125, CA19.9, NSE, SCC, CEA and CYFRA 21.1 in the 121 adenocarcinoma patients was 5.7%, 5.7%, 18.3%, 5.3%, 18.3%, and 20.7% respectively; whereas 3.1%, 2.6%, 23.8%, 26.8%, 14.0%, and 42.9% in 43 non-adenocarcinoma patients, respectively. In univariate analysis, the overall 5 year survival rate of patients with elevated CYFRA21.1 level was lower than that of patients with normal level in ADC subgroup (54.5% vs. 83.8%, p &lt; 0.05) and in all 164 cases (49.5% vs. 76.4%, p &lt; 0.05). In multivariate analysis, the level of CYFRA21.1 was an independent prognostic factor. But the other 5 markers didn't show significant prognostic value. CONCLUSIONS: We found that the prognostic values of CA125, CA19.9, NSE, and SCC for stage I NSCLC are limited. CYFRA21.1 might be a hopeful prognostic serum tumor marker for stage I NSCLC.</t>
  </si>
  <si>
    <t>The study investigates a panel of 6 traditional serum tumor markers: CA125, CA19.9, NSE, SCC, CEA, and CYFRA21.1.</t>
  </si>
  <si>
    <t>Chakra, Mohammad; Pujol, Jean Louis; Lamy, Pierre-Jean; Bozonnat, Marie Cecile; Quantin, Xavier; Jacot, William; Daurès, Jean-Pierre</t>
  </si>
  <si>
    <t>Circulating serum vascular endothelial growth factor is not a prognostic factor of non-small cell lung cancer</t>
  </si>
  <si>
    <t>10.1097/JTO.0b013e318187464e</t>
  </si>
  <si>
    <t>INTRODUCTION: High circulating serum vascular endothelial growth factor (VEGF) levels might reflect enhanced angiogenesis in patients suffering from non-small cell lung cancer (NSCLC). This study aimed at determining the prognostic significance of circulating VEGF as a prognostic factor in NSCLC. METHODS: Four hundred fifty-one histologically or cytologically proven and previously untreated NSCLC patients have been studied. Median follow-up was 13 years and 9 months. Eleven clinical and biologic variables were recorded. The levels of circulating VEGF were measured in the serum by quantitative immunoassay. Patients have had received conventional treatment (without anti-VEGF therapy) according to the international guidelines. All statistical tests were two-sided. RESULTS: Receiver operating characteristic curves (area under the ROC curve: 0.66 +/- 0.05) showed that circulating VEGF serum level did not demonstrate a high sensitivity-specificity relationship, and therefore, demonstrated a low ability to differentiate NSCLC from benign lung diseases. A 600 pg/mL level of circulating VEGF serum was considered as threshold with 40.8% of NSCLC patients presenting with a high level. The circulating VEGF distribution differed significantly according to disease stage, nodal status, and performance status (PS), with the highest levels observed in metastatic stage, positive mediastinal nodal status, and poor PS. In univariate survival analysis, patients with a high pretreatment circulating VEGF serum level proved to have a shorter overall survival when compared with patients presenting with a circulating VEGF serum level &lt;/=600 pg/mL. However, in the Cox proportional hazard model, this variable was not included in the panel of independent determinants of a poor outcome that was as follows: advanced or metastatic diseases according to the 6th edition of the staging system, PS &gt;/=2, nodal status N2-3, metastatic disease, neuron-specific enolase &gt;12.5 ng/mL, CYFRA 21-1 &gt;3.6 ng/mL. CONCLUSION: The prognostic information given by a high circulating VEGF serum level is not an independent determinant of survival owing to a high relationship with main prognostic variables such as PS, stage of the disease, and nodal status. This finding does not preclude a putative prognostic impact of in situ detection of VEGF and VEGF receptors in tumor specimen.</t>
  </si>
  <si>
    <t>The study investigates circulating Vascular Endothelial Growth Factor (VEGF) serum levels.</t>
  </si>
  <si>
    <t>Lv, Hongjun; Liu, Rui; Fu, Jiao; Yang, Qi; Shi, Jing; Chen, Pu; Ji, Meiju; Shi, Bingyin; Hou, Peng</t>
  </si>
  <si>
    <t>Epithelial cell-derived periostin functions as a tumor suppressor in gastric cancer through stabilizing p53 and E-cadherin proteins via the Rb/E2F1/p14ARF/Mdm2 signaling pathway</t>
  </si>
  <si>
    <t>Cell Cycle</t>
  </si>
  <si>
    <t>10.4161/15384101.2014.947203</t>
  </si>
  <si>
    <t>Periostin is usually considered as an oncogene in diverse human cancers, including breast, prostate, colon, esophagus, and pancreas cancers, whereas it acts as a tumor suppressor in bladder cancer. In gastric cancer, it has been demonstrated that periglandular periostin expression is decreased whereas stromal periostin expression is significantly increased as compared with normal gastric tissues. Moreover, periostin produced by stromal myofibroblasts markedly promotes gastric cancer cell growth. These observations suggest that periostin derived from different types of cells may play distinct biological roles in gastric tumorigenesis. The aim of this study was to explore the biological functions and related molecular mechanisms of epithelial cell-derived periostin in gastric cancer. Our data showed that periglandular periostin was significantly down-regulated in gastric cancer tissues as compared with matched normal gastric mucosa. In addition, its expression in metastatic lymph nodes was significantly lower than that in their primary cancer tissues. Our data also demonstrated that periglandular periostin expression was negatively associated with tumor stage. More importantly, restoration of periostin expression in gastric cancer cells dramatically suppressed cell growth and invasiveness. Elucidation of the mechanisms involved revealed that periostin restoration enhanced Rb phosphorylation and sequentially activated the transcription of E2F1 target gene p14(ARF), leading to Mdm2 inactivation and the stabilization of p53 and E-cadherin proteins. Strikingly, these effects of periostin were abolished upon Rb deletion. Collectively, we have for the first time demonstrated that epithelial cell-derived periostin exerts tumor-suppressor activities in gastric cancer through stabilizing p53 and E-cadherin proteins via the Rb/E2F1/p14(ARF)/Mdm2 signaling pathway.</t>
  </si>
  <si>
    <t xml:space="preserve">he research focuses on gastric cancer rather than human non-small cell lung cancer (NSCLC). </t>
  </si>
  <si>
    <t>Roussot, Nicolas; Thibaudin, Marion; Fumet, Jean-David; Daumoine, Susy; Hampe, Léa; Rébé, Cédric; Limagne, Emeric; Lagrange, Aurélie; Herreros, Victor; Lecuelle, Julie; Mananet, Hugo; Ilie, Alis; Rageot, David; Boidot, Romain; Goussot, Vincent; Comte, Anthony; Jacob, Pierre; Beltjens, Françoise; Bergeron, Anthony; Charon-Barra, Céline; Arnould, Laurent; Derangère, Valentin; Ladoire, Sylvain; Truntzer, Caroline; Ghiringhelli, François</t>
  </si>
  <si>
    <t>Case report: Immune response characterization of a pseudoprogression in a PD-L1-negative, TMB-low, KEAP1/STK11 co-mutated metastatic NSCLC</t>
  </si>
  <si>
    <t>10.3389/fimmu.2024.1437961</t>
  </si>
  <si>
    <t>A patient with a PD-L1-negative, TMB-low, KEAP1/STK11 co-mutated metastatic non-small cell lung cancer (NSCLC) experienced a multisite radiological progression at 3 months after initiation of chemoimmunotherapy as first-line treatment for metastatic disease. After the radiological progression, while she was not undergoing treatment, the patient had spontaneous lesions shrinkage and further achieved a prolonged complete response. Genomic and transcriptomic data collected at baseline and at the time of pseudoprogression allowed us to biologically characterize this rare response pattern. We observed the presence of a tumor-specific T-cell response against tumor-specific neoantigens (TNAs). Endogenous retroviruses (ERVs) expression following chemoimmunotherapy was also observed, concurrent with biological features of an anti-viral-like innate immune response with type I IFN signaling and production of CXCR3-associated chemokines. This is the first biological characterization of a NSCLC pseudoprogression under chemoimmunotherapy followed by a prolonged complete response in a PD-L1-negative, TMB-low, KEAP1/STK11 co-mutated NSCLC. These clinical and biological data underline that even patients with multiple factors of resistance to immune checkpoint inhibitors could trigger a tumor-specific immune response to tumor neoantigen, leading to complete eradication of the tumor and probably a vaccinal immune response.</t>
  </si>
  <si>
    <t>Neninger, Elia; Díaz, Rosa M.; de la Torre, Ana; Rives, Rolando; Díaz, Alain; Saurez, Giselle; Gabri, Mariano R.; Alonso, Daniel F.; Wilkinson, Barbara; Alfonso, Angel M.; Combet, Tania; Pérez, Rolando; Vázquez, Ana M.</t>
  </si>
  <si>
    <t>Active immunotherapy with 1E10 anti-idiotype vaccine in patients with small cell lung cancer: report of a phase I trial</t>
  </si>
  <si>
    <t>10.4161/cbt.6.2.3574</t>
  </si>
  <si>
    <t>1E10 is an anti-idiotype murine monoclonal antibody (Ab2 MAb) specific to an Ab1 MAb which reacts with NeuGc-containing gangliosides, sulfatides and with antigens expressed in some human tumors. Preparations containing this Ab2 were capable to induce a strong anti-metastatic effect in tumor-bearing mice. We conducted a Phase I clinical trial to evaluate the toxicity and humoral immune response elicited by 1E10 vaccine in patients with small cell lung cancer (SCLC). Eligible patients were those who after received chemotherapy and/or radiotherapy had partial or complete response to treatment. Patients received four biweekly injections with 2 mg of aluminum hydroxide-precipitated 1E10 MAb, then other six doses at 28-day intervals, and later the patients who maintained a good performance status were reimmunized. Six patients with limited-stage disease and three with extensive-stage disease were enrolled in the study. Most of the patients who received at least four doses of 1E10 vaccine developed strong specific antibody responses against 1E10 MAb and NeuGc-GM3 ganglioside. Antibodies able to react with lung carcinoma tissue sections were detected in sera from vaccinated patients. A prolonged survival was observed in several patients treated with the anti-idiotype vaccine. No evidence of serious adverse effects was found.</t>
  </si>
  <si>
    <t>The study focuses on the p53 protein (wild-type or unspecified status) and its stabilization by Adenovirus E1A (AdE1A) to sensitize cells to TNF</t>
  </si>
  <si>
    <t>Zhang, Xian; Hussain, Rahel; Turnell, Andrew S.; Mymryk, Joe S.; Gallimore, Phillip H.; Grand, Roger J. A.</t>
  </si>
  <si>
    <t>Accumulation of p53 in response to adenovirus early region 1A sensitizes human cells to tumor necrosis factor alpha-induced apoptosis</t>
  </si>
  <si>
    <t>Virology</t>
  </si>
  <si>
    <t>10.1016/j.virol.2005.06.020</t>
  </si>
  <si>
    <t>Many tumor cells are resistant to tumor necrosis factor alpha (TNFalpha)-induced apoptosis. Adenovirus early region 1A (AdE1A) sensitizes the otherwise resistant cells to TNFalpha. AdE1A also stabilizes the p53 protein. The present study demonstrates a correlation between AdE1A-induced sensitization and stabilization of p53 in TNFalpha-induced apoptosis since the N-terminal and CR2 regions, the binding sites for CBP/p300, Rb and 26S proteasome regulatory components, are required for both these actions of AdE1A. TNFalpha does not induce apoptosis and AdE1A fails to sensitize TNFalpha cytotoxicity in p53-negative cells. However, introduction of exogenous p53 overcomes the cellular resistance to TNFalpha toxicity and enhances AdE1A sensitization, demonstrating that AdE1A sensitizes TNFalpha-induced apoptosis by its stabilization of p53. A proteasome inhibitor, lactacystin, enhances TNFalpha cytotoxicity in p53-positive and -negative cells, suggesting that accumulation of cellular proteins other than p53 might also regulate the cellular response to TNFalpha signaling.</t>
  </si>
  <si>
    <t>Bacon, Nickolas A.; Larre, Isabel; Lawag, Abdalla A.; Merritt, Carlen; Smith, Mackinzie; Rosolen, Matthew; Sollars, Vincent E.</t>
  </si>
  <si>
    <t>Low dose HSP90 inhibition with AUY922 blunts rapid evolution of metastatic and drug resistant phenotypes induced by TGF-β and paclitaxel in A549 cells</t>
  </si>
  <si>
    <t>Biomedicine &amp; Pharmacotherapy = Biomedecine &amp; Pharmacotherapie</t>
  </si>
  <si>
    <t>10.1016/j.biopha.2020.110434</t>
  </si>
  <si>
    <t>OBJECTIVES: Despite advances in cancer treatment, drug resistance and metastasis continue to contribute to treatment failure. Since drug resistance and metastasis in cancer are features that often occur toward the late stages in the disease after withstanding numerous selective pressures, they may rely on a shared adaptive mechanism in order to persist. The heat shock response is one of the most well conserved adaptive responses to cellular stress found in nature. A major player in the heat shock response is HSP90, with some studies suggesting that it can facilitate the molecular evolution of drug resistance and metastasis in cancer. Non-small cell lung cancers (NSCLCs) are strongly associated with drug resistance and metastasis either at the time of diagnosis or early in the treatment process. MATERIALS AND METHODS: We explored the role of HSP90 in the evolution of metastatic and drug resistant features in NSCLC by treating A549 cells with AUY922, a clinically relevant HSP90 inhibitor, and inducing metastatic and drug resistant phenotypes via treatment with TGF-β and paclitaxel, respectively. We measured phenotypic plasticity in E-Cadherin, a marker for epithelial to mesenchymal transition and two ABC transporters associated with drug resistant lung cancers. RESULTS: We found that metastatic and efflux dependent drug resistant features negatively correlated with AUY922 treatment. We followed our results with functional assays relevant to metastasis and ABC transporters to confirm our results. Specifically we found the expression of E-cadherin was significantly increased in A549 cultures pretreated with AUY922 prior to exposure to paclitaxel, while expression of the drug transporters ABCB1 and ABCC1 was significantly reduced under similar conditions. CONCLUSION: Together our data indicates that HSP90 inhibition with AUY922 can limit the acquisition of metastatic and drug resistant phenotypes in A549 cells at low, clinically appropriate doses.</t>
  </si>
  <si>
    <t>The study focuses on HSP90 (Heat Shock Protein 90) and phenotypic markers of EMT (E-Cadherin) and drug efflux (ABCB1/ABCC1).</t>
  </si>
  <si>
    <t>Danilova, Ludmila; Anagnostou, Valsamo; Caushi, Justina X.; Sidhom, John-William; Guo, Haidan; Chan, Hok Yee; Suri, Prerna; Tam, Ada; Zhang, Jiajia; Asmar, Margueritta El; Marrone, Kristen A.; Naidoo, Jarushka; Brahmer, Julie R.; Forde, Patrick M.; Baras, Alexander S.; Cope, Leslie; Velculescu, Victor E.; Pardoll, Drew M.; Housseau, Franck; Smith, Kellie N.</t>
  </si>
  <si>
    <t>The Mutation-Associated Neoantigen Functional Expansion of Specific T Cells (MANAFEST) Assay: A Sensitive Platform for Monitoring Antitumor Immunity</t>
  </si>
  <si>
    <t>10.1158/2326-6066.CIR-18-0129</t>
  </si>
  <si>
    <t>Mutation-associated neoantigens (MANA) are a target of antitumor T-cell immunity. Sensitive, simple, and standardized assays are needed to assess the repertoire of functional MANA-specific T cells in oncology. Assays analyzing in vitro cytokine production such as ELISpot and intracellular cytokine staining have been useful but have limited sensitivity in assessing tumor-specific T-cell responses and do not analyze antigen-specific T-cell repertoires. The FEST (Functional Expansion of Specific T cells) assay described herein integrates T-cell receptor sequencing of short-term, peptide-stimulated cultures with a bioinformatic platform to identify antigen-specific clonotypic amplifications. This assay can be adapted for all types of antigens, including MANAs via tumor exome-guided prediction of MANAs. Following in vitro identification by the MANAFEST assay, the MANA-specific CDR3 sequence can be used as a molecular barcode to detect and monitor the dynamics of these clonotypes in blood, tumor, and normal tissue of patients receiving immunotherapy. MANAFEST is compatible with high-throughput routine clinical and lab practices. Cancer Immunol Res; 6(8); 888-99. ©2018 AACR.</t>
  </si>
  <si>
    <t>Ohri, Chandra M.; Shikotra, Aarti; Green, Ruth H.; Waller, David A.; Bradding, Peter</t>
  </si>
  <si>
    <t>The tissue microlocalisation and cellular expression of CD163, VEGF, HLA-DR, iNOS, and MRP 8/14 is correlated to clinical outcome in NSCLC</t>
  </si>
  <si>
    <t>10.1371/journal.pone.0021874</t>
  </si>
  <si>
    <t>BACKGROUND: We have previously investigated the microlocalisation of M1 and M2 macrophages in NSCLC. This study investigated the non-macrophage (NM) expression of proteins associated with M1 and M2 macrophages in NSCLC. METHODS: Using immunohistochemistry, CD68(+) macrophages and proteins associated with either a cytotoxic M1 phenotype (HLA-DR, iNOS, and MRP 8/14), or a non-cytotoxic M2 phenotype (CD163 and VEGF) were identified. NM expression of the markers was analysed in the islets and stroma of surgically resected tumours from 20 patients with extended survival (ES) (median 92.7 months) and 20 patients with poor survival (PS) (median 7.7 months). RESULTS: The NM expression of NM-HLA-DR (p&lt;0.001), NM-iNOS (p = 0.02) and NM-MRP 8/14 (p = 0.02) was increased in ES compared to PS patients in the tumour islets. The tumour islet expression of NM-VEGF, was decreased in ES compared to PS patients (p&lt;0.001). There was more NM-CD163 expression (p = 0.04) but less NM-iNOS (p = 0.002) and MRP 8/14 (p = 0.01) expression in the stroma of ES patients compared with PS patients. The 5-year survival for patients with above and below median NM expression of the markers in the islets was 74.9% versus 4.7% (NM-HLA-DR p&lt;0.001), 65.0% versus 14.6% (NM-iNOS p = 0.003), and 54.3% versus 22.2% (NM-MRP 8/14 p = 0.04), as opposed to 34.1% versus 44.4% (NM-CD163 p = 0.41) and 19.4% versus 59.0% (NM-VEGF p = 0.001). CONCLUSIONS: Cell proteins associated with M1 and M2 macrophages are also expressed by other cell types in the tumour islets and stroma of patients with NSCLC. Their tissue and cellular microlocalisation is associated with important differences in clinical outcome.</t>
  </si>
  <si>
    <t xml:space="preserve"> The study investigates the non-macrophage (NM) expression of wild-type proteins: HLA-DR, iNOS, MRP 8/14, CD163, and VEGF.</t>
  </si>
  <si>
    <t>Kehlet, S. N.; Bager, C. L.; Willumsen, N.; Dasgupta, B.; Brodmerkel, C.; Curran, M.; Brix, S.; Leeming, D. J.; Karsdal, M. A.</t>
  </si>
  <si>
    <t>Cathepsin-S degraded decorin are elevated in fibrotic lung disorders - development and biological validation of a new serum biomarker</t>
  </si>
  <si>
    <t>10.1186/s12890-017-0455-x</t>
  </si>
  <si>
    <t>BACKGROUND: Decorin is one of the most abundant proteoglycans of the extracellular matrix and is mainly secreted and deposited in the interstitial matrix by fibroblasts where it plays an important role in collagen turnover and tissue homeostasis. Degradation of decorin might disturb normal tissue homeostasis contributing to extracellular matrix remodeling diseases. Here, we present the development and validation of a competitive enzyme-linked immunosorbent assay (ELISA) quantifying a specific fragment of degraded decorin, which has potential as a novel non-invasive serum biomarker for fibrotic lung disorders. METHODS: A fragment of decorin cleaved in vitro using human articular cartilage was identified by mass-spectrometry (MS/MS). Monoclonal antibodies were raised against the neo-epitope of the cleaved decorin fragment and a competitive ELISA assay (DCN-CS) was developed. The assay was evaluated by determining the inter- and intra-assay precision, dilution recovery, accuracy, analyte stability and interference. Serum levels were assessed in lung cancer patients, patients with idiopathic pulmonary fibrosis (IPF), patients with chronic obstructive pulmonary disease (COPD) and healthy controls. RESULTS: The DCN-CS ELISA was technically robust and was specific for decorin cleaved by cathepsin-S. DCN-CS was elevated in lung cancer patients (p &lt; 0.0001) and IPF patients (p &lt; 0.001) when compared to healthy controls. The diagnostic power for differentiating lung cancer patients and IPF patients from healthy controls was 0.96 and 0.77, respectively. CONCLUSION: Cathepsin-S degraded decorin could be quantified in serum using the DCN-CS competitive ELISA. The clinical data indicated that degradation of decorin by cathepsin-S is an important part of the pathology of lung cancer and IPF.</t>
  </si>
  <si>
    <t>this study targets a wild-type protein fragment rather than a somatic mutation-derived neoantigen,</t>
  </si>
  <si>
    <t>Garousi, Javad; Huizing, Fokko J.; Vorobyeva, Anzhelika; Mitran, Bogdan; Andersson, Ken G.; Leitao, Charles Dahlsson; Frejd, Fredrik Y.; Löfblom, John; Bussink, Johan; Orlova, Anna; Heskamp, Sandra; Tolmachev, Vladimir</t>
  </si>
  <si>
    <t>Comparative evaluation of affibody- and antibody fragments-based CAIX imaging probes in mice bearing renal cell carcinoma xenografts</t>
  </si>
  <si>
    <t>10.1038/s41598-019-51445-w</t>
  </si>
  <si>
    <t>Carbonic anhydrase IX (CAIX) is a cancer-associated molecular target for several classes of therapeutics. CAIX is overexpressed in a large fraction of renal cell carcinomas (RCC). Radionuclide molecular imaging of CAIX-expression might offer a non-invasive methodology for stratification of patients with disseminated RCC for CAIX-targeting therapeutics. Radiolabeled monoclonal antibodies and their fragments are actively investigated for imaging of CAIX expression. Promising alternatives are small non-immunoglobulin scaffold proteins, such as affibody molecules. A CAIX-targeting affibody ZCAIX:2 was re-designed with the aim to decrease off-target interactions and increase imaging contrast. The new tracer, DOTA-HE3-ZCAIX:2, was labeled with 111In and characterized in vitro. Tumor-targeting properties of [111In]In-DOTA-HE3-ZCAIX:2 were compared head-to-head with properties of the parental variant, [99mTc]Tc(CO)3-HE3-ZCAIX:2, and the most promising antibody fragment-based tracer, [111In]In-DTPA-G250(Fab')2, in the same batch of nude mice bearing CAIX-expressing RCC xenografts. Compared to the 99mTc-labeled parental variant, [111In]In-DOTA-HE3-ZCAIX:2 provides significantly higher tumor-to-lung, tumor-to-bone and tumor-to-liver ratios, which is essential for imaging of CAIX expression in the major metastatic sites of RCC. [111In]In-DOTA-HE3-ZCAIX:2 offers significantly higher tumor-to-organ ratios compared with [111In]In-G250(Fab')2. In conclusion, [111In]In-DOTA-HE3-ZCAIX:2 can be considered as a highly promising tracer for imaging of CAIX expression in RCC metastases based on our results and literature data.</t>
  </si>
  <si>
    <t>The study focuses exclusively on Renal Cell Carcinoma (RCC) xenograft models</t>
  </si>
  <si>
    <t>Hong, Yoo Jin; Hur, Jin; Lee, Hye-Jeong; Nam, Ji Eun; Kim, Young Jin; Kim, Hua Sun; Kim, Hee Yeong; Kim, Se Kyu; Chang, Joon; Kim, Joo-Hang; Chung, Kyung Young; Choi, Byoung Wook; Choe, Kyu Ok</t>
  </si>
  <si>
    <t>Analysis of tumor markers in the cytological fluid obtained from computed tomography-guided needle aspiration biopsy for the diagnosis of non-small cell lung cancer</t>
  </si>
  <si>
    <t>10.1097/JTO.0b013e31822462b1</t>
  </si>
  <si>
    <t>PURPOSE: The aim of this study was to prospectively assess whether analysis of the tumor markers cytokeratin 19 fragments (CYFRA 21-1), carcinoembryonic antigen (CEA), and squamous cell carcinoma (SCC) antigen in cytological fluid can improve the performance of computed tomography (CT)-guided needle aspiration biopsy (NAB) in the diagnosis of non-small cell lung cancer (NSCLC). METHODS: A total of 100 patients (men:women = 41:59, mean age: 63 years) with suspected malignant pulmonary lesions were prospectively enrolled for CT-guided NAB procedures. Levels of CYFRA 21-1, CEA, and SCC in the cytological fluid were measured by immunoradiometric assays. The cutoff value for tumor markers was selected on the basis of best accuracy through receiver operating characteristic curves. The sensitivity and areas under the curve (AUC) of NAB alone were compared with those of NAB combined with cytological tumor markers (CYFRA 21-1, CEA, and SCC). RESULTS: Among 100 patients, 71 (71%) had NSCLC and 29 (29%) had benign lesions. The sensitivity, specificity, and accuracy for diagnosing NSCLC were 85.7%, 100%, and 89%, respectively, for NAB alone. The sensitivity increased significantly for NAB combined with a tumor marker compared with NAB alone (100% for CYFRA 21-1, 92.9% for CEA, and 94.2% for SCC; p = 0.001, p = 0.025, and p = 0.014, respectively). The AUC of NAB with CYFRA 21-1 was significantly larger than the AUC of NAB alone (p = 0.001). CONCLUSION: Evaluation of tumor markers CYFRA 21-1, CEA, and SCC in the cytological fluid can improve the diagnostic performance of CT-guided NAB for NSCLC. Of these markers, CYFRA 21-1 is the most useful cytological tumor marker.</t>
  </si>
  <si>
    <t>The study investigates traditional protein biomarkers: CYFRA 21-1, CEA, and SCC.</t>
  </si>
  <si>
    <t>Ma, Li; Young, Jennifer; Prabhala, Harsha; Pan, Elizabeth; Mestdagh, Pieter; Muth, Daniel; Teruya-Feldstein, Julie; Reinhardt, Ferenc; Onder, Tamer T.; Valastyan, Scott; Westermann, Frank; Speleman, Frank; Vandesompele, Jo; Weinberg, Robert A.</t>
  </si>
  <si>
    <t>miR-9, a MYC/MYCN-activated microRNA, regulates E-cadherin and cancer metastasis</t>
  </si>
  <si>
    <t>10.1038/ncb2024</t>
  </si>
  <si>
    <t>MicroRNAs (miRNAs) are increasingly implicated in regulating the malignant progression of cancer. Here we show that miR-9, which is upregulated in breast cancer cells, directly targets CDH1, the E-cadherin-encoding messenger RNA, leading to increased cell motility and invasiveness. miR-9-mediated E-cadherin downregulation results in the activation of beta-catenin signalling, which contributes to upregulated expression of the gene encoding vascular endothelial growth factor (VEGF); this leads, in turn, to increased tumour angiogenesis. Overexpression of miR-9 in otherwise non-metastatic breast tumour cells enables these cells to form pulmonary micrometastases in mice. Conversely, inhibiting miR-9 by using a 'miRNA sponge' in highly malignant cells inhibits metastasis formation. Expression of miR-9 is activated by MYC and MYCN, both of which directly bind to the mir-9-3 locus. Significantly, in human cancers, miR-9 levels correlate with MYCN amplification, tumour grade and metastatic status. These findings uncover a regulatory and signalling pathway involving a metastasis-promoting miRNA that is predicted to directly target expression of the key metastasis-suppressing protein E-cadherin.</t>
  </si>
  <si>
    <t>The study focuses exclusively on Breast Cancer cell lines and mouse models</t>
  </si>
  <si>
    <t>Chinnasamy, Nachimuthu; Wargo, Jennifer A.; Yu, Zhiya; Rao, Mahadev; Frankel, Timothy L.; Riley, John P.; Hong, Jenny J.; Parkhurst, Maria R.; Feldman, Steven A.; Schrump, David S.; Restifo, Nicholas P.; Robbins, Paul F.; Rosenberg, Steven A.; Morgan, Richard A.</t>
  </si>
  <si>
    <t>A TCR targeting the HLA-A*0201-restricted epitope of MAGE-A3 recognizes multiple epitopes of the MAGE-A antigen superfamily in several types of cancer</t>
  </si>
  <si>
    <t>10.4049/jimmunol.1001775</t>
  </si>
  <si>
    <t>Adoptive immunotherapy using TCR-engineered PBLs against melanocyte differentiation Ags mediates objective tumor regression but is associated with on-target toxicity. To avoid toxicity to normal tissues, we targeted cancer testis Ag (CTA) MAGE-A3, which is widely expressed in a range of epithelial malignancies but is not expressed in most normal tissues. To generate high-avidity TCRs against MAGE-A3, we employed a transgenic mouse model that expresses the human HLA-A*0201 molecule. Mice were immunized with two HLA-A*0201-restricted peptides of MAGE-A3: 112-120 (KVAELVHFL) or MAGE-A3: 271-279 (FLWGPRALV), and T cell clones were generated. MAGE-A3-specific TCR α- and β-chains were isolated and cloned into a retroviral vector. Expression of both TCRs in human PBLs demonstrated Ag-specific reactivity against a range of melanoma and nonmelanoma tumor cells. The TCR against MAGE-A3: 112-120 was selected for further development based on superior reactivity against tumor target cells. Interestingly, peptide epitopes from MAGE-A3 and MAGE-A12 (and to a lesser extent, peptides from MAGE-A2 and MAGE-A6) were recognized by PBLs engineered to express this TCR. To further improve TCR function, single amino acid variants of the CDR3 α-chain were generated. Substitution of alanine to threonine at position 118 of the α-chain in the CDR3 region of the TCR improved its functional avidity in CD4 and CD8 cells. On the basis of these results, a clinical trial is planned in which patients bearing a variety of tumor histologies will receive autologous PBLs that have been transduced with this optimized anti-MAGE-A3 TCR.</t>
  </si>
  <si>
    <t>Ajona, Daniel; Razquin, Cristina; Pastor, Maria Dolores; Pajares, Maria Jose; Garcia, Javier; Cardenal, Felipe; Fleischhacker, Michael; Lozano, Maria Dolores; Zulueta, Javier J.; Schmidt, Bernd; Nadal, Ernest; Paz-Ares, Luis; Montuenga, Luis M.; Pio, Ruben</t>
  </si>
  <si>
    <t>Elevated levels of the complement activation product C4d in bronchial fluids for the diagnosis of lung cancer</t>
  </si>
  <si>
    <t>10.1371/journal.pone.0119878</t>
  </si>
  <si>
    <t>Molecular markers in bronchial fluids may contribute to the diagnosis of lung cancer. We previously observed a significant increase of C4d-containing complement degradation fragments in bronchoalveolar lavage (BAL) supernatants from lung cancer patients in a cohort of 50 cases and 22 controls (CUN cohort). The present study was designed to determine the diagnostic performance of these complement fragments (hereinafter jointly referred as C4d) in bronchial fluids. C4d levels were determined in BAL supernatants from two independent cohorts: the CU cohort (25 cases and 26 controls) and the HUVR cohort (60 cases and 98 controls). A series of spontaneous sputum samples from 68 patients with lung cancer and 10 controls was also used (LCCCIO cohort). Total protein content, complement C4, complement C5a, and CYFRA 21-1 were also measured in all cohorts. C4d levels were significantly increased in BAL samples from lung cancer patients. The area under the ROC curve was 0.82 (95%CI = 0.71-0.94) and 0.67 (95%CI = 0.58-0.76) for the CU and HUVR cohorts, respectively. In addition, unlike the other markers, C4d levels in BAL samples were highly consistent across the CUN, CU and HUVR cohorts. Interestingly, C4d test markedly increased the sensitivity of bronchoscopy in the two cohorts in which cytological data were available (CUN and HUVR cohorts). Finally, in the LCCCIO cohort, C4d levels were higher in sputum supernatants from patients with lung cancer (area under the ROC curve: 0.7; 95%CI = 0.56-0.83). In conclusion, C4d is consistently elevated in bronchial fluids from lung cancer patients and may be used to improve the diagnosis of the disease.</t>
  </si>
  <si>
    <t xml:space="preserve"> the study measures a wild-type protein fragment rather than somatic mutation-derived neoantigens, and focuses on diagnostic rather than therapeutic targets.</t>
  </si>
  <si>
    <t>Fukuizumi, Aya; Miyanaga, Akihiko; Seike, Masahiro; Kato, Yasuhiro; Nakamichi, Shinji; Chubachi, Kumi; Matsumoto, Masaru; Noro, Rintaro; Minegishi, Yuji; Kunugi, Shinobu; Kubota, Kaoru; Gemma, Akihiko</t>
  </si>
  <si>
    <t>Effective Crizotinib schedule for an elderly patient with ALK rearranged non-small-cell lung cancer: a case report</t>
  </si>
  <si>
    <t>BMC research notes</t>
  </si>
  <si>
    <t>10.1186/s13104-015-1126-8</t>
  </si>
  <si>
    <t>BACKGROUND: Non-small-cell lung cancers (NSCLCs) harboring translocations in anaplastic lymphoma kinase (ALK) are highly sensitive to small-molecule ALK kinase inhibitors, such as crizotinib. CASE PRESENTATION: We describe a case of post-operative local recurrence of lung adenocarcinoma in an 81 year-old male. He underwent radiation and received chemotherapy with docetaxel, but neither treatment regimen was effective. Following identification of ALK rearrangements, crizotinib treatment was initiated. After treatment with crizotinib for 5 days, adverse events including acute renal failure (grade 2/CTCAE ver4.0) and congestive heart failure (grade 3) occurred. Crizotinib modified treatment was required. Half dose of crizotinib treatment could not control tumor progression. Ultimately, crizotinib was administrated at a dose of 250 mg twice daily every 3 day dosing for 13 months with maintenance of the anti-tumor effect. CONCLUSION: This is the first case report that skip schedule was more effective than dose reduction daily in crizotinib administration for ALK rearranged NSCLC patient with severe adverse events.</t>
  </si>
  <si>
    <t>The study focuses on pharmacological management of tyrosine kinase inhibitor (TKI) toxicity, not neoantigen-specific T-cell responses, and is recommended for exclusion based on study type and conceptual focus</t>
  </si>
  <si>
    <t>Mayer-Sonnenfeld, Tehila; Har-Noy, Michael; Lillehei, Kevin O.; Graner, Michael W.</t>
  </si>
  <si>
    <t>Proteomic analyses of different human tumour-derived chaperone-rich cell lysate (CRCL) anti-cancer vaccines reveal antigen content and strong similarities amongst the vaccines along with a basis for CRCL's unique structure: CRCL vaccine proteome leads to unique structure</t>
  </si>
  <si>
    <t>International Journal of Hyperthermia: The Official Journal of European Society for Hyperthermic Oncology, North American Hyperthermia Group</t>
  </si>
  <si>
    <t>10.3109/02656736.2013.796529</t>
  </si>
  <si>
    <t>PURPOSE: The aim of this paper was to compare protein content of chaperone-rich cell lysate (CRCL) anti-cancer vaccines prepared from human tumours of different histological origins to evaluate the uniformity of their protein content. MATERIALS AND METHODS: Clinical grade CRCL was prepared under Good Manufacturing Practice (GMP) conditions from surgically resected human tumours (colorectal cancer, glioblastoma, non-small cell lung cancer, ovarian cancer). Protein samples were separated by SDS-PAGE and slices cut from gels for protease digestion followed by mass spectrometry analysis. Proteins were identified, and the content assessed by gene ontogeny/networking programmatic computation. CRCL preparations were also analysed by nanoparticle tracking analysis (NTA) and transmission electron microscopy (TEM). RESULTS: We identified between 200 and 550 proteins in the various CRCL preparations. Gene ontogeny analysis indicated that the vaccines showed clear relationships, despite different tumour origins. A total of 95 proteins were common to all the CRCLs. Networking analyses implicated heat shock proteins in antigen processing pathways, and showed connections to the cytoskeletal network. We found that CRCL vaccines showed a particulate structure by NTA, and TEM revealed an extended fence-like structural network in CRCL, with regions that were microns in size. CONCLUSIONS: We conclude that it is feasible to prepare and characterise CRCL from a variety of different tissue sources; a substantial portion of the protein content is identical among the different CRCLs, while the overall compositions also suggest high overlaps in functional categories. The protein content indicates the presence of antigens and implies a potential structure, which we believe may play a role in CRCL's ability to stimulate innate antigen presenting cell activation.</t>
  </si>
  <si>
    <t>Analyzes total lysate/chaperone proteins, not neoantigens.</t>
  </si>
  <si>
    <t>Medetoglu, Baris; Gunluoglu, Mehmet Zeki; Demir, Adalet; Melek, Huseyin; Buyukpinarbasili, Nur; Fener, Neslihan; Dincer, Seyyit Ibrahim</t>
  </si>
  <si>
    <t>Tumor angiogenesis in predicting the survival of patients with stage I lung cancer</t>
  </si>
  <si>
    <t>10.1016/j.jtcvs.2010.07.002</t>
  </si>
  <si>
    <t>OBJECTIVE: The effects of angiogenesis on survival were assessed by measuring the tumor microvessel density and vascular endothelial growth factor expression in patients with resected stage I non-small cell lung carcinoma. METHODS: The study population included 141 patients who underwent complete resection for stage pT1 and T2 N0 M0 tumors between 1999 and 2007. Lobectomy and pneumonectomy were performed in 131 and 10 patients, respectively. Tumor specimens were analyzed immunohistochemically for staining with anti-CD105 antibody to determine tumor microvessel density and anti-vascular endothelial growth factor antibody to determine the vascular endothelial growth factor expression level. Univariate and multivariate analyses were performed for factors influencing patients' survival. RESULTS: The overall 5-year survival was calculated as 68%, with rates of 76.9% for patients with T1 disease and 66.2% for patients with T2 disease (P = .4). The vascular endothelial growth factor expression rate was 94.3% for patients with stage I non-small cell lung carcinoma. Vascular endothelial growth factor expression did not influence survival (P = .9). The median microvessel density of the tumors measured based on the level of CD105 expression was 19.8. The effect of microvessel density on survival was significant (P = .02). The 5-year survivals of patients with tumors with 20 or more microvessels and less than 20 microvessels were 76.8% and 56.1%, respectively; this difference was highly significant (P = .004). The microvessel density was determined as an independent factor influencing survival on multivariate analysis (P = .03). CONCLUSIONS: The level of vascular endothelial growth factor expression in tumors was not a successful predictor of survival in patients with resected stage I non-small cell lung carcinoma. A high microvessel density based on CD105 is a strong predictor of prognosis in these patients.</t>
  </si>
  <si>
    <t>The study investigates Vascular Endothelial Growth Factor (VEGF) and Microvessel Density (MVD) via CD105 (Endoglin)</t>
  </si>
  <si>
    <t>Yao, Quan; Sun, Jian-Guo; Ma, Hu; Zhang, An-Mei; Lin, Sheng; Zhu, Cong-Hui; Zhang, Tao; Chen, Zheng-Tang</t>
  </si>
  <si>
    <t>Monitoring microRNAs using a molecular beacon in CD133+/ CD338+ human lung adenocarcinoma-initiating A549 cells</t>
  </si>
  <si>
    <t>10.7314/apjcp.2014.15.1.161</t>
  </si>
  <si>
    <t>Lung cancer is the most common causes of cancer-related deaths worldwide, and a lack of effective methods for early diagnosis has greatly impacted the prognosis and survival rates of the affected patients. Tumor-initiating cells (TICs) are considered to be largely responsible for tumor genesis, resistance to tumor therapy, metastasis, and recurrence. In addition to representing a good potential treatment target, TICs can provide clues for the early diagnosis of cancer. MicroRNA (miRNA) alterations are known to be involved in the initiation and progression of human cancer, and the detection of related miRNAs in TICs is an important strategy for lung cancer early diagnosis. As Hsa-miR-155 (miR-155) can be used as a diagnostic marker for non-small cell lung cancer (NSCLC), a smart molecular beacon of miR-155 was designed to image the expression of miR-155 in NSCLC cases. TICs expressing CD133 and CD338 were obtained from A549 cells by applying an immune magnetic bead isolation system, and miR-155 was detected using laser-scanning confocal microscopy. We found that intracellular miR- 155 could be successfully detected using smart miR-155 molecular beacons. Expression was higher in TICs than in A549 cells, indicating that miR-155 may play an important role in regulating bio-behavior of TICs. As a non-invasive approach, molecular beacons could be implemented with molecular imaging to diagnose lung cancer at early stages.</t>
  </si>
  <si>
    <t>The study targets miR-155, a wild-type microRNA.</t>
  </si>
  <si>
    <t>Barlési, F.; Tchouhadjian, C.; Doddoli, C.; Torre, J.-P.; Astoul, P.; Kleisbauer, J.-P.</t>
  </si>
  <si>
    <t>CYFRA 21-1 level predicts survival in non-small-cell lung cancer patients receiving gefitinib as third-line therapy</t>
  </si>
  <si>
    <t>10.1038/sj.bjc.6602296</t>
  </si>
  <si>
    <t>Epidermal growth factor receptor (EGFR) tyrosine kinase inhibitors (TKI) as gefitinib emerged as an accepted treatment in second- or third-line setting in NSCLC. However, clinical surrogate markers of EGFR-TKI activity in NSCLC patients remain to be identified and we studied the prognostic value of CYFRA 21-1 in this setting. Serum samples from 53 patients with NSCLC receiving gefitinib after failure of at least a platinum-containing regimen were prospectively collected from January 2002 to December 2003. Multivariate analysis demonstrated an independent negative impact on survival for a level of CYFRA 21-1 higher than 3.5 ng ml(-1) (HR=2.45, 95% CI 1.13-5.29; P=0.02). In conclusion, CYFRA 21-1 is a tool available to predict the survival of NSCLC patients receiving gefitinib as third-line therapy in an independent manner. In case of a CYFRA 21-1 level higher than 3.5 ng ml(-1), treatment with gefitinib needs further evaluation giving its relative poor effect on survival.</t>
  </si>
  <si>
    <t>Targets wild-type CYFRA 21-1 (Biomarker), not neoantigens.</t>
  </si>
  <si>
    <t>Silva, Wilson A.; Gnjatic, Sacha; Ritter, Erika; Chua, Ramon; Cohen, Tzeela; Hsu, Melinda; Jungbluth, Achim A.; Altorki, Nasser K.; Chen, Yao-Tseng; Old, Lloyd J.; Simpson, Andrew J. G.; Caballero, Otavia L.</t>
  </si>
  <si>
    <t>PLAC1, a trophoblast-specific cell surface protein, is expressed in a range of human tumors and elicits spontaneous antibody responses</t>
  </si>
  <si>
    <t>Cancer Immunity</t>
  </si>
  <si>
    <t>Identification of genes that are upregulated in tumors, and whose normal expression excludes adult somatic tissues but includes germline and/or embryonic tissues, has resulted in a rich variety of cancer antigens that are attractive targets for cancer vaccine and other therapeutic approaches. In the present study, we extended this approach to include genes strongly and restrictively expressed in the placenta by mining publicly available SAGE and EST databases. We identified a number of genes with high expression in placenta and different cancer types but with relatively restricted expression in normal tissues. The gene with the most distinctive expression pattern was found to be PLAC1, which encodes a putative cell surface protein that is highly expressed in placenta, testis, cancer cell lines and lung tumors. Hence we have designated it CT92. We found by ELISA that PLAC1 is immunogenic in a subset of cancer patients and healthy women. Its physical and expression characteristics render it a potential target for both active and passive cancer immunotherapeutic strategies.</t>
  </si>
  <si>
    <t>The study focuses on PLAC1 (Placenta-specific protein 1)</t>
  </si>
  <si>
    <t>Kojima, Hiroshi; Shijubo, Noriharu; Yamada, Gen; Ichimiya, Shingo; Abe, Shosaku; Satoh, Masaaki; Sato, Noriyuki</t>
  </si>
  <si>
    <t>Clinical significance of vascular endothelial growth factor-C and vascular endothelial growth factor receptor 3 in patients with T1 lung adenocarcinoma</t>
  </si>
  <si>
    <t>10.1002/cncr.21366</t>
  </si>
  <si>
    <t>BACKGROUND: Vascular endothelial growth factor-C (VEGF-C) plays an important role in lymphangiogenesis and activates VEGF receptor-3 (VEGFR-3). Lymphatic spread is an important prognostic factor in patients with lung adenocarcinoma. The aim of the current study was to determine whether the expression of VEGF-C and VEGFR-3 correlates with clinicopathologic factors and prognosis in patients with TNM classification T1 lung adenocarcinoma. METHODS: The authors conducted a retrospective review of 129 consecutive patients who underwent complete resection for T1 lung adenocarcinoma. Immunohistochemical staining for VEGF-C, VEGF, VEGFR-3, CD34 (microvessels), tryptase (mast cells), and CD68 (macrophages) was performed to statistically analyze clinicopathologic implications of VEGF-C and VEGFR-3 status. RESULTS: Of 129 patients with T1 lung adenocarcinoma, 56 (43.3%) patients were positive for tumor-cell VEGF-C and 73 (56.6%) and 69 (53.5%) patients were positive for tumor-cell and endothelial-cell VEGFR-3, respectively. Patients with positive staining for tumor-cell VEGF-C showed significantly less favorable survival rates than patients with negative staining (P = 0.031). The survival rates of patients with positive staining for tumor-cell and endothelial-cell VEGFR-3 were significantly lower than those with negative staining (P = 0.0034 and P = 0.0020, respectively). Patients with positive staining for both tumor-cell VEGF-C and endothelial-cell VEGFR-3 exhibited the most unfavorable prognoses. Multivariate analysis demonstrated that coexpression of tumor-cell VEGF-C and endothelial-cell VEGFR-3 was an independent negative prognostic factor (P = 0.0129) as well as N factor (P = 0.0020). CONCLUSIONS: VEGF-C and VEGFR-3 status may be indicative of survival rates for patients with T1 lung adenocarcinoma.</t>
  </si>
  <si>
    <t>While evaluating these angiogenic markers, the research does not identify mutation-derived neoantigens or focus on personalized therapy,</t>
  </si>
  <si>
    <t>Liu, Qixiao; Li, Haijun; Wang, Qin; Zhang, Yuke; Wang, Wei; Dou, Shuang; Xiao, Wei</t>
  </si>
  <si>
    <t>Increased expression of TROP2 in airway basal cells potentially contributes to airway remodeling in chronic obstructive pulmonary disease</t>
  </si>
  <si>
    <t>Respiratory Research</t>
  </si>
  <si>
    <t>10.1186/s12931-016-0463-z</t>
  </si>
  <si>
    <t>BACKGROUND: The airway epithelium of chronic obstructive pulmonary disease (COPD) patients undergoes aberrant repair and remodeling after repetitive injury following exposure to environmental factors. Abnormal airway regeneration observed in COPD is thought to originate in the stem/progenitor cells of the airway epithelium, the basal cells (BCs). However, the molecular mechanisms underlying these changes remain unknown. Here, trophoblast cell surface antigen 2 (TROP2), a protein implicated in the regulation of stem cell activity, was examined in lung tissue samples from COPD patients. METHODS: The expression of TROP2 and hyperplasia index Ki67 was assessed in lung epithelium specimens from non-smokers (n = 24), smokers (n = 24) and smokers with COPD (n = 24). Primary airway BCs were isolated by bronchoscopy from healthy individuals and COPD patients and subsequently transfected with pcDNA3.1-TROP2 or siRNA sequence in vitro. The functional consequences of TROP2 overexpression in BCs were explored. RESULTS: Immunohistochemistry and immunofluorescence revealed increased TROP2 expression in airway BCs in smokers with COPD compared to nonsmokers and smokers without COPD, and staining was highly localized to hyperplastic regions containing Ki67 positive cells. TROP2 expression was also inversely correlated with airflow limitation in patients with COPD (r = -0.53, P &lt; 0.01). pcDNA3.1-TROP2-BCs in vitro exhibited improved proliferation with activation of ERK1/2 phosphorylation signaling pathway. In parallel, changes in vimentin and E-cadherin in pcDNA3.1-TROP2-BCs were consistent with an epithelial-mesenchymal transition (EMT)-like change, and secretion of inflammatory factors IL-1β, IL-8 and IL-6 was increased. Moreover, down-regulation of TROP2 by siRNA significantly attenuated the proliferation of BCs derived from COPD patients. EMT-like features and cytokine levels of COPD basal cells were also weakened following the down-regulation of TROP2. CONCLUSION: The results indicate that TROP2 may play a crucial role in COPD by affecting BC function and thus airway remodeling through increased BC hyperplasia, EMT-like change, and introduction of inflammatory molecules into the microenvironment.</t>
  </si>
  <si>
    <t>The primary focus of the study is Chronic Obstructive Pulmonary Disease (COPD).</t>
  </si>
  <si>
    <t>Dharma Rao, Thapi; Park, Kay J.; Smith-Jones, Peter; Iasonos, Alexia; Linkov, Irina; Soslow, Robert A.; Spriggs, David R.</t>
  </si>
  <si>
    <t>Novel monoclonal antibodies against the proximal (carboxy-terminal) portions of MUC16</t>
  </si>
  <si>
    <t>Applied immunohistochemistry &amp; molecular morphology: AIMM</t>
  </si>
  <si>
    <t>10.1097/PAI.0b013e3181dbfcd2</t>
  </si>
  <si>
    <t>The CA125 antigen, recognized by the OC125 antibody, is a tissue-specific circulating antigen expressed in ovarian cancer. The CA125 antigen is encoded by the MUC16 gene cloned by Yin and Lloyd. The full-length gene describes a complex tethered mucin protein present primarily in a variety of gynecologic tissues, especially neoplasms. OC125 and other related antibodies react with glycosylation-dependent antigens present exclusively in the cleaved portion of the molecule. These antibodies are not useful as screening tools, nor can they detect the proximal residual MUC16 protein fragment after cleavage. This has limited its diagnostic and therapeutic applications. Using synthetic peptides, we raised novel-specific antibodies to the carboxy-terminal portion of MUC16 retained by the cell proximal to the putative cleavage site. These antibodies were characterized using fluorescence-activated cell-sorting analysis, enzyme-linked immunoassay, Western blot analysis, and immunohistochemistry. Each of the selected monoclonal antibodies was reactive against recombinant GST-ΔMUC16 protein and the MUC16-transfected SKOV3 cell line. Three antibodies, 4H11, 9C9, and 4A5 antibodies showed high affinities by Western blot analysis and saturation-binding studies of transfected-SKOV3 cells and displayed antibody internalization. Immunohistochemical positivity with novel antibody 4H11 was similar to OC125 but with important differences, including diffuse positivity in lobular breast cancer and a small percentage of OC125-negative ovarian carcinomas that showed intense and diffuse 4H11. Development of such antibodies may be useful for the characterization of MUC16 biology and allow for future studies in targeted therapy and diagnostics.</t>
  </si>
  <si>
    <t>The primary focus is on Ovarian Cancer (SKOV3 cell lines) and Breast Cancer. While MUC16 is expressed in some lung cancers, this study does not utilize a primary NSCLC patient cohort or lung-specific models for its validation</t>
  </si>
  <si>
    <t>Kobayashi, Hiroya; Nagato, Toshihiro; Aoki, Naoko; Sato, Keisuke; Kimura, Shoji; Tateno, Masatoshi; Celis, Esteban</t>
  </si>
  <si>
    <t>Defining MHC class II T helper epitopes for WT1 tumor antigen</t>
  </si>
  <si>
    <t>10.1007/s00262-005-0071-0</t>
  </si>
  <si>
    <t>The product of Wilms' tumor gene 1 (WT1) is overexpressed in diverse human tumors, including leukemia, lung and breast cancer, and is often recognized by antibodies in the sera of patients with leukemia. Since WT1 encodes MHC class I-restricted peptides recognized by cytotoxic T lymphocytes (CTL), WT1 has been considered as a promising tumor-associated antigen (TAA) for developing anticancer immunotherapy. In order to carry out an effective peptide-based cancer immunotherapy, MHC class II-restricted epitope peptides that elicit anti-tumor CD4(+) helper T lymphocytes (HTL) will be needed. In this study, we analyzed HTL responses against WT1 antigen using HTL lines elicited by in vitro immunization of human lymphocytes with synthetic peptides predicted to serve as HTL epitopes derived from the sequence of WT1. Two peptides, WT1(124-138) and WT1(247-261), were shown to induce peptide-specific HTL, which were restricted by frequently expressed HLA class II alleles. Here, we also demonstrate that both peptides-reactive HTL lines were capable of recognizing naturally processed antigens presented by dendritic cells pulsed with tumor lysates or directly by WT1+ tumor cells that express MHC class II molecules. Interestingly, the two WT1 HTL epitopes described here are closely situated to known MHC class I-restricted CTL epitopes, raising the possibility of stimulating CTL and HTL responses using a relatively small synthetic peptide vaccine. Because HTL responses to TAA are known to be important for promoting long-lasting anti-tumor CTL responses, the newly described WT1 T-helper epitopes could provide a useful tool for designing powerful vaccines against WT1-expressing tumors.</t>
  </si>
  <si>
    <t xml:space="preserve">The study investigates the Wilms' Tumor Gene 1 (WT1) protein. WT1 is a classic Tumor-Associated Antigen (TAA)—a wild-type (self) protein that is overexpressed in various malignancies (leukemia, lung, breast).
</t>
  </si>
  <si>
    <t>Bichsel, Colette A.; Wang, Limei; Froment, Laurène; Berezowska, Sabina; Müller, Stefan; Dorn, Patrick; Marti, Thomas M.; Peng, Ren-Wang; Geiser, Thomas; Schmid, Ralph A.; Guenat, Olivier T.; Hall, Sean R. R.</t>
  </si>
  <si>
    <t>Increased PD-L1 expression and IL-6 secretion characterize human lung tumor-derived perivascular-like cells that promote vascular leakage in a perfusable microvasculature model</t>
  </si>
  <si>
    <t>10.1038/s41598-017-09928-1</t>
  </si>
  <si>
    <t>Pericytes represent important support cells surrounding microvessels found in solid organs. Emerging evidence points to their involvement in tumor progression and metastasis. Although reported to be present in the human lung, their specific presence and functional orientation within the tumor microenvironment in non-small cell lung cancer (NSCLC) has not yet been adequately studied. Using a multiparameter approach, we prospectively identified, sorted and expanded mesenchymal cells from human primary NSCLC samples based on co-expression of CD73 and CD90 while lacking hematopoietic and endothelial lineage markers (CD45, CD31, CD14 and Gly-A) and the epithelial marker EpCAM. Compared to their normal counterpart, tumor-derived Lineage-EpCAM-CD73+CD90+ cells showed enhanced expression of the immunosuppressive ligand PD-L1, a higher constitutive secretion of IL-6 and increased basal αSMA levels. In an in vitro model of 3D microvessels, both tumor-derived and matched normal Lineage-EpCAM-CD73+CD90+ cells supported the assembly of perfusable vessels. However, tumor-derived Lineage-EpCAM-CD73+CD90+ cells led to the formation of vessels with significantly increased permeability. Together, our data show that perivascular-like cells present in NSCLC retain functional abnormalities in vitro. Perivascular-like cells as an eventual target in NSCLC warrants further investigation.</t>
  </si>
  <si>
    <t>The study focuses on perivascular-like mesenchymal cells (pericytes) characterized by the expression of CD73, CD90, and PD-L1.</t>
  </si>
  <si>
    <t>Yu, Dangfan; Du, Kaiqi; Liu, Taifeng; Chen, Guojun</t>
  </si>
  <si>
    <t>Prognostic value of tumor markers, NSE, CA125 and SCC, in operable NSCLC Patients</t>
  </si>
  <si>
    <t>10.3390/ijms140611145</t>
  </si>
  <si>
    <t>The aim of this study was to investigate the prognostic value of tumor markers in operable non-small cell lung cancer (NSCLC) patients. A total of 481 NSCLC patients were enrolled in the present study. High levels of neuron-specific enolase (NSE), carbohydrate antigen 125 (CA125) and squamous cell carcinoma antigen (SCC) were detected in 306 (63.6%), 89 (18.5%) and 125 (26.0%) patients, respectively. Seventy-eight of 481 patients died of disease progression, and the median disease-free survival (DFS) and overall survival (OS) were 16.0 and 21.0 months, respectively. The three-year DFS rate was 56.7%, and the OS rate was 75.3%. For serum NSE, the three-year cumulative DFS rate for the normal and elevated group was 67.7% and 51.8% (p = 0.007). The OS in patients with high and normal levels of NSE was 34.0 months and 48.0 months, respectively. The median DFS was 46.0 months versus 32.0 months (p = 0.001), and the OS was 48.0 months versus 44.0 months (p = 0.001) in patients with normal and high levels of CA125. For patients with squamous cell carcinoma, the overall survival was significantly shorter in patients with elevated levels of SCC (p = 0.041). In the multivariate analysis high levels of NSE, CA125 and clinical stage were signiﬁcantly correlated with worse prognosis (p &lt; 0.05). Patients with all three tumor markers elevated presented the worst prognosis (p &lt; 0.05). In our analysis, high levels of preoperative serum NSE and CA125 are correlated with worse survival in operable NSCLC patients.</t>
  </si>
  <si>
    <t>The study investigates traditional serum tumor markers: NSE (Neuron-Specific Enolase), CA125, and SCC (Squamous Cell Carcinoma Antigen).</t>
  </si>
  <si>
    <t>Li, Hong; Ma, Weijie; Yoneda, Ken Y.; Moore, Elizabeth H.; Zhang, Yanhong; Pu, Lee L. Q.; Frampton, Garrett M.; Molmen, Michael; Stephens, Philip J.; Li, Tianhong</t>
  </si>
  <si>
    <t>Severe nivolumab-induced pneumonitis preceding durable clinical remission in a patient with refractory, metastatic lung squamous cell cancer: a case report</t>
  </si>
  <si>
    <t>Journal of Hematology &amp; Oncology</t>
  </si>
  <si>
    <t>10.1186/s13045-017-0433-z</t>
  </si>
  <si>
    <t>BACKGROUND: Programmed cell death 1 (PD-1) and its ligand 1 (PD-L1) inhibitors have quickly become standard of care for patients with advanced non-small cell lung cancer and increasing numbers of other cancer types. In this report, we discuss the clinical history, pathological evaluation, and genomic findings in a patient with metastatic lung squamous cell cancer (SCC) who developed severe nivolumab-induced pneumonitis preceding durable clinical remission after three doses of nivolumab. CASE PRESENTATION: A patient with chemotherapy-refractory, metastatic lung SCC developed symptomatic pneumonitis by week 4 after nivolumab treatment, concurrently with onset of a potent antitumor response. Despite discontinuation of nivolumab after three doses and the use of high dose oral corticosteroids for grade 3 pneumonitis, continued tumor response to a complete remission by 3 months was evident by radiographic assessment. At the time of this submission, the patient has remained in clinical remission for 14 months. High PD-L1 expression by immunohistochemistry staining was seen in intra-alveolar macrophages and viable tumor cells in the pneumonitis and recurrent tumor specimens, respectively. Tumor genomic profiling by FoundationOne targeted exome sequencing revealed a very high tumor mutation burden (TMB) corresponding to 95-96 percentile in lung SCC, i.e., 87.4-91.0 and 82.9 mut/Mb, respectively, in pre- and post-nivolumab tumor specimens. Except for one, the 13 functional genomic alterations remained the same in the diagnostic, recurrent, and post-treatment, relapsed tumor specimens, suggesting that nivolumab reset the patient's immune system against one or more preexisting tumor-associated antigens (TAAs). One potential TAA candidate is telomerase reverse transcriptase (TERT) in which an oncogenic promoter -146C&gt;T mutation was detected. Human leukocyte antigen (HLA) typing revealed HLA-A*0201 homozygosity, which is the prevalent HLA class I allele that has been used to develop universal cancer vaccine targeting TERT-derived peptides. CONCLUSIONS: Nivolumab could quickly reset and sustain host immunity against preexisting TAA(s) in this chemotherapy-refractory lung SCC patient. Further mechanistic studies are needed to characterize the effective immune cells and define the HLA-restricted TAA(s) and the specific T cell receptor clones responsible for the potent antitumor effect, with the aim of developing precision immunotherapy with improved effectiveness and safety.</t>
  </si>
  <si>
    <t>Okarvi, Subhani M.; AlJammaz, Ibrahim</t>
  </si>
  <si>
    <t>Development of the Tumor-Specific Antigen-Derived Synthetic Peptides as Potential Candidates for Targeting Breast and Other Possible Human Carcinomas</t>
  </si>
  <si>
    <t>Molecules</t>
  </si>
  <si>
    <t>10.3390/molecules24173142</t>
  </si>
  <si>
    <t>The human epidermal growth factor receptor 2 (HER2) represents one of the most studied tumor-associated antigens for cancer immunotherapy. The receptors for HER2 are overexpressed in various human cancers, such as breast and ovarian cancer. The relatively low expression of this antigen on normal tissues makes it a clinically useful molecular target for tumor imaging and targeted therapy. HER2 overexpression is correlated with aggressive tumor behavior and poor clinical outcomes. Thus, HER2 has become an important prognostic and predictive factor, as well as a potential molecular target. Due to the heterogeneity of breast cancer and possible discordance in HER2 status between primary tumors and distant metastases, assessment of HER2 expression by noninvasive imaging is important. Molecular imaging of HER2 expression may provide essential prognostic and predictive information concerning disseminated cancer and aid in the selection of an optimal therapy. Another tumor-specific antigen is MUC1, which is silent on normal tissues, but overexpressed in almost all human epithelial cell cancers, including &gt;90% of human breast, ovarian, pancreatic, colorectal, lung, prostate, and gastric cancers and is a promising tumor antigen with diagnostic as well as the therapeutic potential of cancer. Radiolabeled small peptide ligands are attractive as probes for molecular imaging, as they reach and bind the target receptor efficiently and clear from blood and non-target organs faster than bulky antibodies. In this study, HER2 and MUC1-based peptides were synthesized and preclinically evaluated in an effort to develop peptide-based SPECT radiopharmaceuticals derived from tumor-associated antigens for the detection of breast cancer. Our findings demonstrate that the tumor antigen peptides radiolabeled efficiently with 99mTc and showed high metabolic stability in human plasma in vitro. The data from breast tumor cell binding confirmed the high affinity (in low nanomolar range) towards respective breast cancer cell lines. In healthy mice, 99mTc-labeled peptides displayed favorable pharmacokinetics, with high excretion by the renal system. In tumor xenografts nude mice models, good uptake by the SKBR3, MCF7, and T47D tumors were found, with good tumor-to-blood and tumor to muscle ratios. Additionally, tumor lesions can be seen in γ-camera imaging. Our data suggest that based on its ability to detect HER2- and MUC1-positive breast cancer cells in vivo, 99mTc-HER2 and 99mTc-MUC1-targeted peptides may be promising tumor imaging probes and warrant further investigation.</t>
  </si>
  <si>
    <t>The study focuses exclusively on Breast Cancer (SKBR3, MCF7, and T47D cell lines and xenografts)</t>
  </si>
  <si>
    <t>Rossmann, Eva; Österborg, Anders; Löfvenberg, Eva; Choudhury, Aniruddha; Forssmann, Ulf; von Heydebreck, Anja; Schröder, Andreas; Mellstedt, Håkan</t>
  </si>
  <si>
    <t>Mucin 1-specific active cancer immunotherapy with tecemotide (L-BLP25) in patients with multiple myeloma: an exploratory study</t>
  </si>
  <si>
    <t>10.4161/hv.29918</t>
  </si>
  <si>
    <t>Patients (n = 34) with previously untreated, slowly progressive asymptomatic stage I/II multiple myeloma or with stage II/III multiple myeloma in stable response/plateau phase following conventional anti-tumor therapy were immunized repeatedly with the antigen-specific cancer immunotherapeutic agent tecemotide (L-BLP25). Additionally, patients were randomly allocated to either single or multiple low doses of cyclophosphamide to inhibit regulatory T cells (Treg). Immunization with tecemotide resulted in the induction/augmentation of a mucin 1-specific immune response in 47% of patients. The immune responses appeared to involve a Th1-like cellular immune response involving CD4 and CD8 T cells. The rate of immune responses was similar with single versus multiple dosing of cyclophosphamide and in patients with vs. without pre-existing mucin 1 immunity. On-treatment reductions in the slope of M-protein concentration over time (but not fulfilling clinical criteria for responses with conventional anti-tumor agents) were observed in 45% of evaluable patients, predominantly in those without versus with pre-existing mucin 1 immunity and in patients with early stage disease. No differences were seen in patients receiving single or multiple cyclophosphamide dosing. Treatment with tecemotide was generally well tolerated. Repeated vs. single dosing of cyclophosphamide had no impact on Treg numbers and was stopped after a case of fatal encephalitis that was assessed as possibly study-related. Tecemotide immunotherapy induces mucin 1-specific cellular immune responses in a substantial proportion of patients, with preliminary evidence of changes in the M-protein concentration time curve in a subset of patients.</t>
  </si>
  <si>
    <t>The study focuses exclusively on patients with Multiple Myeloma (Stage I/II asymptomatic or Stage II/III plateau phase).</t>
  </si>
  <si>
    <t>Krawczyk, Paweł; Wojas, Kamila; Milanowski, Janusz; Roliński, Jacek</t>
  </si>
  <si>
    <t>The influence of different culture microenvironments on the generation of dendritic cells from non-small-cell lung cancer patients</t>
  </si>
  <si>
    <t>Archivum Immunologiae Et Therapiae Experimentalis</t>
  </si>
  <si>
    <t>10.1007/s00005-007-0046-2</t>
  </si>
  <si>
    <t>INTRODUCTION: Monocyte-derived dendritic cells (DCs) are currently under extensive evaluation as cell vaccines for cancer treatment. Many protocols regarding DCs generation in vitro with different protein components, especially autologous proteins, have been described. On the other hand, active tumor-derived factors in patients' serum could impair monocytes, which might result in their abrogated differentiation into DCs in vitro. MATERIALS AND METHODS: Autologous DCs from non-small-cell lung cancer (NSCLC)-bearing patients were generated in different culture microenvironments. Peripheral blood mononuclear cells (PBMCs) were cultured in the presence of interleukin-4 and granulocyte-monocyte-stimulating factor with supplementation of 10% autologous serum, 10% allogenic serum, or 2% human albumin. The course of apoptosis, phagocytic ability, and the immunophenotype of the generated DCs were analyzed using flow cytometric methods. RESULTS: After 48 h of culture, we found a lower percentage of CD1a+/CD14+ and a higher percentage of CD1a+/CD14(-) cells in the culture supplemented with human albumin than in the cultures supplemented with serums. The lowest CD14 antigen expression was found in the human albumin-supplemented 48-h cultures. After 48 h in the cultures carried out with human albumin we found significantly higher percentages of AV+/PI+ cells and AV(-)/PI+ cells than in cultures supplemented with autologous or allogenic serum. We also noted that the expression of FITC-dextran after 4 and 24 h of incubation was significantly higher in the cultures supplemented with both serums than in the HA-SC. The percentage of semi-mature DCs and of CD83 expression was lowest in the culture supplemented with 2% human albumin. CONCLUSIONS: The kind of culture supplementation had a great impact on the apoptosis of cultured PBMCs. It could also influence the yield of monocyte-derived DCs. It was also confirmed that autologous and allogenic serums provide suitable microenvironments for the generation of autologous DCs from NSCLC patients. The choice of culture supplementation for DC generation is still unsolved and further studies should be undertaken.</t>
  </si>
  <si>
    <t xml:space="preserve"> The study focuses on the methodology of generating Dendritic Cells (DCs) from monocytes.</t>
  </si>
  <si>
    <t>Jankowska, Olga; Krawczyk, Paweł; Wojas-Krawczyk, Kamila; Sagan, Dariusz; Milanowski, Janusz; Roliński, Jacek</t>
  </si>
  <si>
    <t>Phenotype of dendritic cells generated in the presence of non-small cell lung cancer antigens - preliminary report</t>
  </si>
  <si>
    <t>Folia Histochemica Et Cytobiologica</t>
  </si>
  <si>
    <t>10.2478/v10042-008-0078-4</t>
  </si>
  <si>
    <t>Therapeutic outcomes of definitively treated non-small-cell lung cancer (NSCLC) are unacceptably poor. It has been proposed that the manipulation of dendritic cells (DCs) as a "natural" vaccine adjuvant may prove to be a particularly effective way to stimulate antitumor immunity. Presently, there is no standardized methodology for preparing vaccines and many questions concerning the optimal source and type of antigens as well as maturation state and activity of DCs are still unsolved. The study population comprised of ten patients with histologically confirmed NSCLC (mean age: 67.63 +/- 6.15 years). Resected small tumor pieces were placed in tissue culture dishes containing different growth factors in order to obtain pure cancer cells. Seven days after the operation, the PBMC were collected and monocytes were purified by the adherence to culture dishes. Monocytes were cultured in RPMI 1640 medium supplemented with 10% of autologous plasma in the presence of rhIL-4 and rhGM-CSF to generate immature autologous (DCs). TNF-alpha with or without tumor cells' lysate were added to maturation of DCs. After 7 days of culture, DCs were harvested and the expression of CD1a, CD83, CD80, CD86 and HLA-DR antigens were analyzed by flow cytometry. We discovered higher (p=0.07) percentage of semimature DCs in tumor cell lysate culture in comparison with TNF-alpha culture (21.22 +/- 16.82% versus 11.27 +/- 11.64%). The expression of co-stimulatory and maturation markers (CD86, CD83 and HLA-DR) was higher on DCs from the culture with tumor cell lysate compared with TNF-alpha culture as a control. Specimen of NSCLC's culture prepared in this way could generate differences in DCs phenotype, which may have an influence on the therapeutic and protective antitumor immunity of the vaccine. Our research seems to be the next step in the development of DC-based vaccine. We are going to continue the investigation to start the preparation of a pattern of immunological vaccine against lung cancer.</t>
  </si>
  <si>
    <t xml:space="preserve">The study utilizes whole tumor cell lysates. While lysates contain the entire repertoire of cellular proteins, this study does not identify, isolate, or prioritize mutation-derived neoantigens (SNVs, indels, fusions).
</t>
  </si>
  <si>
    <t>Otsuka, Yutaro; Oikawa, Tsukasa; Yoshino, Hinako; Hashimoto, Shigeru; Handa, Haruka; Yamamoto, Hiroki; Hashimoto, Ari; Sabe, Hisataka</t>
  </si>
  <si>
    <t>Frequent overexpression of AMAP1, an Arf6 effector in cell invasion, is characteristic of the MMTV-PyMT rather than the MMTV-Neu human breast cancer model</t>
  </si>
  <si>
    <t>Cell communication and signaling: CCS</t>
  </si>
  <si>
    <t>10.1186/s12964-017-0212-z</t>
  </si>
  <si>
    <t>BACKGROUND: The small GTPase Arf6 and its downstream effector AMAP1 (also called ASAP1/DDEF1) constitute a signaling pathway promoting cell invasion, in which AMAP1 interacts with several different proteins, including PRKD2, EPB41L5, paxillin, and cortactin. Components of this pathway are often overexpressed in human breast cancer cells, to be correlated with poor prognosis of the patients, whereas overexpression of the Arf6 pathway did not correlate with the four main molecular classes of human breast tumors. In this pathway, receptor tyrosine kinases, including EGFR and Her2, activate Arf6 via GEP100. MMTV-PyMT mice and MMTV-Neu mice are well-established models of human breast cancer, and exhibit the early dissemination and the lung metastasis, by utilizing protein tyrosine phosphorylation for oncogenesis. PyMT-tumors and Neu-tumors are known to have overlapping gene expression profiles, which primarily correspond to the luminal B-type of human mammary tumors, although they differ in the time necessary for tumor onset and metastasis. Given the common usage of protein tyrosine phosphorylation, as well as the frequent use of these animal models for studying breast cancer at the molecular level, we here investigated whether mammary tumors in these mouse models utilize the Arf6-based pathway for invasion. METHODS: Expression levels of Arf6, AMAP1, and GEP100 were analyzed in PyMT-tumors and Neu-tumors by western blotting. Expression of Arf6 and AMAP1 was also analyzed by immunohistochemistry. The involvement of AMAP1 in invasion, and the possible correlation of its high expression levels with cancer mesenchymal properties were also investigated. RESULTS: We found that PyMT-tumors, but not Neu-tumors, frequently overexpress AMAP1 and use it for invasion, whereas both types of tumors expressed Arf6 and GEP100 at different levels. High levels of the AMAP1 expression among PyMT-tumor cells were frequently correlated with loss of the epithelial marker CK8 and also with expression of the mesenchymal marker vimentin both at the primary sites and at sites of the lung metastases. CONCLUSIONS: PyMT-tumors appear to frequently utilize the Arf6-based invasive machinery, whereas Neu-tumors do not. Our results suggest that MMTV-PyMT mice, rather than MMTV-Neu mice, are useful to study the Arf6-based mammary tumor malignancies, as a representative model of human breast cancer.</t>
  </si>
  <si>
    <t>The study focuses exclusively on Breast Cancer using MMTV-PyMT and MMTV-Neu mouse models.</t>
  </si>
  <si>
    <t>Mesri, Mehdi; Birse, Charlie; Heidbrink, Jenny; McKinnon, Kathy; Brand, Erin; Bermingham, Candy Lee; Feild, Brian; Fitzhugh, William; He, Tao; Ruben, Steve; Moore, Paul A.</t>
  </si>
  <si>
    <t>Identification and characterization of angiogenesis targets through proteomic profiling of endothelial cells in human cancer tissues</t>
  </si>
  <si>
    <t>10.1371/journal.pone.0078885</t>
  </si>
  <si>
    <t>Genomic and proteomic analysis of normal and cancer tissues has yielded abundant molecular information for potential biomarker and therapeutic targets. Considering potential advantages in accessibility to pharmacological intervention, identification of targets resident on the vascular endothelium within tumors is particularly attractive. By employing mass spectrometry (MS) as a tool to identify proteins that are over-expressed in tumor-associated endothelium relative to normal cells, we aimed to discover targets that could be utilized in tumor angiogenesis cancer therapy. We developed proteomic methods that allowed us to focus our studies on the discovery of cell surface/secreted proteins, as they represent key antibody therapeutic and biomarker opportunities. First, we isolated endothelial cells (ECs) from human normal and kidney cancer tissues by FACS using CD146 as a marker. Additionally, dispersed human colon and lung cancer tissues and their corresponding normal tissues were cultured ex-vivo and their endothelial content were preferentially expanded, isolated and passaged. Cell surface proteins were then preferentially captured, digested with trypsin and subjected to MS-based proteomic analysis. Peptides were first quantified, and then the sequences of differentially expressed peptides were resolved by MS analysis. A total of 127 unique non-overlapped (157 total) tumor endothelial cell over-expressed proteins identified from directly isolated kidney-associated ECs and those identified from ex-vivo cultured lung and colon tissues including known EC markers such as CD146, CD31, and VWF. The expression analyses of a panel of the identified targets were confirmed by immunohistochemistry (IHC) including CD146, B7H3, Thy-1 and ATP1B3. To determine if the proteins identified mediate any functional role, we performed siRNA studies which led to previously unidentified functional dependency for B7H3 and ATP1B3.</t>
  </si>
  <si>
    <t>this research targets differentially expressed normal proteins rather than neoantigens</t>
  </si>
  <si>
    <t>Schneider, Joachim; Bitterlich, Norman; Kotschy-Lang, Nicola; Raab, Wolfgang; Woitowitz, Hans-Joachim</t>
  </si>
  <si>
    <t>A fuzzy-classifier using a marker panel for the detection of lung cancers in asbestosis patients</t>
  </si>
  <si>
    <t>BACKGROUND: The aim of this study was to evaluate the diagnostic power of a fuzzy classifier and a marker panel (CYFRA 21-1, NSE, CRP) for the detection of lung cancers in comparison to asbestosis patients at high-risk of developing lung cancer. PATIENTS AND METHODS: A panel of four tumour markers, i.e. CEA, CYFRA 21-1, NSE, SCC and CRP, was measured in newly diagnosed lung cancer patients of different histological types and stages in comparison to asbestosis patients. In this prospective study, a fuzzy classifier was generated with the data of 216 primary lung cancer patients and 76 patients suffering from asbestosis. The patients and controls were recruited in the clinics of the University in Giessen. RESULTS: At 95%-specificity, it was possible with this tool to detect non-small cell lung cancers in 70% at stage I (n = 30), in 95% at stage II (n = 22), in 98% at stage III (n = 56), in 92% at stage IV (n = 50) and small cell lung cancers with limited disease status (n = 21) in 90.7% and with extensive disease status (n = 37) in 97.3%. In contrast, single markers had a detection rate significantly far below these. The application of the classifier was examined on an independent collective of 38 non-small cell lung cancers and 76 asbestosis patients. The latter underwent stationary rehabilitation in the clinics for occupational diseases in Bad Reichenhall or Falkenstein. The fuzzy classifier showed correct negative classification in 75 out of the 76 cancer-free asbestosis patients, which confirmed a specificity of 97.4%. The overall sensitivity for lung cancer detection in high risk populations was 73.6%. All large cell carcinomas were detected. The positive predictive value was 77.7%. The negative predictive value reached 94.8%. CONCLUSION: With the fuzzy classifier and a marker panel, a reliable diagnostic tool for the detection of lung cancers in a high risk population is available.</t>
  </si>
  <si>
    <t>The study investigates a panel of standard serum markers: CEA, CYFRA 21-1, NSE, SCC, and CRP.</t>
  </si>
  <si>
    <t>Jiang, Yang; Feng, Xin; Zheng, Lei; Li, Sheng-Lin; Ge, Xi-Yuan; Zhang, Jian-Guo</t>
  </si>
  <si>
    <t>Thioredoxin 1 mediates TGF-β-induced epithelial-mesenchymal transition in salivary adenoid cystic carcinoma</t>
  </si>
  <si>
    <t>10.18632/oncotarget.4635</t>
  </si>
  <si>
    <t>Epithelial-mesenchymal transition (EMT) plays an important role in the invasion and metastasis of salivary adenoid cystic carcinoma (SACC) which is characterized by wide local infiltration, perineural spread, a propensity to local recurrence and late distant metastasis. Our recent studies have disclosed that TGF-β is a crucial factor for EMT in metastatic SACC. In this study, we further uncovered small redox protein thioredoxin 1 (TXN) as a critical mediator of TGF-β induced EMT. Immunohistochemistry analysis revealed significantly higher expressions of TXN, thioredoxin reductase 1 (TXNRD1) and N-cadherin, and lower expression of E-cadherin in human metastatic SACC compared to non-metastatic SACC tissues. Consistently, cultured SACC cells with stable TXN overexpression had decreased E-cadherin and increased N-cadherin as well as Snail and Slug expressions. The enhanced migration and invasion potential of these cells was abrogated by Akt or TXNRD1 inhibitors. Expression of N-cadherin and Akt p-Akt decreased, whereas E-cadherin expression increased in a BBSKE (TXNRD1 inhibitor)-dose-dependent manner. In a xenograft mouse model, TXN overexpression facilitated the metastatic potential of SACC-83 cells to the lung. Our results indicate that TXN plays a key role in SACC invasion and metastasis through the modulation of TGF-β-Akt/GSK-3β on EMT. TXN could be a potential therapeutic target for SACC.</t>
  </si>
  <si>
    <t>The study focus is exclusively on Salivary Adenoid Cystic Carcinoma (SACC).</t>
  </si>
  <si>
    <t>Li, Shujun; Shi, Hai; Ji, Fuyun; Wang, Biaoluo; Feng, Quanxin; Feng, Xiangying; Jia, Zhiyu; Zhao, Qingchuan; Qian, Guisheng</t>
  </si>
  <si>
    <t>The human lung cancer drug resistance-related gene BC006151 regulates chemosensitivity in H446/CDDP cells</t>
  </si>
  <si>
    <t>Biological &amp; Pharmaceutical Bulletin</t>
  </si>
  <si>
    <t>10.1248/bpb.33.1285</t>
  </si>
  <si>
    <t>This study aimed to investigate the mechanism by which the human lung cancer drug resistance-related gene BC006151 regulates chemosensitivity by down-regulating BC006151 expression via antisense gene transfer in H446/(C)DDP cells. A retroviral vector containing the antisense BC006151 sequence was constructed and transfected into H446/(C)DDP cells. Transfection of the empty vector served as a negative control. The two groups of transfected cells were treated with various chemotherapeutic agents, after which morphological changes in cell ultrastructure were compared by transmission electron microscopy, cell proliferation and chemosensitivity to particular chemotherapeutic agents were compared by the 3-(4,5-dimethylthiazol-2-yl)-2,5-diphenyltetrazolium bromide method, the effects of chemotherapy on cell cycle and apoptosis were compared by flow cytometry, and Bcl-2 was evaluated by immunohistochemistry and Western blot analysis. Results showed that apoptotic body-like structures were identified by transmission electron microscopy in the antisense gene-transfected cells. MTT founded that these cells exhibited a significantly lower level of proliferation than the control cells (p&lt;0.01), together with a markedly increased sensitivity to various chemotherapeutic agents (p&lt;0.01). Flow cytometry analysis revealed that a G1 phase arrest accounted for the reduction in proliferation in the antisense gene-transfected cells; increased apoptosis was also detected (p&lt;0.01). Both immunohistochemistry and western blot analysis confirmed that Bcl-2 expression was significantly down-regulated in the antisense gene-transfected cells compared to controls. In a word, down-regulation of BC006151 can significantly inhibit proliferation and increase apoptosis of H446/(C)DDP cells after chemotherapy, and this gene may play an important role in the development of multidrug resistance in lung cancer.</t>
  </si>
  <si>
    <t>The study focus is exclusively on the H446/(C)DDP cell line, which is a multidrug-resistant variant of the human Small Cell Lung Cancer (SCLC) cell line H446</t>
  </si>
  <si>
    <t>Wu, Jenny L.; Iams, Wade T.</t>
  </si>
  <si>
    <t>Acquired RUFY1-RET rearrangement as a mechanism of resistance to lorlatinib in a patient with CD74-ROS1 rearranged non-small cell lung cancer: A case report</t>
  </si>
  <si>
    <t>10.18632/oncotarget.28682</t>
  </si>
  <si>
    <t>ROS1 and RET fusions are targetable mutations that occur in a subset of patients with non-small cell lung cancer (NSCLC). ROS1 and RET have been understood to be independent oncogenic drivers which do not co-occur with other common tyrosine kinase receptor mutations except in the acquired resistance setting. Here we present a case of a patient with stage IV CD-74-ROS1 fusion NSCLC discovered initially with RNA next generation sequencing (NGS) who acquired resistance to lorlatinib after 6 months on therapy through a novel RUFY1-RET fusion, detected only through RNA NGS. Combination therapy targeting RET and ROS1 using pralsetinib and lorlatinib achieved a partial response with limited durability of only four months. This is the first reported case of a RET fusion as a potential mechanism of resistance to lorlatinib, it identifies a novel RET fusion partner, and it emphasizes the importance of testing for acquired resistance mutations with both DNA and RNA at the time of progression in patients with targetable oncogenic drivers.</t>
  </si>
  <si>
    <t>The study focuses on oncogenic driver fusions (CD74-ROS1) and acquired resistance fusions (RUFY1-RET).</t>
  </si>
  <si>
    <t>Yamada, Teppei; Azuma, Koichi; Muta, Emi; Kim, Jintaek; Sugawara, Shunichi; Zhang, Guang Lan; Matsueda, Satoko; Kasama-Kawaguchi, Yuri; Yamashita, Yuichi; Yamashita, Takuto; Nishio, Kazuto; Itoh, Kyogo; Hoshino, Tomoaki; Sasada, Tetsuro</t>
  </si>
  <si>
    <t>EGFR T790M mutation as a possible target for immunotherapy; identification of HLA-A*0201-restricted T cell epitopes derived from the EGFR T790M mutation</t>
  </si>
  <si>
    <t>10.1371/journal.pone.0078389</t>
  </si>
  <si>
    <t>Treatment with epidermal growth factor receptor tyrosine kinase inhibitors (EGFR-TKIs), such as gefitinib and erlotinib, has achieved high clinical response rates in patients with non-small cell lung cancers (NSCLCs). However, over time, most tumors develop acquired resistance to EGFR-TKIs, which is associated with the secondary EGFR T790M resistance mutation in about half the cases. Currently there are no effective treatment options for patients with this resistance mutation. Here we identified two novel HLA-A*0201 (A2)-restricted T cell epitopes containing the mutated methionine residue of the EGFR T790M mutation, T790M-5 (MQLMPFGCLL) and T790M-7 (LIMQLMPFGCL), as potential targets for EGFR-TKI-resistant patients. When peripheral blood cells were repeatedly stimulated in vitro with these two peptides and assessed by antigen-specific IFN-γ secretion, T cell lines responsive to T790M-5 and T790M-7 were established in 5 of 6 (83%) and 3 of 6 (50%) healthy donors, respectively. Additionally, the T790M-5- and T790M-7-specific T cell lines displayed an MHC class I-restricted reactivity against NSCLC cell lines expressing both HLA-A2 and the T790M mutation. Interestingly, the NSCLC patients with antigen-specific T cell responses to these epitopes showed a significantly less frequency of EGFR-T790M mutation than those without them [1 of 7 (14%) vs 9 of 15 (60%); chi-squared test, p = 0.0449], indicating the negative correlation between the immune responses to the EGFR-T790M-derived epitopes and the presence of EGFR-T790M mutation in NSCLC patients. This finding could possibly be explained by the hypothesis that immune responses to the mutated neo-antigens derived from T790M might prevent the emergence of tumor cell variants with the T790M resistance mutation in NSCLC patients during EGFR-TKI treatment. Together, our results suggest that the identified T cell epitopes might provide a novel immunotherapeutic approach for prevention and/or treatment of EGFR-TKI resistance with the secondary EGFR T790M resistance mutation in NSCLC patients.</t>
  </si>
  <si>
    <t>Riemer, Angelika B.; Förster-Waldl, Elisabeth; Brämswig, Kira H.; Pollak, Arnold; Zielinski, Christoph C.; Pehamberger, Hubert; Lode, Holger N.; Scheiner, Otto; Jensen-Jarolim, Erika</t>
  </si>
  <si>
    <t>Induction of IgG antibodies against the GD2 carbohydrate tumor antigen by vaccination with peptide mimotopes</t>
  </si>
  <si>
    <t>European Journal of Immunology</t>
  </si>
  <si>
    <t>10.1002/eji.200535279</t>
  </si>
  <si>
    <t>The disialoganglioside GD2, a carbohydrate antigen, is expressed on all tumors of neuroectodermal origin, including melanoma, neuroblastoma, sarcoma and small cell lung cancer. Due to its specific expression on tumor surfaces, GD2 is an attractive target for immunotherapies. The mouse/human chimeric anti-GD2 mAb ch14.18 is already applied in melanoma and neuroblastoma trials as a passive immunotherapy. To establish an active immunotherapy alternative, we aimed to replace the poorly immunogenic ganglioside with immunogenic peptides. Previously, we used the ch14.18 antibody to select GD2 peptide mimics from a phage display library. In the present study, two mimics of the ch14.18 epitope were coupled to keyhole limpet hemocyanin and used for immunizing BALB/c mice. Induction of a specific humoral immune response towards the original antigen GD2, both purified and expressed on neuroblastoma and melanoma cells, could be demonstrated in ELISA, Western blot, and immunofluorohistochemistry. As the elicited antibodies were of the IgG isotype, the mimotope conjugates were capable of recruiting T cell help and inducing memory phenomena. In conclusion, we show that an epitope of the carbohydrate antigen GD2 can successfully be translated into immunogenic peptide mimotopes. Our immunization experiments indicate that GD2 mimotopes are suitable for active immunotherapy of GD2-expressing tumors.</t>
  </si>
  <si>
    <t>Targets GD2 (Wild-type Glycolipid), not a mutation-derived neoantigen</t>
  </si>
  <si>
    <t>Loisel-Meyer, Severine; Felizardo, Tania; Mariotti, Jacopo; Mossoba, Miriam E.; Foley, Jason E.; Kammerer, Robert; Mizue, Nobuo; Keefe, Robert; McCart, J. Andrea; Zimmermann, Wolfgang; Dropulic, Boro; Fowler, Daniel H.; Medin, Jeffrey A.</t>
  </si>
  <si>
    <t>Potent induction of B- and T-cell immunity against human carcinoembryonic antigen-expressing tumors in human carcinoembryonic antigen transgenic mice mediated by direct lentivector injection</t>
  </si>
  <si>
    <t>10.1158/1535-7163.MCT-08-0769</t>
  </si>
  <si>
    <t>The applicability of immunotherapy would be dramatically broadened to a greater number of recipients if direct "off-the-shelf" products could be engineered to engender functionally potent immune responses against true "self"-tumor antigens. This would obviate the need for ex vivo culture of dendritic cells or T cells on a patient-by-patient basis, for example. The carcinoembryonic antigen (CEA) is a glycoprotein expressed in normal gut epithelium that is up-regulated in the majority of colon cancers, non-small cell lung cancers, and half of all breast cancers. Such properties make CEA an excellent and important target for cancer immunotherapy. In this study, we show stabilization of 14-day established s.c. mGC4CEA tumors in human CEA (huCEA) transgenic mice following two direct low-dose injections of 0.15x10(6) transducing units of a lentiviral vector (LV) that directs expression of huCEA (LV-huCEA). This stabilization result was reproducible and detailed analyses including antibody assays, multiplex cytokine analyses on unstimulated splenocytes, lymph node cell characterizations, tetramer staining, and immunofluorescence staining of tumor sections showed that this outcome correlated with both a cellular and humoral immune response. Similar tumor outcomes were not seen when mice were vaccinated with a control LV that engineered expression of enGFP only. The long-term potency of this vaccination strategy was also studied and revealed the requirement for maintenance of tumor antigen-specific immunity for efficient tumor control. These data support the use of direct injections of low doses of LV-huCEA for enhancement of tumor immunotherapy directed against CEA.</t>
  </si>
  <si>
    <t>Targets wild-type CEA (TAA), not a mutation-derived neoantigen.</t>
  </si>
  <si>
    <t>Nwogu, Chukwumere E.; Yendamuri, Sai; Tan, Wei; Kannisto, Eric; Bogner, Paul; Morrison, Carl; Cheney, Richard; Dexter, Elisabeth; Picone, Anthony; Hennon, Mark; Hutson, Alan; Reid, Mary; Adjei, Alex; Demmy, Todd L.</t>
  </si>
  <si>
    <t>Lung cancer lymph node micrometastasis detection using real-time polymerase chain reaction: correlation with vascular endothelial growth factor expression</t>
  </si>
  <si>
    <t>10.1016/j.jtcvs.2012.12.023</t>
  </si>
  <si>
    <t>OBJECTIVES: Lymph node staging provides critical information in patients with non-small cell lung cancer (NSCLC). Lymphangiogenesis may be an important contributor to the pathophysiology of lymphatic metastases. We hypothesized that the presence of lymph node micrometastases positively correlates with vascular endothelial growth factors (VEGFs) A, C, and D as well as VEGF-receptor-3 (lymphangiogenic factors) expression in lymph nodes. METHODS: Forty patients with NSCLC underwent preoperative positron emission tomography-computed tomography and mediastinoscopy. Real-time polymerase chain reaction (RT-PCR) assays for messenger RNA expression of epithelial markers (ie, cytokeratin 7; carcinoembryonic antigen-related cell adhesion molecule 5; and palate, lung, and nasal epithelium carcinoma-associated protein) were performed in selected fluorodeoxyglucose-avid lymph nodes. VEGF-A, VEGF-C, VEGF-D, and VEGF receptor-3 expression levels were measured in primary tumors and lymph nodes. Wilcoxon rank sum test was run for the association between the RT-PCR epithelial marker levels and VEGF expression levels in the lymph nodes. RESULTS: RT-PCR for cytokeratin 7; carcinoembryonic antigen-related cell adhesion molecule 5; or palate, lung, and nasal epithelium carcinoma-associated protein indicated lymph node micrometastatic disease in 19 of 35 patients (54%). There was a high correlation between detection of micrometastases and VEGF-A, VEGF-C, VEGF-D, or VEGF receptor-3 expression levels in lymph nodes. Median follow-up was 12.6 months. CONCLUSIONS: RT-PCR analysis of fluorodeoxyglucose-avid lymph nodes results in up-staging a patient's cancer. Micrometastases correlate with the expression of VEGF in lymph nodes in patients with NSCLC. This may reflect the role of lymphangiogenesis in promoting metastases.</t>
  </si>
  <si>
    <t>The study investigates mRNA expression of epithelial markers (Cytokeratin 7, CEACAM5/CEA, PLUNC) and angiogenic/lymphangiogenic factors (VEGF-A, C, D, and VEGFR-3)</t>
  </si>
  <si>
    <t>Saiag, P.; Gutzmer, R.; Ascierto, P. A.; Maio, M.; Grob, J.-J.; Murawa, P.; Dreno, B.; Ross, M.; Weber, J.; Hauschild, A.; Rutkowski, P.; Testori, A.; Levchenko, E.; Enk, A.; Misery, L.; Vanden Abeele, C.; Vojtek, I.; Peeters, O.; Brichard, V. G.; Therasse, P.</t>
  </si>
  <si>
    <t>Prospective assessment of a gene signature potentially predictive of clinical benefit in metastatic melanoma patients following MAGE-A3 immunotherapeutic (PREDICT)</t>
  </si>
  <si>
    <t>10.1093/annonc/mdw291</t>
  </si>
  <si>
    <t>BACKGROUND: Genomic profiling of tumor tissue may aid in identifying predictive or prognostic gene signatures (GS) in some cancers. Retrospective gene expression profiling of melanoma and non-small-cell lung cancer led to the characterization of a GS associated with clinical benefit, including improved overall survival (OS), following immunization with the MAGE-A3 immunotherapeutic. The goal of the present study was to prospectively evaluate the predictive value of the previously characterized GS. PATIENTS AND METHODS: An open-label prospective phase II trial ('PREDICT') in patients with MAGE-A3-positive unresectable stage IIIB-C/IV-M1a melanoma. RESULTS: Of 123 subjects who received the MAGE-A3 immunotherapeutic, 71 (58.7%) displayed the predictive GS (GS+). The 1-year OS rate was 83.1%/83.3% in the GS+/GS- populations. The rate of progression-free survival at 12 months was 5.8%/4.1% in GS+/GS- patients. The median time-to-treatment failure was 2.7/2.4 months (GS+/GS-). There was one complete response (GS-) and two partial responses (GS+). The MAGE-A3 immunotherapeutic was similarly immunogenic in both populations and had a clinically acceptable safety profile. CONCLUSION: Treatment of patients with MAGE-A3-positive unresectable stage IIIB-C/IV-M1a melanoma with the MAGE-A3 immunotherapeutic demonstrated an overall 1-year OS rate of 83.5%. GS- and GS+ patients had similar 1-year OS rates, indicating that in this study, GS was not predictive of outcome. Unexpectedly, the objective response rate was lower in this study than in other studies carried out in the same setting with the MAGE-A3 immunotherapeutic. Investigation of a GS to predict clinical benefit to adjuvant MAGE-A3 immunotherapeutic treatment is ongoing in another melanoma study.This study is registered at www.clinicatrials.gov NCT00942162.</t>
  </si>
  <si>
    <t>The study population consists exclusively of patients with Unresectable Stage IIIB-C/IV-M1a Melanoma</t>
  </si>
  <si>
    <t>Kuroda, Koji; Takenoyama, Mitsuhiro; Baba, Tetsuro; Shigematsu, Yoshiki; Shiota, Hironobu; Ichiki, Yoshinobu; Yasuda, Manabu; Uramoto, Hidetaka; Hanagiri, Takeshi; Yasumoto, Kosei</t>
  </si>
  <si>
    <t>Identification of ribosomal protein L19 as a novel tumor antigen recognized by autologous cytotoxic T lymphocytes in lung adenocarcinoma</t>
  </si>
  <si>
    <t>10.1111/j.1349-7006.2009.01351.x</t>
  </si>
  <si>
    <t>The purpose of the present study was to identify a novel tumor-specific antigen capable of inducing a specific cellular immune response in lung cancer patients. The co-culture of regional lymph node lymphocytes and the CD80-transfected autologous lung adenocarcinoma cell line H1224L resulted in a successful induction of bulk cytotoxic T lymphocytes (CTL). CTL clone L7/8 was established by the limiting dilution method from these bulk CTLs and lysed H1224L but not autologous Epstein-Barr virus-transformed B cells or K562. The CTL clone also recognized allogeneic lung cancer cell lines in an HLA-A*31012-restricted manner. Using the CTL clone, an antigen-coding gene was identified using the cDNA expression cloning technique, which encodes ribosomal protein L19 (RPL19). Finally, a 9 mer antigenic peptide was identified by means of construction of mini-genes. RPL19 was overexpressed in the lung cancer tissue from patient H1224. All of the normal tissues examined expressed lower levels of RPL19 mRNA than that of the lung cancer tissue. RPL19 was also found to be overexpressed in 12 of 30 (40%) non-small-cell lung cancer tissues by immunohistochemical staining. The expression level of RPL19 in tumor cell lines correlated positively with the production of interferon (IFN)-gammaby CTL clone L7/8 in response to such cell lines. In addition, the suppression of RPL19 expression by transfection with small interfering RNA resulted in the suppression of cyclinD1, D3 synthesis, and the growth inhibition of lung cancer cell lines overexpressing RPL19. Therefore, this growth suppression could be ascribed to the inhibition of the cell cycle. These results may indicate that RPL19 is a novel overexpressed antigen which may therefore be a useful candidate as a target for specific immunotherapy.</t>
  </si>
  <si>
    <t>The study identifies an epitope derived from Ribosomal Protein L19 (RPL19).</t>
  </si>
  <si>
    <t>Atanackovic, Djordje; Altorki, Nasser K.; Cao, Yanran; Ritter, Erika; Ferrara, Cathy A.; Ritter, Gerd; Hoffman, Eric W.; Bokemeyer, Carsten; Old, Lloyd J.; Gnjatic, Sacha</t>
  </si>
  <si>
    <t>Booster vaccination of cancer patients with MAGE-A3 protein reveals long-term immunological memory or tolerance depending on priming</t>
  </si>
  <si>
    <t>10.1073/pnas.0707140104</t>
  </si>
  <si>
    <t>We previously reported results of a phase II trial in which recombinant MAGE-A3 protein was administered with or without adjuvant AS02B to 18 non-small-cell lung cancer (NSCLC) patients after tumor resection. We found that the presence of adjuvant was essential for the development of humoral and cellular responses against selected MAGE-A3 epitopes. In our current study, 14 patients that still had no evidence of disease up to 3 years after vaccination with MAGE-A3 protein with or without adjuvant received an additional four doses of MAGE-A3 protein with adjuvant AS02B. After just one boost injection, six of seven patients originally vaccinated with MAGE-A3 protein plus adjuvant reached again their peak antibody titers against MAGE-A3 attained during the first vaccination. All seven patients subsequently developed even stronger antibody responses. Furthermore, booster vaccination widened the spectrum of CD4(+) and CD8(+) T cells against various new and known MAGE-A3 epitopes. In contrast, only two of seven patients originally vaccinated with MAGE-A3 protein alone developed high-titer antibodies to MAGE-A3, and all these patients showed very limited CD4(+) and no CD8(+) T cell reactivity, despite now receiving antigen in the presence of adjuvant. Our results underscore the importance of appropriate antigen priming using an adjuvant for generating persistent B and T cell memory and allowing typical booster responses with reimmunization. In contrast, absence of adjuvant at priming compromises further immunization attempts. These data provide an immunological rationale for vaccine design in light of recently reported favorable clinical responses in NSCLC patients after vaccination with MAGE-A3 protein plus adjuvant AS02B.</t>
  </si>
  <si>
    <t>The study evaluates the MAGE-A3 protein. MAGE-A3 is a classic Cancer-Testis Antigen (CTA)—a wild-type (self) protein that is developmentally restricted but non-mutated in tumors.</t>
  </si>
  <si>
    <t>Yoshimura, Mayuko; Tada, Yoshitaka; Ofuzi, Kazuya; Yamamoto, Masakazu; Nakatsura, Tetsuya</t>
  </si>
  <si>
    <t>Identification of a novel HLA-A 02:01-restricted cytotoxic T lymphocyte epitope derived from the EML4-ALK fusion gene</t>
  </si>
  <si>
    <t>10.3892/or.2014.3198</t>
  </si>
  <si>
    <t>Cancer immunotherapy is a promising new approach to cancer treatment. It has been demonstrated that a high number of tumor-specific cytotoxic T cells (CTLs) is associated with increased disease-specific survival in lung cancer patients. Identification of superior CTL epitopes from tumor antigens is essential for the development of immunotherapy for malignant tumors. The EML4-ALK fusion gene was recently identified in a subset of non-small cell lung cancers (NSCLCs). In this study we searched for HLA-A 02:01- and HLA-A 24:02‑restricted epitopes derived from EML4-ALK by screening predicted EML4-ALK‑derived candidate peptides for the induction of tumor‑reactive CTLs. Nine EML4-ALK‑derived peptides were selected by a computer algorithm based on a permissive HLA-A 02:01 or HLA-A 24:02 binding motif. One of the nine peptides induced peptide-specific CTLs from human peripheral blood mononuclear cells. We were able to generate a peptide‑specific CTL clone. This CTL clone specifically recognized peptide‑pulsed T2 cells and H2228 cells expressing HLA-A 02:01 and EML4-ALK that had been treated with IFN-γ 48 h prior to examination. CTL activity was inhibited by an anti-HLA‑class I monoclonal antibody (W6/32), consistent with a class I-restricted mechanism of cytotoxicity. These results suggest that this peptide (RLSALESRV) is a novel HLA-A 02:01-restricted CTL epitope and that it may be a new target for antigen-specific immunotherapy against EML4‑ALK-positive cancers.</t>
  </si>
  <si>
    <t>Sancho, David; Mourão-Sá, Diego; Joffre, Olivier P.; Schulz, Oliver; Rogers, Neil C.; Pennington, Daniel J.; Carlyle, James R.; Reis e Sousa, Caetano</t>
  </si>
  <si>
    <t>Tumor therapy in mice via antigen targeting to a novel, DC-restricted C-type lectin</t>
  </si>
  <si>
    <t>The Journal of Clinical Investigation</t>
  </si>
  <si>
    <t>10.1172/JCI34584</t>
  </si>
  <si>
    <t>The mouse CD8alpha+ DC subset excels at cross-presentation of antigen, which can elicit robust CTL responses. A receptor allowing specific antigen targeting to this subset and its equivalent in humans would therefore be useful for the induction of antitumor CTLs. Here, we have characterized a C-type lectin of the NK cell receptor group that we named DC, NK lectin group receptor-1 (DNGR-1). DNGR-1 was found to be expressed in mice at high levels by CD8+ DCs and at low levels by plasmacytoid DCs but not by other hematopoietic cells. Human DNGR-1 was also restricted in expression to a small subset of blood DCs that bear similarities to mouse CD8alpha+ DCs. The selective expression pattern and observed endocytic activity of DNGR-1 suggested that it could be used for antigen targeting to DCs. Consistent with this notion, antigen epitopes covalently coupled to an antibody specific for mouse DNGR-1 were selectively cross-presented by CD8alpha+ DCs in vivo and, when given with adjuvants, induced potent CTL responses. When the antigens corresponded to tumor-expressed peptides, treatment with the antibody conjugate and adjuvant could prevent development or mediate eradication of B16 melanoma lung pseudometastases. We conclude that DNGR-1 is a novel, highly specific marker of mouse and human DC subsets that can be exploited for CTL cross-priming and tumor therapy.</t>
  </si>
  <si>
    <t>The study focuses on the DNGR-1 (CLEC9A) receptor as a delivery vehicle.</t>
  </si>
  <si>
    <t>Chang, Gee-Chen; Lan, Haw-Chang; Juang, Shin-Hun; Wu, Yu-Chen; Lee, Hui-Chen; Hung, Yi-Mei; Yang, Hui-Yu; Whang-Peng, Jacqueline; Liu, Ko-Jiunn</t>
  </si>
  <si>
    <t>A pilot clinical trial of vaccination with dendritic cells pulsed with autologous tumor cells derived from malignant pleural effusion in patients with late-stage lung carcinoma</t>
  </si>
  <si>
    <t>10.1002/cncr.20843</t>
  </si>
  <si>
    <t>BACKGROUND: The authors conducted a pilot clinical trial to explore the vaccination of patients with late-stage lung carcinoma with dendritic cells (DCs) pulsed with necrotic tumor cells derived from malignant pleural effusion specimens, and to evaluate the antitumor immune response induced by this therapy. METHODS: Autologous DCs were generated by culturing adherent mononuclear cells with interleukin-4 and granulocyte-macrophage-colony-stimulating factor for 7 days. Day-7 DCs were cocultured overnight with autologous necrotic tumor cells derived from pleural effusion specimens to allow internalization of tumor antigens. DCs were then treated with tumor necrosis factor-alpha for 16 hours. The antigen-loaded DCs were injected into each patient's inguinal lymph nodes under sonographic guidance. Eight patients with late-stage nonsmall cell lung carcinoma were treated in this manner. Patients were vaccinated once weekly for 4 weeks and then boosted twice biweekly. RESULTS: The authors found that there was no Grade II/III toxicity and autoimmune response in all patients after intranodal injection of the DC vaccine. Minor to moderate increases in T-cell responses against tumor antigens were observed after DC vaccination in six of eight patients. Five patients had progressive disease. One patient had minor tumor response and two patients had stable disease. The two patients who had longer disease control also had better T-cell responses. CONCLUSIONS: The results indicated that it was feasible to immunize patients with lung carcinoma intranodally with DCs pulsed with necrotic tumor cells enriched from pleural effusion specimens, and this approach may generate T-cell responses and provide clinical benefit in some patients.</t>
  </si>
  <si>
    <t xml:space="preserve">The study utilizes necrotic autologous tumor cells derived from pleural effusions. While these cells contain the patient's entire mutational landscape, the study does not identify, isolate, or prioritize specific mutation-derived neoantigens </t>
  </si>
  <si>
    <t>Molina, Rafael; Auge, Jose M.; Filella, Xavier; Viñolas, Nuria; Alicarte, Julian; Domingo, Jose M.; Ballesta, Antonio M.</t>
  </si>
  <si>
    <t>Pro-gastrin-releasing peptide (proGRP) in patients with benign and malignant diseases: comparison with CEA, SCC, CYFRA 21-1 and NSE in patients with lung cancer</t>
  </si>
  <si>
    <t>We studied the specificity and sensitivity of progastrin releasing peptide (ProGRP) in 37 healthy subjects and 195 patients with benign and 149 with malignant diseases other than lung cancer. Likewise, we compared the ProGRP with other tumor markers used in lung cancer (CEA, SCC, CYFRA and NSE) in 187 patients with NSCLC and in 66 SCLC patients. We considered 50 pg/ml, 5 ng/ml, 2 ng/ml, 3.3 ng/ml and 20 ng/ml as the upper limits of normality for ProGRP, CEA, SCC, CYFRA 21-1 and NSE, respectively. Abnormal ProGRP serum levels were found in 10% of patients with benign diseases and in 13% of patients with malignancies other than lung. Renal failure was the main source of false-positive results (51.6%). Slightly raised ProGRP serum levels, excluding renal failure, were found in 4.1% of patients with benign diseases (&lt;80 pg/ml) and in 5% of patients with malignancies other than lung cancer or neuroendocrine tumors (&lt;120 pg/ml). Abnormal levels of ProGRP, NSE, CEA, CYFRA and SCC were found in 30%, 22.5%, 55.6%, 65.2% and 26.7% of NSCLC and in 73%, 64%, 53%, 46% and 4.5% of SCLC, respectively. Tumor marker serum levels were related to histological type and tumor extension, with ProGRP being the most sensitive marker in SCLC, CEA in adenocarcinomas and CYFRA 21-1 in squamous tumors. The most sensitive combinations of tumor markers were ProGRP and NSE in SCLC (88%), and CEA plus CYFRA in NSCLC (82%). In summary, ProGRP is the tumor marker of choice in SCLC and NSE is a complementary tumor marker in this histological type.</t>
  </si>
  <si>
    <t>The study evaluates proGRP (Pro-gastrin-releasing peptide) alongside a panel of standard markers: CEA, SCC, CYFRA 21-1, and NSE.</t>
  </si>
  <si>
    <t>Ausborn, Natalie L.; Wang, Tong; Wentz, Sabrina C.; Washington, Mary Kay; Merchant, Nipun B.; Zhao, Zhiguo; Shyr, Yu; Chakravarthy, Anuradha Bapsi; Xia, Fen</t>
  </si>
  <si>
    <t>53BP1 expression is a modifier of the prognostic value of lymph node ratio and CA 19-9 in pancreatic adenocarcinoma</t>
  </si>
  <si>
    <t>10.1186/1471-2407-13-155</t>
  </si>
  <si>
    <t>BACKGROUND: 53BP1 binds to the tumor suppressor p53 and has a key role in DNA damage response and repair. Low 53BP1 expression has been associated with decreased survival in breast cancer and has been shown to interact with several prognostic factors in non-small cell lung cancer. The role of 53BP1 in pancreatic ductal adenocarcinoma (PDAC) has yet to be determined. We aimed to investigate whether 53BP1 levels interact with established prognostic factors in PDAC. METHODS: 106 patients for whom there was tissue available at time of surgical resection for PDAC were included. A tissue microarray was constructed using surgical specimens, stained with antibodies to 53BP1, and scored for expression intensity. Univariate and multivariate statistical analyses were performed to investigate the association between 53BP1 and patient survival with known prognostic factors for survival. RESULTS: The association of 53BP1 with several established prognostic factors was examined, including stage, tumor grade, surgical margin, peripancreatic extension, lymph node ratio (LNR), and CA 19-9. We found that 53BP1 modified the effects of known prognostic variables including LNR and CA 19-9 on survival outcomes. When 53BP1 intensity was low, increased LNR was associated with decreased OS (HR 4.84, 95% CI (2.26, 10.37), p&lt;0.001) and high CA19-9 was associated with decreased OS (HR 1.72, 95% CI (1.18, 2.51), p=0.005). When 53BP1 intensity was high, LNR and CA19-9 were no longer associated with OS (p=0.958 and p=0.606, respectively). CONCLUSIONS: In this study, 53BP1, a key player in DNA damage response and repair, was found to modify the prognostic value of two established prognostic factors, LNR and CA 19-9, suggesting 53BP1 may alter tumor behavior and ultimately impact how we interpret the value of other prognostic factors.</t>
  </si>
  <si>
    <t xml:space="preserve">The study focus is exclusively on Pancreatic Ductal Adenocarcinoma (PDAC) </t>
  </si>
  <si>
    <t>Pavoni, Emiliano; Flego, Michela; Dupuis, Maria Luisa; Barca, Stefano; Petronzelli, Fiorella; Anastasi, Anna Maria; D'Alessio, Valeria; Pelliccia, Angela; Vaccaro, Paola; Monteriù, Giorgia; Ascione, Alessandro; De Santis, Rita; Felici, Franco; Cianfriglia, Maurizio; Minenkova, Olga</t>
  </si>
  <si>
    <t>Selection, affinity maturation, and characterization of a human scFv antibody against CEA protein</t>
  </si>
  <si>
    <t>10.1186/1471-2407-6-41</t>
  </si>
  <si>
    <t>BACKGROUND: CEA is a tumor-associated antigen abundantly expressed on several cancer types, including those naturally refractory to chemotherapy. The selection and characterization of human anti-CEA single-chain antibody fragments (scFv) is a first step toward the construction of new anticancer monoclonal antibodies designed for optimal blood clearance and tumor penetration. METHODS: The human MA39 scFv, selected for its ability to recognize a CEA epitope expressed on human colon carcinomas, was first isolated from a large semi-synthetic ETH-2 antibody phage library, panned on human purified CEA protein. Subsequently, by in vitro mutagenesis of a gene encoding for the scFv MA39, a new library was established, and new scFv antibodies with improved affinity towards the CEA cognate epitope were selected and characterized. RESULTS: The scFv MA39 antibody was affinity-maturated by in vitro mutagenesis and the new scFv clone, E8, was isolated, typed for CEA family member recognition and its CEACAM1, 3 and 5 shared epitope characterized for expression in a large panel of human normal and tumor tissues and cells. CONCLUSION: The binding affinity of the scFv E8 is in a range for efficient, in vivo, antigen capture in tumor cells expressing a shared epitope of the CEACAM1, 3 and 5 proteins. This new immunoreagent meets all criteria for a potential anticancer compound: it is human, hence poorly or not at all immunogenic, and it binds selectively and with good affinity to the CEA epitope expressed by metastatic melanoma and colon and lung carcinomas. Furthermore, its small molecular size should provide for efficient tissue penetration, yet give rapid plasma clearance.</t>
  </si>
  <si>
    <t>The study targets Carcinoembryonic Antigen (CEA), specifically a shared epitope of CEACAM1, 3, and 5.</t>
  </si>
  <si>
    <t>Xu, Ming Yan; Porte, Joanne; Knox, Alan J.; Weinreb, Paul H.; Maher, Toby M.; Violette, Shelia M.; McAnulty, Robin J.; Sheppard, Dean; Jenkins, Gisli</t>
  </si>
  <si>
    <t>Lysophosphatidic acid induces alphavbeta6 integrin-mediated TGF-beta activation via the LPA2 receptor and the small G protein G alpha(q)</t>
  </si>
  <si>
    <t>10.2353/ajpath.2009.080160</t>
  </si>
  <si>
    <t>Activation of latent transforming growth factor beta (TGF-beta) by alphavbeta6 integrin is critical in the pathogenesis of lung injury and fibrosis. We have previously demonstrated that the stimulation of protease activated receptor 1 promotes alphavbeta6 integrin-mediated TGF-beta activation via RhoA, which is known to modulate cell contraction. However, whether other G protein-coupled receptors can also induce alphavbeta6 integrin-mediated TGF-beta activation is unknown; in addition, the alphavbeta6 integrin signaling pathway has not yet been fully characterized. In this study, we show that lysophosphatidic acid (LPA) induces alphavbeta6-mediated TGF-beta activation in human epithelial cells via both RhoA and Rho kinase. Furthermore, we demonstrate that LPA-induced alphavbeta6 integrin-mediated TGF-beta activity is mediated via the LPA2 receptor, which signals via G alpha(q). Finally, we show that the expression levels of both the LPA2 receptor and alphavbeta6 integrin are up-regulated and are spatially and temporally associated following bleomycin-induced lung injury. Furthermore, both the LPA2 receptor and alphavbeta6 integrin are up-regulated in the overlying epithelial areas of fibrosis in patients with usual interstitial pneumonia. These studies demonstrate that LPA induces alphavbeta6 integrin-mediated TGF-beta activation in epithelial cells via LPA2, G alpha(q), RhoA, and Rho kinase, and that this pathway might be clinically relevant to the development of lung injury and fibrosis.</t>
  </si>
  <si>
    <t>Targets wild-type integrins/receptors, not neoantigens. Lung Fibrosis/UIP focus; no primary NSCLC cohort.</t>
  </si>
  <si>
    <t>Krall, Nikolaus; Pretto, Francesca; Mattarella, Martin; Müller, Cristina; Neri, Dario</t>
  </si>
  <si>
    <t>A 99mTc-Labeled Ligand of Carbonic Anhydrase IX Selectively Targets Renal Cell Carcinoma In Vivo</t>
  </si>
  <si>
    <t>Journal of Nuclear Medicine: Official Publication, Society of Nuclear Medicine</t>
  </si>
  <si>
    <t>10.2967/jnumed.115.170514</t>
  </si>
  <si>
    <t>Small organic ligands, selective for tumor-associated antigens, are increasingly being considered as alternatives to monoclonal antibodies for the targeted delivery of diagnostic and therapeutic payloads such as radionuclides and drugs into neoplastic masses. We have previously described a novel acetazolamide derivative, a carbonic anhydrase ligand with high affinity for the tumor-associated isoform IX (CAIX), which can transport highly potent cytotoxic drugs into CAIX-expressing solid tumors. The aim of the present study was to quantitatively investigate the biodistribution properties of said ligand and understand whether acetazolamide conjugates merit further development as drug carriers and radioimaging agents. METHODS: The conjugate described in this study, consisting of a derivative of acetazolamide, a spacer, and a peptidic (99m)Tc chelator, was labeled using sodium pertechnetate under reducing conditions and injected intravenously into CAIX-expressing SKRC-52 xenograft-bearing mice. Animals were sacrificed, and organ uptake as percentage injected activity of radiolabeled ligand per gram of tissues (%IA/g) was evaluated between 10 min and 24 h. Additionally, postmortem imaging by SPECT was performed. RESULTS: The acetazolamide conjugate described in this study could be labeled to high radiochemical purity (&gt;95%, 2.2-4.5 MBq/nmol). Analysis of organ uptake at various time points revealed that the ligand displayed a maximal tumor accumulation 3 h after intravenous injection (22 %IA/g), with an excellent tumor-to-blood ratio of 70:1 at the same time point. The ligand accumulation in the tumor was more efficient than in any other organ, but a residual uptake in the kidney, lung, and stomach (9, 16, and 10 %IA/g, respectively) was also observed, in line with patterns of carbonic anhydrase isoform expression in those tissues. Interestingly, tumor-to-organ ratios improved on administration of higher doses of radiolabeled ligand, suggesting that certain binding sites in normal organs can be saturated in vivo. CONCLUSION: The (99m)Tc-labeled acetazolamide conjugate exhibits high tumor uptake and favorable tumor-to-kidney ratios of up to 3 that may allow imaging of tumors in the kidney and distant sites at earlier time points than commonly possible with antibody-based products. These data suggest that the described molecule merit further development as a radioimaging agent for CAIX-expressing renal cell carcinoma.</t>
  </si>
  <si>
    <t>The study focus is exclusively on Renal Cell Carcinoma (RCC) using the SKRC-52 xenograft model.</t>
  </si>
  <si>
    <t>McCormack, Emmet; Adams, Katherine J.; Hassan, Namir J.; Kotian, Akhil; Lissin, Nikolai M.; Sami, Malkit; Mujić, Maja; Osdal, Tereza; Gjertsen, Bjørn Tore; Baker, Deborah; Powlesland, Alex S.; Aleksic, Milos; Vuidepot, Annelise; Morteau, Olivier; Sutton, Deborah H.; June, Carl H.; Kalos, Michael; Ashfield, Rebecca; Jakobsen, Bent K.</t>
  </si>
  <si>
    <t>Bi-specific TCR-anti CD3 redirected T-cell targeting of NY-ESO-1- and LAGE-1-positive tumors</t>
  </si>
  <si>
    <t>10.1007/s00262-012-1384-4</t>
  </si>
  <si>
    <t>NY-ESO-1 and LAGE-1 are cancer testis antigens with an ideal profile for tumor immunotherapy, combining up-regulation in many cancer types with highly restricted expression in normal tissues and sharing a common HLA-A*0201 epitope, 157-165. Here, we present data to describe the specificity and anti-tumor activity of a bifunctional ImmTAC, comprising a soluble, high-affinity T-cell receptor (TCR) specific for NY-ESO-1157-165 fused to an anti-CD3 scFv. This reagent, ImmTAC-NYE, is shown to kill HLA-A2, antigen-positive tumor cell lines, and freshly isolated HLA-A2- and LAGE-1-positive NSCLC cells. Employing time-domain optical imaging, we demonstrate in vivo targeting of fluorescently labelled high-affinity NYESO-specific TCRs to HLA-A2-, NY-ESO-1157-165-positive tumors in xenografted mice. In vivo ImmTAC-NYE efficacy was tested in a tumor model in which human lymphocytes were stably co-engrafted into NSG mice harboring tumor xenografts; efficacy was observed in both tumor prevention and established tumor models using a GFP fluorescence readout. Quantitative RT-PCR was used to analyze the expression of both NY-ESO-1 and LAGE-1 antigens in 15 normal tissues, 5 cancer cell lines, 10 NSCLC, and 10 ovarian cancer samples. Overall, LAGE-1 RNA was expressed at a greater frequency and at higher levels than NY-ESO-1 in the tumor samples. These data support the clinical utility of ImmTAC-NYE as an immunotherapeutic agent for a variety of cancers.</t>
  </si>
  <si>
    <t>The study targets NY-ESO-1 and LAGE-1 (specifically the HLA-A*0201 epitope 157-165). NY-ESO-1 and LAGE-1 are classic Cancer-Testis Antigens (CTAs)—wild-type (self) proteins that are developmentally restricted but non-mutated in tumors.</t>
  </si>
  <si>
    <t>Martín-Villar, Ester; Scholl, Francisco G.; Gamallo, Carlos; Yurrita, Maria M.; Muñoz-Guerra, Mario; Cruces, Jesús; Quintanilla, Miguel</t>
  </si>
  <si>
    <t>Characterization of human PA2.26 antigen (T1alpha-2, podoplanin), a small membrane mucin induced in oral squamous cell carcinomas</t>
  </si>
  <si>
    <t>International Journal of Cancer</t>
  </si>
  <si>
    <t>10.1002/ijc.20656</t>
  </si>
  <si>
    <t>We report the full cDNA sequence encoding the human homologue of murine PA2.26 (T1alpha-2, podoplanin), a small mucin-type transmembrane glycoprotein originally identified as a cell-surface antigen induced in keratinocytes during mouse skin carcinogenesis. The human PA2.26 gene is expressed as 2 transcripts of 0.9 and 2.7 kb in several normal tissues, such as the placenta, skeletal muscle, heart and lung. Using a specific polyclonal antibody raised against a synthetic peptide of the protein ectodomain, PA2.26 was immunohistochemically detected in about 25% (15/61) of human early oral squamous cell carcinomas. PA2.26 distribution in the tumours was heterogeneous and often restricted to the invasive front. Double immunofluorescence and confocal microscopy analysis showed that PA2.26 colocalized with the membrane cytoskeleton linker ezrin at the surface of tumour cells and that its presence in vivo was associated with downregulation of membrane E-cadherin protein expression. Ectopic expression of human PA2.26 in HeLa carcinoma cells and immortalized HaCaT keratinocytes promoted a redistribution of ezrin to the cell edges, the formation of cell-surface protrusions and reduced Ca(2+)-dependent cell-cell adhesiveness. These results point to PA2.26 as a novel biomarker for oral squamous cell carcinomas that might be involved in migration/invasion.</t>
  </si>
  <si>
    <t xml:space="preserve"> The primary focus is on Oral Squamous Cell Carcinomas (OSCC). While the study mentions normal lung tissue expression, it does not utilize a primary Human Non-Small Cell Lung Cancer (NSCLC) patient cohort for its tumor validation</t>
  </si>
  <si>
    <t>Makishi, S.; Kinjo, T.; Sawada, S.; Chinen, K.; Hirayasu, T.; Hamada, T.; Saito, K.; Iwamasa, T.</t>
  </si>
  <si>
    <t>Morules and morule-like features associated with carcinomas in various organs: report with immunohistochemical and molecular studies</t>
  </si>
  <si>
    <t>Journal of Clinical Pathology</t>
  </si>
  <si>
    <t>10.1136/jcp.2005.026237</t>
  </si>
  <si>
    <t>BACKGROUND: Morules have been reported in pulmonary blastoma (PB), well differentiated fetal adenocarcinoma of the lung (WDFA), and uterine endometrioid carcinoma (EC), and rarely in other carcinomas. beta Catenin gene mutation has been associated with morule formation. AIMS: To compare and clarify the cellular characteristics of morules in carcinomas in various organs and show that morules are distinct from epithelial cellular nodules. METHODS: Twenty tumours were studied: two PBs, three WDFAs, three papillary lung adenocarcinomas, 11 ECs, and one papillary thyroid carcinoma. Numerous epithelial cell, oncofetal, and neuropeptide antibodies were used for immunohistochemistry. beta Catenin gene mutation was investigated. RESULTS: Morules in PBs and ECs were uniform cell clusters distinct from squamous differentiation. All were immunonegative for epithelial cell and oncofetal antigens, but those in ECs were positive for neurone specific enolase gamma (NSEgamma). Synaptophysin, encephalin, and somatostatin were sporadically immunopositive in PB morules. Morules were not seen in the other carcinomas and WDFAs, although morule-like features closely resembling morules histopathologically were seen. These were positive for epithelial cell and oncofetal antigens, and showed squamous differentiation. Their nuclei were more atypical and slightly larger than those in morules. Morule-like features were seen in WDFAs. beta Catenin gene mutation was demonstrated in one EC and PB, and in two WDFAs. CONCLUSION: Morules were non-epithelial cell clusters showing neuronal differentiation. There were two types: endometrioid type, expressing NSEgamma, and blastoma type, expressing neuropeptides. In contrast, similar morule-like features were epithelial nodules. Although the number of cases was small, the presence of morules showed no clear prognostic correlations.</t>
  </si>
  <si>
    <t>The study investigates Pulmonary Blastoma, WDFA, and Uterine Endometrioid Carcinoma.</t>
  </si>
  <si>
    <t>Hu, Yan; Duan, Jinhong; Zhan, Qimin; Wang, Fengdan; Lu, Xin; Yang, Xian-Da</t>
  </si>
  <si>
    <t>Novel MUC1 aptamer selectively delivers cytotoxic agent to cancer cells in vitro</t>
  </si>
  <si>
    <t>10.1371/journal.pone.0031970</t>
  </si>
  <si>
    <t>Chemotherapy is a primary treatment for cancer, but its efficacy is often limited by the adverse effects of cytotoxic agents. Targeted drug delivery may reduce the non-specific toxicity of chemotherapy by selectively directing anticancer drugs to tumor cells. MUC1 protein is an attractive target for tumor-specific drug delivery owning to its overexpression in most adenocarcinomas. In this study, a novel MUC1 aptamer is exploited as the targeting ligand for carrying doxorubicin (Dox) to cancer cells. We developed an 86-base DNA aptamer (MA3) that bound to a peptide epitope of MUC1 with a K(d) of 38.3 nM and minimal cross reactivity to albumin. Using A549 lung cancer and MCF-7 breast cancer cells as MUC1-expressing models, MA3 was found to preferentially bind to MUC1-positive but not MUC1-negative cells. An aptamer-doxorubicin complex (Apt-Dox) was formulated by intercalating doxorubicin into the DNA structure of MA3. Apt-Dox was found capable of carrying doxorubicin into MUC1-positive tumor cells, while significantly reducing the drug intake by MUC1-negative cells. Moreover, Apt-Dox retained the efficacy of doxorubicin against MUC1-positive tumor cells, but lowered the toxicity to MUC1-negative cells (P&lt;0.01). The results suggest that the MUC1 aptamer may have potential utility as a targeting ligand for selective delivery of cytotoxic agent to MUC1-expressing tumors.</t>
  </si>
  <si>
    <t>The study targets Mucin 1 (MUC1). MUC1 is a wild-type (self) glycoprotein (Tumor-Associated Antigen, TAA) that is overexpressed in various adenocarci</t>
  </si>
  <si>
    <t>Massi, Daniela; Landriscina, Matteo; Piscazzi, Annamaria; Cosci, Elena; Kirov, Alek; Paglierani, Milena; Di Serio, Claudia; Mourmouras, Vasileios; Fumagalli, Stefano; Biagioli, Maurizio; Prudovsky, Igor; Miracco, Clelia; Santucci, Marco; Marchionni, Niccolò; Tarantini, Francesca</t>
  </si>
  <si>
    <t>S100A13 is a new angiogenic marker in human melanoma</t>
  </si>
  <si>
    <t>Modern Pathology: An Official Journal of the United States and Canadian Academy of Pathology, Inc</t>
  </si>
  <si>
    <t>10.1038/modpathol.2010.54</t>
  </si>
  <si>
    <t>Angiogenesis is critical in melanoma progression and metastasis and relies on the synthesis and release of proangiogenic molecules such as vascular endothelial growth factor (VEGF)-A and fibroblast growth factors (FGFs). S100A13 is a small calcium-binding protein that facilitates the release of FGF-1, the prototype of the FGF family. S100A13 is upregulated in astrocytic gliomas, in which it correlates with VEGF-A expression, microvessel density and tumor grading, and promotes a more aggressive, invasive phenotype in lung cancer-derived cell lines. To investigate the involvement of S100A13 in human cutaneous melanoma, we analyzed a series of 87 cutaneous melanocytic lesions: 14 common acquired melanocytic nevi, 14 atypical, so-called 'dysplastic' nevi, 45 melanomas (17 radial growth phase and 28 vertical growth phase) and 14 melanoma metastases. Main clinical and pathological features, including histotype, Breslow thickness, Clark's level and outcome were recorded. Microvessel density was determined with CD105/endoglin staining. Semiquantitative determination of S100A13, FGF-1 and VEGF-A protein expression was obtained by immunostaining. Quantification of S100A13 mRNA was achieved by real-time PCR. We found that S100A13 was expressed in melanocytic lesions; compared with benign nevi, S100A13 protein expression was significantly upregulated in melanomas (P=0.024), in which it correlated positively with the intensity of VEGF-A staining (P=0.041) and microvessel density (P=0.007). The level of expression of S100A13 mRNA also significantly increased with progression of disease, from radial growth phase (0.7+/-0.7) to vertical growth phase (3.6+/-3.1) to metastases (7.0+/-7.0) (P&lt;0.001). Furthermore, S100A13 mRNA correlated positively with VEGF-A (P=0.023), TNM stage (P=0.05), risk of relapse (P=0.014) and status at follow-up (P=0.024). In conclusion, S100A13 is expressed in melanocytic lesions when the angiogenic switch occurs and it may cooperate with VEGF-A in supporting the formation of new blood vessels, favoring the shift from radial to vertical tumor growth. Therefore, S100A13 may represent a new angiogenic and prognostic marker in melanoma.</t>
  </si>
  <si>
    <t>The study focus is exclusively on Human Cutaneous Melanoma (87 lesions including nevi and metastases).</t>
  </si>
  <si>
    <t>Sawada, Ritsuko; Sun, Shu-Man; Wu, Xiaohong; Hong, Feng; Ragupathi, Govind; Livingston, Philip O.; Scholz, Wolfgang W.</t>
  </si>
  <si>
    <t>Human monoclonal antibodies to sialyl-Lewis (CA19.9) with potent CDC, ADCC, and antitumor activity</t>
  </si>
  <si>
    <t>10.1158/1078-0432.CCR-10-2640</t>
  </si>
  <si>
    <t>PURPOSE: The carbohydrate antigen sialyl-Lewis(a) (sLe(a)), also known as CA19.9, is widely expressed on epithelial tumors of the gastrointestinal tract and breast and on small-cell lung cancers. Since overexpression of sLe(a) appears to be a key event in invasion and metastasis of many tumors and results in susceptibility to antibody-mediated lysis, sLe(a) is an attractive molecular target for tumor therapy. EXPERIMENTAL DESIGN: We generated and characterized fully human monoclonal antibodies (mAb) from blood lymphocytes from individuals immunized with a sLe(a)-KLH vaccine. RESULTS: Several mAbs were selected based on ELISA and FACS including two mAbs with high affinity for sLe(a) (5B1 and 7E3, binding affinities 0.14 and 0.04 nmol/L, respectively) and further characterized. Both antibodies were specific for Neu5Acα2-3Galβ1-3(Fucα1-4)GlcNAcβ as determined by glycan array analysis. Complement-dependent cytotoxicity against DMS-79 cells was higher (EC(50) 0.1 μg/mL vs. 1.7 μg/mL) for r7E3 (IgM) than for r5B1 (IgG1). In addition, r5B1 antibodies showed high level of antibody-dependent cell-mediated cytotoxicity activity on DMS-79 cells with human NK cells or peripheral blood mononuclear cells. To evaluate in vivo efficacy, the antibodies were tested in a xenograft model with Colo205 tumor cells engrafted into SCID (severe combined immunodeficient mice) mice. Treatment during the first 21 days with four doses of r5B1 (100 μg per dose) doubled the median survival time to 207 days, and three of five animals survived with six doses. CONCLUSION: On the basis of the potential of sLe(a) as a target for immune attack and their affinity, specificity, and effector functions, 5B1and 7E3 may have clinical utility.</t>
  </si>
  <si>
    <t>The study targets sialyl-Lewis(a) (sLe(a)), also known as CA19.9. CA19.9 is a wild-type (self) carbohydrate antigen (glycan) overexpressed in epithelial tumors.</t>
  </si>
  <si>
    <t>Xin, Meiguo; Deng, Xingming</t>
  </si>
  <si>
    <t>Protein phosphatase 2A enhances the proapoptotic function of Bax through dephosphorylation</t>
  </si>
  <si>
    <t>The Journal of Biological Chemistry</t>
  </si>
  <si>
    <t>10.1074/jbc.M512543200</t>
  </si>
  <si>
    <t>Bax is a major proapoptotic member of the Bcl2 family that is required for apoptotic cell death. We have recently discovered that Bax phosphorylation at serine 184 induced by nicotine through activation of protein kinase AKT abolishes its proapoptotic function in human lung cancer cells. Here we found that either treatment of cells with the protein phosphatase 2A (PP2A) inhibitor okadaic acid or specific disruption of PP2A activity by expression of SV40 small tumor antigen enhanced Bax phosphorylation, whereas C(2)-ceramide, a potent PP2A activator, reduced nicotine-induced Bax phosphorylation, suggesting that PP2A may function as a physiological Bax phosphatase. PP2A co-localized and interacted with Bax. Purified, active PP2A directly dephosphorylated Bax in vitro. Overexpression of the PP2A catalytic subunit (PP2A/C) suppressed nicotine-stimulated Bax phosphorylation in association with increased apoptotic cell death. By contrast, depletion of PP2A/C by RNA interference enhanced Bax phosphorylation and prolonged cell survival. Mechanistically C(2)-ceramide-induced Bax dephosphorylation caused a conformational change by exposure of the 6A7 epitope (amino acids 13-19) that is normally hidden at its N terminus that promoted the insertion of Bax into mitochondrial membranes and formation of Bax oligomers leading to cytochrome c release and apoptosis. In addition, PP2A directly disrupted the Bcl2/Bax association to liberate Bax from the heterodimer complex. Thus, PP2A may function as a physiological Bax regulatory phosphatase that not only dephosphorylates Bax but also activates its proapoptotic function.</t>
  </si>
  <si>
    <t>The study investigates the post-translational modification (phosphorylation) of Bax, a member of the Bcl2 family, and its interaction with PP2A (Protein Phosphatase 2A).</t>
  </si>
  <si>
    <t>Ogura, Hayato; Nagatake-Kobayashi, Yuka; Adachi, Jun; Tomonaga, Takeshi; Fujita, Naoya; Katayama, Ryohei</t>
  </si>
  <si>
    <t>TKI-addicted ROS1-rearranged cells are destined to survival or death by the intensity of ROS1 kinase activity</t>
  </si>
  <si>
    <t>10.1038/s41598-017-05736-9</t>
  </si>
  <si>
    <t>ROS1 rearrangement is observed in 1-2% of non-small cell lung cancers (NSCLC). The ROS1 tyrosine kinase inhibitor (TKI) crizotinib has induced marked tumour shrinkage in ROS1-rearranged cancers. However, emergence of acquired resistance to TKI is inevitable within a few years. Previous findings indicate that cabozantinib overcomes secondary mutation-mediated crizotinib-resistance in ROS1-fusion-positive cells. Here we attempted to establish cabozantinib-resistant cells by N-ethyl-N-nitrosourea mutagenesis screening using CD74-ROS1-expressing Ba/F3 cells. Two resistant cell lines with CD74-ROS1 F2004V or F2075C mutations, which are homologous to ALK F1174 or F1245 mutations, survived in the presence of a low dose of ROS1-TKI. Removal of ROS1-TKI from these TKI-addicted cells induced excessive activation of ROS1 tyrosine kinase followed by apoptosis. We succeeded in recapturing the TKI-addicted phenotype using doxycycline-inducible CD74-ROS1 mutant over-expression in Ba/F3 cells, suggesting that excessive ROS1 oncogenic signaling itself induced apoptosis instead of cell growth. Phosphoproteomic analysis and high-throughput inhibitor screening revealed that excessive ROS1 signaling in the TKI-addicted cells phosphorylated or activated apoptosis-related molecules such as FAF1 or p38. Collectively, our findings partly clarify molecular mechanisms of excessive ROS1 oncogenic signaling that mediates paradoxical induction of apoptosis.</t>
  </si>
  <si>
    <t>The study focuses on ROS1 oncogenic fusions (CD74-ROS1) and secondary resistance mutations (F2004V, F2075C).</t>
  </si>
  <si>
    <t>Zheng, Xinyu; Rao, Xiao-Mei; Gomez-Gutierrez, Jorge G.; Hao, Hongying; McMasters, Kelly M.; Zhou, H. Sam</t>
  </si>
  <si>
    <t>Adenovirus E1B55K region is required to enhance cyclin E expression for efficient viral DNA replication</t>
  </si>
  <si>
    <t>Journal of Virology</t>
  </si>
  <si>
    <t>10.1128/JVI.01708-07</t>
  </si>
  <si>
    <t>Adenoviruses (Ads) with E1B55K mutations can selectively replicate in and destroy cancer cells. However, the mechanism of Ad-selective replication in tumor cells is not well characterized. We have shown previously that expression of several cell cycle-regulating genes is markedly affected by the Ad E1b gene in WI-38 human lung fibroblast cells (X. Rao, et al., Virology 350:418-428, 2006). In the current study, we show that the Ad E1B55K region is required to enhance cyclin E expression and that the failure to induce cyclin E overexpression due to E1B55K mutations prevents viral DNA from undergoing efficient replication in WI-38 cells, especially when the cells are arrested in the G(0) phase of the cell cycle by serum starvation. In contrast, cyclin E induction is less dependent on the function encoded in the E1B55K region in A549 and other cancer cells that are permissive for replication of E1B55K-mutated viruses, whether the cells are in the S phase or G(0) phase. The small interfering RNA that specifically inhibits cyclin E expression partially decreased viral replication. Our study provides evidence suggesting that E1B55K may be involved in cell cycle regulation that is important for efficient viral DNA replication and that cyclin E overexpression in cancer cells may be associated with the oncolytic replication of E1B55K-mutated viruses.</t>
  </si>
  <si>
    <t xml:space="preserve">The study investigates Cyclin E and Adenovirus E1B55K. The E1B55K mutation discussed is a viral genetic modification used to create oncolytic adenoviruses, not a human somatic mutation occurring in the tumor genome.
</t>
  </si>
  <si>
    <t>Mansfield, Aaron Scott; Peikert, Tobias; Vasmatzis, George</t>
  </si>
  <si>
    <t>Chromosomal rearrangements and their neoantigenic potential in mesothelioma</t>
  </si>
  <si>
    <t>Translational Lung Cancer Research</t>
  </si>
  <si>
    <t>10.21037/tlcr.2019.11.12</t>
  </si>
  <si>
    <t>Chromosomal rearrangements are a defining molecular feature of mesothelioma that are not readily detected by standard DNA sequencing approaches but could be detected by whole genome sequencing methods such as mate-pair sequencing. These chromosomal rearrangements result in novel, unique gene junctions that can be expressed and potentially result in the presentation of several neoantigens. These predicted neoantigens can be presented by tumors on major histocompatibility complex (MHC) proteins and are correlated with clonal expansion of tumor infiltrating T cells. T cells responsive to these neoantigens have been identified in the circulation of a patient. The predictive values of next generation sequencing-based tumor mutation burden measurements may be significantly enhanced by the addition of techniques such as mate-pair sequencing that can detect chromosomal rearrangements. Furthermore, rearrangement associated neo-antigens may also represent valuable targets for future anti-tumor vaccine strategies. Finally, chromosomal rearrangements are now recognized as a mutation signature in cancer and these events are likely to be important in the oncogenesis and immune recognition of not only in mesothelioma but multiple malignancies including non-small cell lung cancer.</t>
  </si>
  <si>
    <t>Tanriverdi, Ozgur</t>
  </si>
  <si>
    <t>CRISPR-mRNA synergy: toward adaptive cancer immunotherapy</t>
  </si>
  <si>
    <t>Expert Review of Anticancer Therapy</t>
  </si>
  <si>
    <t>10.1080/14737140.2025.2610271</t>
  </si>
  <si>
    <t>IntroductionCRISPR-based genome editing and mRNA vaccine technologies have recently converged to offer new opportunities for precise and adaptable cancer immunotherapy. Their combined use may improve tumor antigenicity while enabling rapid induction of tailored immune responses.Areas coveredThis review examines how CRISPR-mediated modulation of oncogenic pathways, immune evasion mechanisms, and antigen presentation can enhance the efficacy of mRNA neoantigen vaccines. A structured literature search using PubMed, Web of Science, and Scopus (2013-2025) was conducted to identify preclinical and clinical studies evaluating CRISPR editing, mRNA cancer vaccines, and integrated combination strategies. Evidence from preclinical models demonstrates that CRISPR-driven tumor sensitization such as checkpoint disruption or antigen restoration amplifies T-cell responses elicited by mRNA vaccination. Early-phase clinical trials in melanoma, non - small-cell lung cancer, and pancreatic cancer indicate that sequential CRISPR editing followed by individualized mRNA vaccination is technically feasible and capable of inducing durable immune activity. Challenges related to delivery systems, safety oversight, and ethical considerations are also evaluated.Expert opinionCRISPR - mRNA integration represents a promising path toward adaptive, evolution-aware oncology. As delivery and regulatory frameworks advance, combined genome editing and programmable RNA immunotherapy is likely to become a key pillar of future personalized cancer treatment.</t>
  </si>
  <si>
    <t>Literature Review / Expert Opinion (Systematic synthesis of preclinical and clinical data from 2013–2025)</t>
  </si>
  <si>
    <t>Vilimas, Tomas</t>
  </si>
  <si>
    <t>Measuring Tumor Mutational Burden Using Whole-Exome Sequencing</t>
  </si>
  <si>
    <t>Biomarkers for Immunotherapy of Cancer: Methods and Protocols</t>
  </si>
  <si>
    <t>10.1007/978-1-4939-9773-2_3</t>
  </si>
  <si>
    <t>Cancer immunotherapy, particularly a class of antibodies targeting the CTLA4 and PD-1/PD-L1 negative regulators of immune response (collectively called the immune checkpoint), is one of the most promising approaches for cancer treatment and the use of immune checkpoint inhibitors (ICI) has demonstrated remarkable success in several types of cancer. In studies of unselected patient populations, it was shown that melanoma, non small cell lung cancer (NSCLC), renal cell carcinoma and urothelial carcinoma patients treated with CTLA-4, PD-1 or PD-L1 inhibitors had an improved objective response and overall survival relative to chemotherapy or historical trends, and several ICIs have been approved for the treatment of these and other indications. More recently, several groups found that response to ICI therapy strongly correlates with a high burden of single nucleotide variant (SNV) mutations in the tumor genome, termed tumor mutational burden (TMB), usually expressed as the number of nonsynonymous single nucleotide variants per megabase of sequenced genome. These studies showed that TMB is a promising predictive biomarker for ICI response in melanoma, urothelial carcinoma and a subset of NSCLC patients. High TMB relates to ICI response via the production of increased numbers of novel, mutant peptide antigens (neoantigens), resulting in enhanced recognition and killing of neoantigen-presenting tumor cells by cytotoxic CD8+ T cells. In this chapter I describe the current best-practice methods for measuring TMB in tumor specimens using whole-exome sequencing (WES).</t>
  </si>
  <si>
    <t>Book Chapter/Review; describes existing best practices. Discusses SNV-derived Neoantigens as a thematic concept.</t>
  </si>
  <si>
    <t>Donovan, Laura K.; Taylor, Michael D.</t>
  </si>
  <si>
    <t>Amplifying natural antitumor immunity for personalized immunotherapy</t>
  </si>
  <si>
    <t>Cell Research</t>
  </si>
  <si>
    <t>10.1038/s41422-022-00649-3</t>
  </si>
  <si>
    <t>T-cells engineered with T-cell receptors (TCR-T), chimeric antigen receptor (CAR) T-cells, and neoantigen vaccines have each demonstrated therapeutic success in clinical trials, but many of these therapies can only benefit a small group of patient types owing to the restriction of certain tumor-associated antigens; personalized immunotherapy customizes cancer treatments to each patient, achieving greater responses without damaging normal tissues. In a recent Cell Research paper, He et al. show that TCR-T cells engineered with TCRs from naturally occurring tumor antigen-specific (Tas) T-cells are an effective therapy against non-small cell lung carcinoma, and a promising agent for future immunotherapies.</t>
  </si>
  <si>
    <t>this is a comment</t>
  </si>
  <si>
    <t>Emmers, Mitchell; Welters, Marij J. P.; Dietz, Michelle V.; Santegoets, Saskia J.; Boekesteijn, Sanne; Stolk, Anouk; Loof, Nikki M.; Dumoulin, Daphne W.; Geel, Annemarie L.; Steinbusch, Lauri C.; Valentijn, A. Rob P. M.; Cohen, Danielle; de Miranda, Noel F. C. C.; Smit, Egbert F.; Gelderblom, Hans; van Hall, Thorbald; Aerts, Joachim G.; van der Burg, Sjoerd H.</t>
  </si>
  <si>
    <t>TEIPP-vaccination in checkpoint-resistant non-small cell lung cancer: a first-in-human phase I/II dose-escalation study</t>
  </si>
  <si>
    <t>10.1038/s41467-025-60281-8</t>
  </si>
  <si>
    <t>Functional loss of the intracellular peptide Transporter associated with Antigen Processing (TAP) fosters resistance to T-cell based immunotherapy. We discovered the presentation of an alternative set of shared tumor antigens on such escaped cancers and developed a LRPAP1 synthetic long peptide vaccine (TEIPP24) to stimulate T-cell immunity. In this first-in-human multicenter dose-escalation study with extension cohort, HLA-A*0201-positive patients with non-small cell lung cancer progressive after checkpoint blockade were treated with TEIPP24 (NCT05898763). Dose escalation followed an adapted 3 + 3 scheme where in each cohort six patients received the TEIPP24 peptide emulsified in Montanide ISA-51 at either 20, 40, 100 µg of peptide, subcutaneously injected three times every three weeks in alternating limbs. The extension cohort of six patients received the highest safe dose of TEIPP24 combined with the PD-1 checkpoint blocker pembrolizumab. The primary objectives of the study were safety, tolerability and immunogenicity of the TEIPP24 vaccine. Secondary objectives included the evaluation of specificity and immune modulatory effects of the vaccine, antigen and immune status of the patients, progression free (PFS) and overall survival (OS) and radiological tumor response rate and duration. A total of 26 patients were enrolled across 2 institutions. Treatment was well tolerated, and vaccine-induced LRPAP1-specific CD8+ T cells were detected in 20 of 24 evaluable patients (83%). In 13 of 21 tested cases (62%) vaccine-specific CD4+ T cells were also detected. The increase in activated polyfunctional CD8+ effector T cells was influenced by vaccine dose, number of vaccines administered, induction of a CD4+ T-cell response, and the pre-existing frequency of monocytic cells. Co-administration of pembrolizumab resulted in the ex-vivo detection of activated (HLA-DR+ , PD-1+ , ICOS+ ) LRPAP1-specific CD8+ T cells. The observation of one PR, 8 stable diseases and 2 mixed responses in 24 evaluable patients after vaccination, correlated with a stronger vaccine-induced CD8+ T-cell response to this single epitope from this new class of cancer antigens.</t>
  </si>
  <si>
    <t>Medikonda, Ravi; Dunn, Gavin; Rahman, Maryam; Fecci, Peter; Lim, Michael</t>
  </si>
  <si>
    <t>A review of glioblastoma immunotherapy</t>
  </si>
  <si>
    <t>Journal of Neuro-Oncology</t>
  </si>
  <si>
    <t>10.1007/s11060-020-03448-1</t>
  </si>
  <si>
    <t>Introduction Glioblastoma is a very aggressive cancer with dismal prognosis despite standard of care including surgical resection, radiation therapy, and chemotherapy. There is interest in applying immunotherapy to glioblastoma as this modality has demonstrated remarkable improvements in the management of several solid tumors including melanoma, renal cell carcinoma, and non-small cell lung cancer. This review aims to provide an overview of the current state of glioblastoma immunotherapy. Methods Literature search was performed on PubMed between 1961 and 2020. Results Initial clinical trials of checkpoint inhibitors and vaccine therapy for glioblastoma have largely been disappointing for both primary and recurrent glioblastoma. This failure has been attributed to glioblastoma's highly immunosuppressive environment and multiple mechanisms of therapy resistance including high tumor heterogeneity, low mutational burden, systemic immunosuppression, and local immune dysfunction. Conclusions Current clinical trials are exploring combination therapy and novel treatment strategies beyond immune checkpoint therapies and vaccine therapy such as CAR T cells. There is also an effort to establish synergy between immunotherapy and current standard of care. Furthermore, recent advances in personalized neoantigen vaccines suggest a shift towards personalized, patient-specific GBM treatment.</t>
  </si>
  <si>
    <t>Berraondo, Pedro; Cuesta, Raquel; Sanmamed, Miguel F.; Melero, Ignacio</t>
  </si>
  <si>
    <t>Immunogenicity and Efficacy of Personalized Adjuvant mRNA Cancer Vaccines</t>
  </si>
  <si>
    <t>Cancer Discovery</t>
  </si>
  <si>
    <t>10.1158/2159-8290.CD-24-1196</t>
  </si>
  <si>
    <t>In this issue, Gainor and colleagues report on the immunogenicity of personalized neoantigen-encoding mRNA vaccines that elicit measurable polyfunctional CD8+ and CD4+ T-cell responses in patients whose tumors have been resected. Reactivity is substantiated to 20% to 30% of the predicted MHC-I and MHC-II epitopes in four patients with NSCLC postsurgically treated with the vaccine alone and in 12 patients with melanoma treated with their individualized vaccines plus pembrolizumab in the context of a phase 1 clinical trial (NCT03313778).</t>
  </si>
  <si>
    <t>Contextual highlight; lacks original raw data/methodology.</t>
  </si>
  <si>
    <t>Montesion, Meagan; Murugesan, Karthikeyan; Jin, Dexter X.; Sharaf, Radwa; Sanchez, Nora; Guria, Ameet; Minker, Max; Li, Gerald; Fisher, Virginia; Sokol, Ethan S.; Pavlick, Dean C.; Moore, Jay A.; Braly, Alan; Singal, Gaurav; Fabrizio, David; Comment, Leah A.; Rizvi, Naiyer A.; Alexander, Brian M.; Frampton, Garrett M.; Hegde, Priti S.; Albacker, Lee A.</t>
  </si>
  <si>
    <t>Somatic HLA Class I Loss Is a Widespread Mechanism of Immune Evasion Which Refines the Use of Tumor Mutational Burden as a Biomarker of Checkpoint Inibitor Response</t>
  </si>
  <si>
    <t>10.1158/2159-8290.CD-20-0672</t>
  </si>
  <si>
    <t>Neoantigen presentation arises as a result of tumor-specific mutations and is a critical component of immune surveillance that can be abrogated by somatic LOH of the human leukocyte antigen class I (HLA-I) locus. To understand the role of HLA-I LOH in oncogenesis and treatment, we utilized a pan-cancer genomic dataset of 83,644 patient samples, a small subset of which had treatment outcomes with immune checkpoint inhibitors (ICI). HLA-I LOH was common (17%) and unexpectedly had a nonlinear relationship with tumor mutational burden (TMB). HLA-I LOH was frequent at intermediate TMB, yet prevalence decreased above 30 mutations/megabase, suggesting highly mutated tumors require alternate immune evasion mechanisms. In ICI-treated patients with non-squamous non-small cell lung cancer, HLA-I LOH was a significant negative predictor of overall survival. Survival prediction improved when combined with TMB, suggesting TMB with HLA-I LOH may better identify patients likely to benefit from ICIs. SIGNIFICANCE: This work shows the pan-cancer landscape of HLA-I LOH, revealing an unexpected "Goldilocks" relationship between HLA-I LOH and TMB, and demonstrates HLA-I LOH as a significant negative predictor of outcomes after ICI treatment. These data informed a combined predictor of outcomes after ICI and have implications for tumor vaccine development.</t>
  </si>
  <si>
    <t>Lennerz, Volker; Doppler, Christoph; Fatho, Martina; Droege, Anja; Schaper, Sigrid; Gennermann, Kristin; Genzel, Nadine; Plassmann, Stephanie; Weismann, David; Lukowski, Samuel W.; Bents, Dominik; Beushausen, Christina; Kriese, Karen; Herbst, Hermann; Seitz, Volkhard; Hammer, Rudolf; Adam, Paul J.; Eggeling, Stephan; Woelfel, Catherine; Woelfel, Thomas; Hennig, Steffen</t>
  </si>
  <si>
    <t>T-cell receptors identified by a personalized antigen-agnostic screening approach target shared neoantigen KRAS Q61H</t>
  </si>
  <si>
    <t>10.3389/fimmu.2025.1509855</t>
  </si>
  <si>
    <t>Adoptive cell therapy (ACT) with TCR-engineered T-cells represents a promising alternative to TIL- or CAR-T therapies for patients with advanced solid cancers. Currently, selection of therapeutic TCRs critically depends on knowing the target antigens, a condition excluding most patients from treatment. Direct antigen-agnostic identification of tumor-specific T-cell clonotypes and TCR-T manufacturing using their TCRs can advance ACT for patients with aggressive solid cancers. We present a method to identify tumor-specific clonotypes from surgical specimens by comparing TCR beta-chain repertoires of TILs and adjacent tissue-resident lymphocytes. In six out of seven NSCLC-patients analyzed, our selection of tumor-specific clonotypes based on TIL-abundance and high tumor-to-nontumor frequency ratios was confirmed by gene expression signatures determined by scRNA-Seq. In three patients, we demonstrated that predicted tumor-specific clonotypes reacted against autologous tumors. For one of these patients, we engineered TCR-T cells with four candidate tumor-specific TCRs that showed reactivity against the patient's tumor and HLA-matched NSCLC cell lines. The TCR-T cells were then used to screen for candidate neoantigens and aberrantly expressed antigens. Three TCRs recognized recurrent driver-mutation KRAS Q61H-peptide ILDTAG H EEY presented by HLA-A*01:01. The TCRs were also dominant in a tumor relapse, one was found in cell free DNA. The finding of homologous TCRs in independent KRAS Q61H-positive cancers suggests a therapeutic opportunity for HLA-matched patients with KRAS Q61H-expressing tumors.</t>
  </si>
  <si>
    <t>Qiao, Yun; Hui, Kaiyuan; Hu, Chenxi; Wang, Mei; Sun, Wen; Liu, Liang; Dong, Changhong; Jiang, Xiaodong</t>
  </si>
  <si>
    <t>Efficacy and safety of PD-1 blockade-activated neoantigen specific cellular therapy for advanced relapsed non-small cell lung cancer</t>
  </si>
  <si>
    <t>10.1007/s00262-024-03906-z</t>
  </si>
  <si>
    <t>BACKGROUND: Due to its strong immunogenicity and tumor specificity, neoplastic antigen has emerged as an immunotherapy target with wide therapeutic prospect and clinical application value. Anti-programmed death-1 (PD-1) antibodies reinvigorate T cell-mediated antitumor immunity. So, we conducted single-arm trial to assess the safety and efficacy of PD-1 blockade(Camrelizumab)-activated neoantigen specific cellular therapy (aNASCT) on advanced relapsed non-small lung cancer(NSCLC)(ClinicalTrials.gov NCT03205930). METHODS: Neoantigenic peptides were designed and manufactured according to the whole exome sequencing and RNA sequencing of fresh biopsy tissues and peripheral blood as well as bioinformatics analysis. All participants received subcutaneous injection of mature dendritic cells(mDCs) loaded with neoantigens on day 8 and an intravenous infusion of PD-1 blockade-activated autologous cytotoxic T lymphocytes (CTLs) induced by mDCs on day 27 for a period defined as 28 days (4 weeks). Enrolled patients received at least three cycles of therapy. The safety and efficacy of the treatment were evaluated by evaluating adverse reactions, progression-free survival (PFS), overall survival (OS). RESULTS: A total of 13 patients with advanced relapsed NSCLC were enrolled in this study. All 13 patients received at least three cycles of aNASCT treatment, of which two patients received at most 12 cycles of treatment. Treatment-related adverse events (AEs) occurred in 4/13 (30.8%)patients with transient fever below 38℃.The objective response rate (ORR) across the 13 enrolled patients was 7 of 13 (53.85%,95% CI 0.29-0.77).The disease control rate (DCR) was 8 of 13 (61.54%,95% CI 0.36-0.82). The median PFS was 11 months (95% CI 6.1-15.9), and the median OS was 15 months(95% CI 11.5-18.5). CONCLUSIONS: Our findings indicate that aMASCT therapy was safety and immunogenicity of patients with advanced relapsed NSCLC, suggesting its promising potential in cancer immunotherapy.</t>
  </si>
  <si>
    <t>Ott, P. A.; Govindan, R.; Naing, A.; Friedlander, T. W.; Margolin, K.; Lin, J. J.; Bhardwaj, N.; Hellman, M. D.; Srinivasan, L.; Greshock, J.; Moles, M.; Gaynor, R. B.; Goldstein, M. J.; Hu-Lieskovan, S.</t>
  </si>
  <si>
    <t>A personal neoantigen vaccine, NEO-PV-01, with anti-PD1 induces broad de novo anti-tumor immunity in patients with metastatic melanoma, NSCLC, and bladder cancer</t>
  </si>
  <si>
    <t>Zhang, Yan; Hu, Ye-Fan; Ma, Lingyu; Wu, Yifei; Chao, Dandan; Chen, Xian; Xu, Zhiyuan; Su, Xiaoping; Dai, Wei; Huang, Jiandong; Fu, Pingfu; Kong, Feng-Ming Spring</t>
  </si>
  <si>
    <t>A phase II randomized trial of individualized neoantigen peptide vaccine combined with unusual radiotherapy (iNATURE) in advanced solid tumors-GCOG0028</t>
  </si>
  <si>
    <t>10.3389/fimmu.2025.1538032</t>
  </si>
  <si>
    <t>BACKGROUND: Neoantigen-based vaccines show promising therapeutic potential in solid tumors such as melanoma, GBM, NSCLC, and CRC. However, clinical responses remain suboptimal in stage IV patients, due to ineffective T-cell function and high tumor burdens. To overcome these limitations, our study investigates a combination strategy using neoantigen peptide vaccines and precision critical lesion radiotherapy (CLERT), which delivers immunomodulatory doses to key tumor regions synergistically enhance immune activation and inhibit progression in multifocal stage IV patients. MATERIALS/METHODS: This is an open-label, multicenter phase II randomized study. The main objective is to evaluate the anti-tumor efficacy of personalized tumor neoantigen peptide vaccines and assess how different radiation doses synergize with vaccination in treating patients with advanced malignant tumors who have progressed after systemic therapy. Patients are stratified by cancer type and randomized 1:1 to receive either placebo with conventional treatment (including high and low dose radiotherapy) or a personalized neoantigen peptide vaccine alongside conventional treatment (including high and low dose radiotherapy). A one-way crossover design is implemented, permitting patients in the placebo arm to transition to the experimental arm upon progression. Clinical outcomes including progression-free survival and objective response rate are assessed both before and after crossover. Key inclusion criteria are as follows: 1) Patients with advanced or recurrent cancers detected by pathology and imaging, who failed first-line treatments; 2) Patients with projected survival ≥3 months and an ECOG score of 0-2; and 3) Patients with at least one predicted high-quality tumor neoantigen. CONCLUSION: This trial introduces an innovative combination strategy of precision radiotherapy and neoantigen vaccine. A notable feature of this study is the incorporation of a randomized control and intra-group crossover design, which is rarely utilized in neoantigen trials. The study is designed to provide critical insight into radiation-immune synergy and the clinical benefit of personalized immunization. Additionally, a basket-trial framework is employed, leveraging shared neoantigens across cancer types to improve efficiency and generalizability. This approach may reduce preparation time and cost, facilitating broader implementation of neoantigen-based immunotherapies. Altogether, this trial design represents a significant step toward translational application of tumor neoantigen vaccines and provides a platform for future combinational immunotherapy strategies. TRIAL REGISTRATION: https://clinicaltrials.gov/study/NCT06314087, identifier: NCT06314087; www.chictr.org.cn, identifier: ChiCTR2300078055. Global Collaborative Oncology Group (GCOG) identifier: GCOG0028.</t>
  </si>
  <si>
    <t>Luo, Zhilin; Zhang, Hong; Xiao, Yajie; Wang, Rui; Zhang, Liping; Huang, Chenglu; Cao, Yu; Sun, Chao; Zhao, Yongtian; Lin, Hanqing; Wu, Dongfang; Wang, Tianhu</t>
  </si>
  <si>
    <t>Durable Response to Immunotherapy With Antiangiogenic Drug in Large-Cell Lung Carcinoma With Multiple Fulminant Postoperative Metastases: A Case Report</t>
  </si>
  <si>
    <t>Frontiers in Oncology</t>
  </si>
  <si>
    <t>10.3389/fonc.2021.633446</t>
  </si>
  <si>
    <t>Immunotherapy alone or chemo-immunotherapy has recently been recommended for treating advanced lung carcinoma in patients without driver mutations. However, the efficacy of immunotherapy and molecular mechanism in large-cell lung cancer (LCLC) remains unclear. Here, we reported a rare case of multiple fulminant postoperative body and mouth metastases in LCLC treating with combination immunotherapy. Initially, the patient was diagnosed as early stage LCLC and underwent a radical resection of the right lower lobe. Just one month later, multiple fulminant body and mouth lesions appeared in the right upper arm, right elbow, right waist, and tongue root. Meanwhile, serum neuron specific enolase (NSE) concentration dramatically increased from 12.12 to 30.14 ng/ml. Immumohistochemistry findings demonstrated moderate PD-L1 expressions with tumor proportion score (TPS), while next-generation sequencing indicated moderate tumor mutational burden (TMB) levels and gene mutations in PBRM1 L1230P and TP53 L194R of both foci. Besides, loss of heterozygosity (LOH) at human leukocyte antigen (HLA) class I (HLA-A*02:03, HLA-B*55:02 and HLA-C*12:03) were detected in the right upper arm metastasis, which may facilitate malignant postoperative metastases in this case. Notably, this patient received combination therapy with anti-PD-1 antibody sintilimab plus anlotinib, and achieved a partial response for at least 12 months. Using an integrated computational method, the mutant peptide TEIPENDIPL derived from PBRM1 L1230P was predicted to be a specific neoantigen and could still be presented by HLA-B*40:01. This case suggests that immunotherapy plus antiangiogenic drug may provide an alternative therapeutic option for advanced LCLC patients without common gene mutations.</t>
  </si>
  <si>
    <t>Garcia-Pardo, Miguel; Gorria, Teresa; Malenica, Ines; Corgnac, Stephanie; Teixido, Cristina; Mezquita, Laura</t>
  </si>
  <si>
    <t>Vaccine Therapy in Non-Small Cell Lung Cancer</t>
  </si>
  <si>
    <t>Vaccines</t>
  </si>
  <si>
    <t>10.3390/vaccines10050740</t>
  </si>
  <si>
    <t>Immunotherapy using immune checkpoint modulators has revolutionized the oncology field, emerging as a new standard of care for multiple indications, including non-small cell lung cancer (NSCLC). However, prognosis for patients with lung cancer is still poor. Although immunotherapy is highly effective in some cases, not all patients experience significant or durable responses, and further strategies are needed to improve outcomes. Therapeutic cancer vaccines are designed to exploit the body's immune system to activate long-lasting memory against tumor cells that ensure tumor regression, with minimal toxicity. A unique feature of cancer vaccines lies in their complementary approach to boost antitumor immunity that could potentially act synergistically with immune checkpoint inhibitors (ICIs). However, single-line immunization against tumor epitopes with vaccine-based therapeutics has been disappointingly unsuccessful, to date, in lung cancer. The high level of success of several recent vaccines against SARS-CoV-2 has highlighted the evolving advances in science and technology in the vaccines field, raising hope that this strategy can be successfully applied to cancer treatments. In this review, we describe the biology behind the cancer vaccines, and discuss current evidence for the different types of therapeutic cancer vaccines in NSCLC, including their mechanisms of action, current clinical development, and future strategies.</t>
  </si>
  <si>
    <t>Literature Review about Vaccine Therapy in Non-Small Cell Lung Cancer</t>
  </si>
  <si>
    <t>Chen, Shaoyi; Cheng, Sida; Cai, Jingsheng; Liu, Zheng; Li, Haoran; Wang, Peiyu; Li, Yun; Yang, Fan; Chen, Kezhong; Qiu, Mantang</t>
  </si>
  <si>
    <t>The current therapeutic cancer vaccines landscape in non-small cell lung cancer</t>
  </si>
  <si>
    <t>10.1002/ijc.35088</t>
  </si>
  <si>
    <t>Currently, conventional immunotherapies for the treatment of non-small cell lung cancer (NSCLC) have low response rates and benefit only a minority of patients, particularly those with advanced disease, so novel therapeutic strategies are urgent deeded. Therapeutic cancer vaccines, a form of active immunotherapy, harness potential to activate the adaptive immune system against tumor cells via antigen cross-presentation. Cancer vaccines can establish enduring immune memory and guard against recurrences. Vaccine-induced tumor cell death prompts antigen epitope spreading, activating functional T cells and thereby sustaining a cancer-immunity cycle. The success of vaccines against severe acute respiratory syndrome coronavirus 2 (SARS-CoV-2) has rendered cancer vaccines a promising avenue, especially when combined with immunotherapy or chemoradiotherapy for NSCLC. This review delves into the intricate antitumor immune mechanisms underlying therapeutic cancer vaccines, enumerates the tumor antigen spectrum of NSCLC, discusses different cancer vaccines progress and summarizes relevant clinical trials. Additionally, we analyze the combination strategies, current limitations, and future prospects of cancer vaccines in NSCLC treatment, aiming to offer fresh insights for their clinical application in managing NSCLC. Overall, cancer vaccines offer promising potential for NSCLC treatment, particularly combining with chemoradiotherapy or immunotherapy could further improve survival in advanced patients. Exploring inhaled vaccines or prophylactic vaccines represents a crucial research avenue. image</t>
  </si>
  <si>
    <t>The current therapeutic cancer vaccines landscape in non-small cell lung canc</t>
  </si>
  <si>
    <t>Oosting, Linette T.; Franke, Katka; Martin, Michael; Kloosterman, Wigard P.; Jamieson, Jennifer A.; Glenn, Laura A.; de Jager, Miranda W.; van Zanten, Jacoba; Allersma, Derk P.; Gareb, Bahez</t>
  </si>
  <si>
    <t>Development of a Personalized Tumor Neoantigen Based Vaccine Formulation (FRAME-001) for Use in a Phase II Trial for the Treatment of Advanced Non-Small Cell Lung Cancer</t>
  </si>
  <si>
    <t>Pharmaceutics</t>
  </si>
  <si>
    <t>10.3390/pharmaceutics14071515</t>
  </si>
  <si>
    <t>Stage III-IV non-small cell lung cancer (NSCLC) is a devastating disease characterized by a poor prognosis. NSCLC tumors carry genetic mutations, which can lead to the expression of altered protein sequences. Peptides originating from mutated proteins and bound to MHC molecules on the tumor cell surface are referred to as neoantigens, as they are tumor-specific and not expressed in normal cells. Due to their tumor specificity, neoantigens have a strong potential to induce an anti-tumor immune response and have been investigated for development of personalized therapeutic cancer vaccines. The current study describes the development of a clinical grade neoantigen vaccine formulation (FRAME-001) intended as immunotherapy in advanced NSCLC in combination with the immune checkpoint inhibitor pembrolizumab. The detection of aberrant tumor-specific transcripts as well as an algorithm to select immunogenic neoantigen peptides are described. Subsequently, selected neoantigen peptides were synthesized with a high throughput synthesis platform and aseptically formulated under good manufacturing practice (GMP) conditions into four aqueous peptides mixtures that each contained six neoantigen peptides. A validated stability-indicating analytical method was developed in which we considered the personalized nature of the formulation. An extensive stability study performed either at -25 degrees C or -80 degrees C showed that the formulation was stable for up to 32 weeks. The formulation was mixed with the vaccine adjuvant Montanide ISA 51 VG, which yielded the final vaccine emulsion. The stability of the vaccine emulsion was demonstrated using microscopic examination, differential light scattering, and the water-drop test. The presented data show that FRAME-001 is a feasible personalized vaccine formulation for the treatment of stage III-IV NSCLC. The presented data may give guidance in the development of novel personalized therapeutic vaccines since this formulation strategy could be used for any cancer indication.</t>
  </si>
  <si>
    <t>Hermawan, Angelika; Damai, Fedric Intan; Martin, Leon; Chrisdianto, Matthew; Julianto, Nadya Marcelina; Pramanda, Ihsan Tria; Gustiananda, Marsia</t>
  </si>
  <si>
    <t>Immunoinformatics Analysis of Citrullinated Antigen as Potential Multi-peptide Lung Cancer Vaccine Candidates for Indonesian Population</t>
  </si>
  <si>
    <t>International Journal of Peptide Research and Therapeutics</t>
  </si>
  <si>
    <t>10.1007/s10989-022-10467-1</t>
  </si>
  <si>
    <t>Non-small-cell lung cancer (NSCLC) is the most common lung cancer which has the highest mortality rate in Indonesia. One of the trends in treating cancer is by utilizing peptide vaccines, an immunotherapeutic approach that aims to stimulate the cell-mediated adaptive immune system to recognize cancer-associated peptides. Currently, no peptide vaccines are available in the market for NSCLC treatment. Therefore, this project aims to develop a multi-epitope peptide-based vaccine for NSCLC utilizing citrullinated peptides. Citrullination is a post-translational modification that occurs in cancer cells during autophagy that functions to induce immune responses towards modified self-epitopes such as tumor cells, through activation of PAD enzymes within the APC and target cells. It was found that introducing a common citrullinated neo-antigen peptide such as vimentin and enolase to the immune system could stimulate a higher specific CD4(+) T cell response against NSCLC. Moreover, carcinoembryonic antigen (CEA), an antigen that is highly expressed in cancer cells, is also added to increase the vaccine's specificity and to mobilize both CD4(+) and CD8(+) T cells. These antigens bind strongly to the MHC Class II alleles such as HLA-DRB1*07:01 and HLA-DRB*11:01, which are predominant alleles in Indonesian populations. Through in silico approach, the peptides generated from CEA, citrullinated vimentin and enolase, were analyzed for their MHC binding strength, immunogenicity, ability to induce IFN gamma response, and population coverage. It is expected that the immunodominant antigens presentation is able to induce a potent immune response in NSCLC patients in Indonesia, resulting in tumor eradication.</t>
  </si>
  <si>
    <t>Ma, Weijie; Zeng, Jie; Montoya, Dennis J.; Toomey, Kyra; Zhou, Chihong; Chen, Shuai; Liu, Dingning; Babich, Michael; Radosevich, James A.; Li, Tianhong</t>
  </si>
  <si>
    <t>Labyrinthin Expression Is Associated with Poor Prognosis in Patients with Non-Small-Cell Lung Cancer</t>
  </si>
  <si>
    <t>Cancers</t>
  </si>
  <si>
    <t>10.3390/cancers15030924</t>
  </si>
  <si>
    <t>Simple Summary Adenocarcinomas represent nearly 40% of all cancer types, and account for more than 70% of cancer-related deaths. Labyrinthin (LAB) is a novel cancer neoantigen expressed on the surface of adenocarcinoma cells of various cancer types. Several treatment strategies are being developed for targeting LAB as a pan-adenocarcinoma target. This study aimed to develop an immunohistochemistry (IHC) assay to detect LAB expression on archival tumor specimens of non-small-cell lung cancer (NSCLC) and characterize the clinical significance of LAB expression. We also explored LAB mRNA expression by RNA sequencing using NSCLC data in The Cancer Genome Atlas (TCGA), and correlated with clinical phenotype and outcome. Further study is warranted to validate LAB IHC and LAB RNA expression as independent biomarkers for selecting patients for cancer therapy targeting LAB. To determine Labyrinthin (LAB) expression in non-small-cell lung cancer (NSCLC), we immunostained and scored for LAB immunohistochemistry (IHC) expression on sections of tissue microarrays (TMAs) prepared from 256 archival tissue blocks of NSCLC. Propensity-score-weighted Kaplan-Meier curves and weighted Cox models were used to associate LAB expression with overall survival. LAB mRNA expression was assessed in The Cancer Genome Atlas (TCGA) and correlated with clinical phenotype and outcome. Positive LAB IHC expression (&gt;5% of tumor cells) was detected in 208/256 (81.3%) of NSCLC samples, and found in both lung adenocarcinomas (LUAD) and lung squamous cell cancer (LUSC). LAB positivity was associated with poor overall survival (HR = 3.56, 95% CI: 2.3-5.4; p &lt; 0.0001) and high tumor differentiation grade or metastasis compared with negative LAB expression. Univariant and multivariate survival analyses demonstrated LAB expression as an independent prognostic factor for NSCLC patients. LAB RNA expression in TCGA-LUAD was higher in primary and advanced-stage tumors than in normal tissue, and was associated with poorer overall survival. No significant differences or associations were found with LAB RNA expression in TCGA-LUSC. The LAB IHC assay is being used to identify candidate cancer patients for the first-in-human phase I trial evaluating the LAB vaccines (UCDCC#296, NCT051013560).</t>
  </si>
  <si>
    <t>The study focuses on Labyrinthin (LAB) .Labyrinthin is a wild-type (self) protein (specifically a byproduct of the asph gene) that is overexpressed on the surface of adenocarcinoma cells. It is a Tumor-Associated Antigen (TAA), not a neoantigen.</t>
  </si>
  <si>
    <t>Li, Fenge; Wu, Huancheng; Du, Xueming; Sun, Yimo; Rausseo, Barbara Nassif; Talukder, Amjad; Katailiha, Arjun; Elzohary, Lama; Wang, Yupeng; Wang, Zhiyu; Lizee, Gregory</t>
  </si>
  <si>
    <t>Epidermal Growth Factor Receptor-Targeted Neoantigen Peptide Vaccination for the Treatment of Non-Small Cell Lung Cancer and Glioblastoma</t>
  </si>
  <si>
    <t>10.3390/vaccines11091460</t>
  </si>
  <si>
    <t>The epidermal growth factor receptor (EGFR) plays crucial roles in several important biological functions such as embryogenesis, epithelial tissue development, and cellular regeneration. However, in multiple solid tumor types overexpression and/or activating mutations of the EGFR gene frequently occur, thus hijacking the EGFR signaling pathway to promote tumorigenesis. Non-small cell lung cancer (NSCLC) tumors in particular often contain prevalent and shared EGFR mutations that provide an ideal source for public neoantigens (NeoAg). Studies in both humans and animal models have confirmed the immunogenicity of some of these NeoAg peptides, suggesting that they may constitute viable targets for cancer immunotherapies. Peptide vaccines targeting mutated EGFR have been tested in multiple clinical trials, demonstrating an excellent safety profile and encouraging clinical efficacy. For example, the CDX-110 (rindopepimut) NeoAg peptide vaccine derived from the EGFRvIII deletion mutant in combination with temozolomide and radiotherapy has shown efficacy in treating EGFRvIII-harboring glioblastoma multiforme (GBM) patients undergone surgery in multiple Phase I and II clinical trials. Furthermore, pilot clinical trials that have administered personalized NeoAg peptides for treating advanced-stage NSCLC patients have shown this approach to be a feasible and safe method to increase antitumor immune responses. Amongst the vaccine peptides administered, EGFR mutation-targeting NeoAgs induced the strongest T cell-mediated immune responses in patients and were also associated with objective clinical responses, implying a promising future for NeoAg peptide vaccines for treating NSCLC patients with selected EGFR mutations. The efficacy of NeoAg-targeting peptide vaccines may be further improved by combining with other modalities such as tyrosine kinase or immune checkpoint inhibitor (ICI) therapy, which are currently being tested in animal models and clinical trials. Herein, we review the most current basic and clinical research progress on EGFR-targeted peptide vaccination for the treatment of NSCLC and other solid tumor types.</t>
  </si>
  <si>
    <t>Literature Review; synthesizes existing research on EGFR vaccines.</t>
  </si>
  <si>
    <t>Banda, Jesus Salvador Flores; Gangane, Sanjana; Raza, Fatima; Massarelli, Erminia</t>
  </si>
  <si>
    <t>Current Development of Therapeutic Vaccines in Lung Cancer</t>
  </si>
  <si>
    <t>10.3390/vaccines13020185</t>
  </si>
  <si>
    <t>Cancer vaccines have a potential to change the current landscape of immunotherapy research and development. They target and neutralize specific tumor cells by utilizing the body's own immune system which offers a promising modality in treating various cancers including lung cancer. Historically, prior vaccination approaches specifically towards lung cancer have posed several challenges but also potential with early phase I/II trials showing improved overall survival. With better understanding of the body's immune system as well as advancements in vaccine development, the use of vaccines to target lung cancer cells in both non-small cell lung cancer (NSCLC) and small cell lung cancer (SCLC) has shown promise but also challenges in the setting of advanced stage cancers, tumor resistance mechanisms, immune evasion, and tumor heterogeneity. The proposed solution is to enroll patients in the early stages of the disease, rather than waiting until progression occurs. Additionally, future efforts will focus on the targeted identification of specific and novel tumor neo-antigens. This review offers discussion and analysis of both completed and ongoing trials utilizing different strategies for vaccine development in relation to treating lung cancer as well as current challenges faced.</t>
  </si>
  <si>
    <t>its a review about Current Development of Therapeutic Vaccines in Lung Cancer</t>
  </si>
  <si>
    <t>Cho, Ju Hwan</t>
  </si>
  <si>
    <t>Immunotherapy for Non-small-cell Lung Cancer: Current Status and Future Obstacles</t>
  </si>
  <si>
    <t>Immune Network</t>
  </si>
  <si>
    <t>10.4110/in.2017.17.6.378</t>
  </si>
  <si>
    <t>Lung cancer is one of the leading causes of death worldwide. There are 2 major subtypes of lung cancer, non-small-cell lung cancer (NSCLC) and small-cell lung cancer (SCLC). Studies show that NSCLC is the more prevalent type of lung cancer that accounts for approximately 80%-85% of cases. Although, various treatment methods, such as chemotherapy, surgery, and radiation therapy have been used to treat lung cancer patients, there is an emergent need to develop more effective approaches to deal with advanced stages of tumors. Recently, immunotherapy has emerged as a new approach to combat with such tumors. The development and success of programmed cell death 1 (PD-1)/program death-ligand 1 (PD-L1) inhibitors and cytotoxic T-lymphocyte antigen 4 (CTLA-4) blockades in treating metastatic cancers opens a new pavement for the future research. The current mini review discusses the significance of immune checkpoint inhibitors in promoting the death of tumor cells. Additionally, this review also addresses the importance of tumor-specific antigens (neoantigens) in the development of cancer vaccines and major challenges associated with this therapy. Immunotherapy can be a promising approach to treat NSCLC because it stimulates host's own immune system to recognize cancer cells. Therefore, future research should focus on the development of new methodologies to identify novel checkpoint inhibitors and potential neoantigens.</t>
  </si>
  <si>
    <t>its a review about Immunotherapy for Non-small-cell Lung Cancer: Current Status and Future Obstacles</t>
  </si>
  <si>
    <t>Wang, Su He; Cao, Zhengyi; Farazuddin, Mohammad; Chen, Jesse; Janczak, Katarzyna W.; Tang, Shengzhuang; Cannon, Jayme; Baker Jr, James R.</t>
  </si>
  <si>
    <t>A novel intranasal peptide vaccine inhibits non-small cell lung cancer with KRAS mutation</t>
  </si>
  <si>
    <t>Cancer Gene Therapy</t>
  </si>
  <si>
    <t>10.1038/s41417-023-00717-9</t>
  </si>
  <si>
    <t>KRAS mutations occur commonly in the lung and can lead to the development of non-small cell lung cancer (NSCLC). While the mutated KRAS protein is a neoantigen, it usually does not generate an effective anti-tumor immune response on mucosal/epithelial surfaces. Despite this, mutated KRAS remains a potential target for immunotherapy since immune targeting of this protein in animal models has been effective at eliminating tumor cells. We attempted to develop a KRAS vaccine using mutated and wild-type KRAS peptides in combination with a nanoemulsion (NE) adjuvant. The efficacy of this approach was tested in an inducible mutant KRAS-mouse lung tumor model. Animals were immunized intranasally using NE with KRAS peptides. These animals had decreased CD4+FoxP3+ T cells in both lymph nodes and spleen. Immunized animals also showed higher IFN-gamma and IL-17a levels to mutated KRAS that were produced by CD8+ T cells and enhancement in KRAS-specific Th1 and Th17 responses that persisted for 3 months after the last vaccination. Importantly, the immunized animals had significantly decreased tumor incidence compared to control animals. In conclusion, a mucosal approach to KRAS vaccination demonstrated the ability to induce local KRAS-specific immune responses in the lung and resulted in reduced tumor incidence.</t>
  </si>
  <si>
    <t>Khan, Shumayila; Upadhyay, Saurabh; Kauser, Sana; Hasan, Gulam Mustafa; Lu, Wenying; Waters, Maddison; Hassan, Md Imtaiyaz; Sohal, Sukhwinder Singh</t>
  </si>
  <si>
    <t>Redefining the Diagnostic and Therapeutic Landscape of Non-Small Cell Lung Cancer in the Era of Precision Medicine</t>
  </si>
  <si>
    <t>Journal of Clinical Medicine</t>
  </si>
  <si>
    <t>10.3390/jcm14228021</t>
  </si>
  <si>
    <t>Non-small cell lung cancer (NSCLC) remains a leading cause of cancer-related mortality globally, driven by marked molecular and cellular heterogeneity that complicates diagnosis and treatment. Despite advances in targeted therapies and immunotherapies, treatment resistance frequently emerges, and clinical benefits remain limited to specific molecular subtypes. To improve early detection and dynamic monitoring, novel diagnostic strategies-including liquid biopsy, low-dose computed tomography scans (CT) with radiomic analysis, and AI-integrated multi-modal platforms-are under active investigation. Non-invasive sampling of exhaled breath, saliva, and sputum, and high-throughput profiling of peripheral T-cell receptors and immune signatures offer promising, patient-friendly biomarker sources. In parallel, multi-omic technologies such as single-cell sequencing, spatial transcriptomics, and proteomics are providing granular insights into tumor evolution and immune interactions. The integration of these data with real-world clinical evidence and machine learning is refining predictive models and enabling more adaptive treatment strategies. Emerging therapeutic modalities-including antibody-drug conjugates, bispecific antibodies, and cancer vaccines-further expand the therapeutic landscape. This review synthesizes recent advances in NSCLC diagnostics and treatment, outlines key challenges, and highlights future directions to improve long-term outcomes. These advancements collectively improve personalized and effective management of NSCLC, offering hope for better-quality survival. Continued research and integration of cutting-edge technologies will be crucial to overcoming current challenges and achieving long-term clinical success.</t>
  </si>
  <si>
    <t xml:space="preserve">its  a review about Redefining the Diagnostic and Therapeutic Landscape of Non-Small Cell Lung Cancer in the Era of Precision Medicine
</t>
  </si>
  <si>
    <t>Anagnostou, Valsamo; Smith, Kellie N.; Forde, Patrick M.; Niknafs, Noushin; Bhattacharya, Rohit; White, James; Zhang, Theresa; Adleff, Vilmos; Phallen, Jillian; Wali, Neha; Hruban, Carolyn; Guthrie, Violeta B.; Rodgers, Kristen; Naidoo, Jarushka; Kang, Hyunseok; Sharfman, William; Georgiades, Christos; Verde, Franco; Illei, Peter; Li, Qing Kay; Gabrielson, Edward; Brock, Malcolm V.; Zahnow, Cynthia A.; Baylin, Stephen B.; Scharpf, Robert B.; Brahmer, Julie R.; Karchin, Rachel; Pardoll, Drew M.; Velculescu, Victor E.</t>
  </si>
  <si>
    <t>Evolution of Neoantigen Landscape during Immune Checkpoint Blockade in Non-Small Cell Lung Cancer</t>
  </si>
  <si>
    <t>10.1158/2159-8290.CD-16-0828</t>
  </si>
  <si>
    <t>Immune checkpoint inhibitors have shown significant therapeutic responses against tumors containing increased mutation-associated neoantigen load. We have examined the evolving landscape of tumor neoantigens during the emergence of acquired resistance in patients with non-small cell lung cancer after initial response to immune checkpoint blockade with anti-PD-1 or anti-PD-1/anti-CTLA-4 antibodies. Analyses of matched pretreatment and resistant tumors identified genomic changes resulting in loss of 7 to 18 putative mutation-associated neoantigens in resistant clones. Peptides generated from the eliminated neoantigens elicited clonal T-cell expansion in autologous T-cell cultures, suggesting that they generated functional immune responses. Neoantigen loss occurred through elimination of tumor subclones or through deletion of chromosomal regions containing truncal alterations, and was associated with changes in T-cell receptor clonality. These analyses provide insight into the dynamics of mutational landscapes during immune checkpoint blockade and have implications for the development of immune therapies that target tumor neoantigens. SIGNIFICANCE: Acquired resistance to immune checkpoint therapy is being recognized more commonly. This work demonstrates for the first time that acquired resistance to immune checkpoint blockade can arise in association with the evolving landscape of mutations, some of which encode tumor neoantigens recognizable by T cells. These observations imply that widening the breadth of neoantigen reactivity may mitigate the development of acquired resistance. (C) 2017 AACR.</t>
  </si>
  <si>
    <t>Zhang, Wei; Yin, Qi; Huang, Haidong; Lu, Jingjing; Qin, Hao; Chen, Si; Zhang, Wenjun; Su, Xiaoping; Sun, Weihong; Dong, Yuchao; Li, Qiang</t>
  </si>
  <si>
    <t>Personal Neoantigens From Patients With NSCLC Induce Efficient Antitumor Responses</t>
  </si>
  <si>
    <t>10.3389/fonc.2021.628456</t>
  </si>
  <si>
    <t>Objective To develop a neoantigen-targeted personalized cancer treatment for non-small cell lung cancer (NSCLC), neoantigens were obtained from collected human lung cancer samples, and the utility of neoantigen and neoantigen-reactive T cells (NRTs) was assessed. Methods Tumor specimens from three patients with NSCLC were obtained and analyzed by whole-exome sequencing, and neoantigens were predicted accordingly. Dendritic cells and T lymphocytes were isolated, NRTs were elicited and IFN-gamma ELISPOT tests were conducted. HLA-A2.1/K-b transgenic mice were immunized with peptides from HLA-A*02:01(+)patient with high immunogenicity, and NRTs were subjected to IFN-gamma, IL-2 and TNF-alpha ELISPOT as well as time-resolved fluorescence assay for cytotoxicity assays to verify the immunogenicity in vitro. The HLA-A*02:01(+)lung cancer cell line was transfected with minigene and inoculated into the flanks of C57BL/6(nu/nu) mice and the NRTs induced by the immunogenic polypeptides from autologous HLA-A2.1/K-b transgenic mice were adoptively transfused to verify their immunogenicity in vivo. Results Multiple putative mutation-associated neoantigens with strong affinity for HLA were selected from each patient. Immunogenic neoantigen were identified in all three NSCLC patients, the potency of ACAD8-T105I, BCAR1-G23V and PLCG1-M425L as effective neoantigen to active T cells in suppressing tumor growth was further proven both in vitro and in vivo using HLA-A2.1/Kb transgenic mice and tumor-bearing mouse models. Conclusion Neoantigens with strong immunogenicity can be screened from NSCLC patients through the whole-exome sequencing of patient specimens and machine-learning-based neoantigen predictions. NRTs shown efficient antitumor responses in transgenic mice and tumor-bearing mouse models. Our results indicate that the development of neoantigen-based personalized immunotherapies in NSCLC is possible. Precis Neoantigens with strong immunogenicity were screened from NSCLC patients. This research provides evidence suggesting that neoantigen-based therapy might serve as feasible treatment for NSCLC.</t>
  </si>
  <si>
    <t>Merlotti, Antonela; Sadacca, Benjamin; Arribas, Yago A.; Ngoma, Mercia; Burbage, Marianne; Goudot, Christel; Houy, Alexandre; Rocafiln-Arjo, Ares; Lalanne, Ana; Seguin-Givelet, Agathe; Lefevre, Marine; Heurtebise-Chretien, Sandrine; Baudon, Blandine; Oliveira, Giacomo; Loew, Damarys; Carrascal, Montserrat; Wu, Catherine J.; Lantz, Olivier; Stern, Marc-Henri; Girard, Nicolas; Waterfallz, Joshua J.; Amigorena, Sebastian</t>
  </si>
  <si>
    <t>Noncanonical splicing junctions between exons and transposable elements represent a source of immunogenic recurrent neo-antigens in patients with lung cancer</t>
  </si>
  <si>
    <t>Science Immunology</t>
  </si>
  <si>
    <t>10.1126/sciimmunol.abm6359</t>
  </si>
  <si>
    <t>Although most characterized tumor antigens are encoded by canonical transcripts (such as differentiation or tumor-testis antigens) or mutations (both driver and passenger mutations), recent results have shown that non -canonical transcripts including long noncoding RNAs and transposable elements (TEs) can also encode tumor -specific neo-antigens. Here, we investigate the presentation and immunogenicity of tumor antigens derived from noncanonical mRNA splicing events between coding exons and TEs. Comparing human non -small cell lung cancer (NSCLC) and diverse healthy tissues, we identified a subset of splicing junctions that is both tumor specific and shared across patients. We used HLA-1 peptidomics to identify peptides encoded by tumor-specific junctions in primary NSCLC samples and lung tumor cell lines. Recurrent junction-encoded pep-tides were immunogenic in vitro, and CDR+ T cells specific for junction-encoded epitopes were present in tumors and tumor-draining lymph nodes from patients with NSCLC. We conclude that noncanonical splicing junctions between exons and TEs represent a source of recurrent, immunogenic tumor-specific antigens in patients with NSCLC.</t>
  </si>
  <si>
    <t>Menez-Jamet, Jeanne; Gallou, Catherine; Rougeot, Aude; Kosmatopoulos, Kostas</t>
  </si>
  <si>
    <t>Optimized tumor cryptic peptides: the basis for universal neoantigen-like tumor vaccines</t>
  </si>
  <si>
    <t>Annals of Translational Medicine</t>
  </si>
  <si>
    <t>10.21037/atm.2016.05.15</t>
  </si>
  <si>
    <t>The very impressive clinical results recently obtained in cancer patients treated with immune response checkpoint inhibitors boosted the interest in immunotherapy as a therapeutic choice in cancer treatment. However, these inhibitors require a pre-existing tumor specific immune response and the presence of tumor infiltrating T cells to be efficient. This immune response can be triggered by cancer vaccines. One of the main issues in tumor vaccination is the choice of the right antigen to target. All vaccines tested to date targeted tumor associated antigens (TAA) that are self-antigens and failed to show a clinical efficacy because of the immune self-tolerance to TAA. A new class of tumor antigens has recently been described, the neo-antigens that are created by point mutations of tumor expressing proteins and are recognized by the immune system as non-self. Neo-antigens exhibit two main properties: they are not involved in the immune self-tolerance process and are immunogenic. However, the majority of the neo-antigens are patient specific and their use as cancer vaccines requires their previous identification in each patient individualy that can be done only in highly specialized research centers. It is therefore evident that neoantigens cannot be used for patient vaccination worldwide. This raises the question of whether we can find neoantigen like vaccines, which would not be patient specific. In this review we show that optimized cryptic peptides from TAA are neo-antigen like peptides. Optimized cryptic peptides are recognized by the immune system as nonself because they target self-cryptic peptides that escape self-tolerance; in addition they are strongly immunogenic because their sequence is modified in order to enhance their affinity for the HLA molecule. The first vaccine based on the optimized cryptic peptide approach, Vx-001, which targets the widely expressed tumor antigen telomerase reverse transcriptase (TERT), has completed a large phase I clinical study and is currently being tested in a randomized phase II trial in non-small cell lung cancer (NSCLC) patients.</t>
  </si>
  <si>
    <t>its a review about Optimized tumor cryptic peptides: the basis for universal neo-antigen-like tumor vaccines</t>
  </si>
  <si>
    <t>Niemi, Jenni Viivi Linnea; Sokolov, Aleksandr; Schioth, Helgi B.</t>
  </si>
  <si>
    <t>Neoantigen Vaccines; Clinical Trials, Classes, Indications, Adjuvants and Combinatorial Treatments</t>
  </si>
  <si>
    <t>10.3390/cancers14205163</t>
  </si>
  <si>
    <t>Simple Summary Personalized neoantigen vaccines are a diverse group of personally tailored cancer vaccines that strengthen patients ' own immune reaction against cancer antigens. We analyzed 147 neoantigen vaccine clinical trials from ClinicalTrials.gov database and showed that peptide vaccines were the dominating vaccine type, while there were multiple new neoantigen vaccine types in the field. We also showed that neoantigen vaccines were mostly used in the treatment of small cell lung cancer, non-small cell lung cancer, melanoma, and glioma. According to our results neoantigen vaccines work at their best when combined with other treatments such as immune checkpoint inhibitors, chemotherapy, and radiation therapy. The effect of some neoantigen vaccine types were also often promoted with adjuvant therapy where poly-ICLC were the most recurrent adjuvant choice. Personalized neoantigen vaccines are a highly specific cancer treatment designed to induce a robust cytotoxic T-cell attack against a patient's cancer antigens. In this study, we searched ClinicalTrials.gov for neoantigen vaccine clinical trials and systematically analyzed them, a total of 147 trials. Peptide vaccines are the largest neoantigen vaccine type, comprising up to 41% of the clinical trials. However, mRNA vaccines are a growing neoantigen vaccine group, especially in the most recent clinical trials. The most common cancer types in the clinical trials are glioma, lung cancer, and malignant melanoma, being seen in more than half of the clinical trials. Small-cell lung cancer and non-small-cell lung cancer are the largest individual cancer types. According to the results from the clinical trials, neoantigen vaccines work best when combined with other cancer treatments, and popular combination treatments include immune checkpoint inhibitors, chemotherapy, and radiation therapy. Additionally, half of the clinical trials combined neoantigen vaccines with an adjuvant to boost the immune effects, with poly-ICLC being the most recurrent adjuvant choice. This study clarifies the rapid clinical trial development of personalized neoantigen vaccines as an emerging class of cancer treatment with increasingly diversified opportunities in classes, indications, and combinatorial treatments.</t>
  </si>
  <si>
    <t>Systematic Review/Analysis of registered clinical trials.</t>
  </si>
  <si>
    <t>Song, Kyu Jin; Choi, Seunghyuk; Kim, Kwoneel; Hwang, Hee Sang; Chang, Eunhyong; Park, Ji Soo; Shim, Seok Bo; Choi, Seunghwan; Heo, Yong Jin; An, Woo Ju; Yang, Dae Yeol; Cho, Kyung-Cho; Ji, Wonjun; Choi, Chang-Min; Lee, Jae Cheol; Kim, Hyeong-ryul; Yoo, Jiyoung; Ahn, Hee-Sung; Lee, Gang-Hee; Hwa, Chanwoong; Kim, Seoyeon; Kim, Kyunggon; Kim, Min-Sik; Paek, Eunok; Na, Seungjin; Jang, Se Jin; An, Joon-Yong; Kim, Kwang Pyo</t>
  </si>
  <si>
    <t>Proteogenomic analysis reveals non-small cell lung cancer subtypes predicting chromosome instability, and tumor microenvironment</t>
  </si>
  <si>
    <t>10.1038/s41467-024-54434-4</t>
  </si>
  <si>
    <t>Non-small cell lung cancer (NSCLC) is histologically classified into lung adenocarcinoma (LUAD) and lung squamous cell carcinoma (LSCC). However, some tumors are histologically ambiguous and other pathophysiological features or microenvironmental factors may be more prominent. Here we report integrative multiomics analyses using data for 229 patients from a Korean NSCLC cohort and 462 patients from previous multiomics studies. Histological examination reveals five molecular subtypes, one of which is a NSCLC subtype with PI3K-Akt pathway upregulation, showing a high proportion of metastasis and poor survival outcomes regardless of any specific NSCLC histology. Proliferative subtypes are present in LUAD and LSCC, which show strong associations with whole genome doubling (WGD) events. Comprehensive characterization of the immune microenvironment reveals various immune cell compositions and neoantigen loads across molecular subtypes, which predicting different prognoses. Immunological subtypes exhibit a hot tumor-enriched state and a higher efficacy of adjuvant therapy. Subtyping of non-small cell lung cancer can be challenging based on pathology. Here, the authors utilise multi-omics analysis of 229 patients to identify further subtypes, and altered immune composition between subtypes.</t>
  </si>
  <si>
    <t>Reyes, Amanda; Muddasani, Ramya; Massarelli, Erminia</t>
  </si>
  <si>
    <t>Overcoming Resistance to Checkpoint Inhibitors with Combination Strategies in the Treatment of Non-Small Cell Lung Cancer</t>
  </si>
  <si>
    <t>10.3390/cancers16162919</t>
  </si>
  <si>
    <t>Simple Summary Treatment options for lung cancer have greatly expanded in the last decade. Immune checkpoint inhibitors for patients without driver mutations have become the standard of care in widespread disease and, more recently, localized disease. However, resistance can develop, and new treatments are needed. We discussed current combination treatments with radiation and chemotherapy, as well as newer agents.Abstract Lung cancer continues to contribute to the highest percentage of cancer-related deaths worldwide. Advancements in the treatment of non-small cell lung cancer like immune checkpoint inhibitors have dramatically improved survival and long-term disease response, even in curative and perioperative settings. Unfortunately, resistance develops either as an initial response to treatment or more commonly as a progression after the initial response. Several modalities have been utilized to combat this. This review will focus on the various combination treatments with immune checkpoint inhibitors including the addition of chemotherapy, various immunotherapies, radiation, antibody-drug conjugates, bispecific antibodies, neoantigen vaccines, and tumor-infiltrating lymphocytes. We discuss the status of these agents when used in combination with immune checkpoint inhibitors with an emphasis on lung cancer. The early toxicity signals, tolerability, and feasibility of implementation are also reviewed. We conclude with a discussion of the next steps in treatment.</t>
  </si>
  <si>
    <t xml:space="preserve">its  areview about Overcoming Resistance to Checkpoint Inhibitors with Combination Strategies in the Treatment of Non-Small Cell Lung Cancer
</t>
  </si>
  <si>
    <t>Bezu, Lucillia; Kepp, Oliver; Cerrato, Giulia; Pol, Jonathan; Fucikova, Jitka; Spisek, Radek; Zitvogel, Laurence; Kroemer, Guido; Galluzzi, Lorenzo</t>
  </si>
  <si>
    <t>Trial watch: Peptide-based vaccines in anticancer therapy</t>
  </si>
  <si>
    <t>Oncoimmunology</t>
  </si>
  <si>
    <t>10.1080/2162402X.2018.1511506</t>
  </si>
  <si>
    <t>Peptide-based anticancer vaccination aims at stimulating an immune response against one or multiple tumor-associated antigens (TAAs) following immunization with purified, recombinant or synthetically engineered epitopes. Despite high expectations, the peptide-based vaccines that have been explored in the clinic so far had limited therapeutic activity, largely due to cancer cell-intrinsic alterations that minimize antigenicity and/or changes in the tumor microenvironment that foster immunosuppression. Several strategies have been developed to overcome such limitations, including the use of immunostimulatory adjuvants, the co-treatment with cytotoxic anticancer therapies that enable the coordinated release of damage-associated molecular patterns, and the concomitant blockade of immune checkpoints. Personalized peptide-based vaccines are also being explored for therapeutic activity in the clinic. Here, we review recent preclinical and clinical progress in the use of peptide-based vaccines as anticancer therapeutics.Abbreviations: CMP: carbohydrate-mimetic peptide; CMV: cytomegalovirus; DC: dendritic cell; FDA: Food and Drug Administration; HPV: human papillomavirus; MDS: myelodysplastic syndrome; MHP: melanoma helper vaccine; NSCLC: non-small cell lung carcinoma; ODD: orphan drug designation; PPV: personalized peptide vaccination; SLP: synthetic long peptide; TAA: tumor-associated antigen; TNA: tumor neoantigen</t>
  </si>
  <si>
    <t>its  areview about Peptide-based vaccines in anticancer therapy</t>
  </si>
  <si>
    <t>Suzuki, Nobuaki; Shindo, Yoshitaro; Nakajima, Masao; Tsunedomi, Ryouichi; Nagano, Hiroaki</t>
  </si>
  <si>
    <t>Current status of vaccine immunotherapy for gastrointestinal cancers</t>
  </si>
  <si>
    <t>Surgery Today</t>
  </si>
  <si>
    <t>10.1007/s00595-023-02773-y</t>
  </si>
  <si>
    <t>Recent advances in tumor immunology and molecular drug development have ushered in a new era of cancer immunotherapy. Immunotherapy has shown promising results for several types of tumors, such as advanced melanoma, non-small cell lung cancer, renal cell carcinoma, bladder cancers, and refractory Hodgkin's lymphoma. Similarly, efforts have been made to develop immunotherapies such as adoptive T-cell transplantation, peptide vaccines, and dendritic cell vaccines, specifically for gastrointestinal tumors. However, before the advent of immune checkpoint inhibitors, immunotherapy did not work as well as expected. In this article, we review immunotherapy, focusing on cancer vaccines for gastrointestinal tumors, which generally target eliciting tumor-specific CD8 + cytotoxic T lymphocytes (CTLs). We also review various vaccine therapies and describe the relationship between vaccines and adjuvants. Finally, we discuss prospects for the combination of immunotherapy with immune checkpoint inhibitors.</t>
  </si>
  <si>
    <t>its a review in Current status of vaccine immunotherapy for gastrointestinal cancer</t>
  </si>
  <si>
    <t>Pati, Silpa Suman; Dhal, Shrestha; Pattnaik, Ritesh; Tripathy, Sugato; Kumar, Subrat</t>
  </si>
  <si>
    <t>mRNA Vaccines in Cancer Immunotherapy: Recent Advances, Clinical Translation, and Future Perspectives</t>
  </si>
  <si>
    <t>Current Medical Science</t>
  </si>
  <si>
    <t>10.1007/s11596-025-00112-5</t>
  </si>
  <si>
    <t>Cancer remains a leading global health burden. mRNA cancer vaccines, which are propelled by their rapid development, manufacturing flexibility, and proven efficacy against infectious diseases, have emerged as a transformative approach in cancer immunotherapy. While offering significant advantages over traditional methods, challenges related to mRNA instability and in vivo delivery efficiency persist. However, technological advancements, particularly in nanoparticle formulations such as lipid nanoparticles (LNPs), have substantially mitigated these concerns. This review comprehensively examines the mechanism of action of mRNA vaccines, focusing on their ability to encode tumor-specific antigens (TSAs), particularly neoantigens, and tumor-associated antigens (TAAs) to elicit potent anti-tumor immune responses. We critically analyzed the promising application of mRNA vaccines as monotherapies and, more significantly, in combination with immune checkpoint inhibitors, chemotherapy, adoptive cell therapies (e.g., CAR-T), and radiation to overcome the immunosuppressive tumor microenvironment. The core of this review synthesizes compelling results from key clinical trials across various cancers (e.g., melanoma, non-small cell lung cancer, and prostate cancer), highlighting significant outcomes such as induced neoantigen-specific T-cell responses, improved recurrence-free survival, and objective tumor regression. We also discuss the groundbreaking potential of personalized neoantigen mRNA vaccines. Current challenges, including tumor heterogeneity, optimal delivery strategies, biomarker identification, and enhancing therapeutic efficacy/safety profiles, are thoroughly evaluated alongside potential solutions. Finally, we explore future directions emphasizing next-generation approaches such as advanced nanovaccines and refined personalized platforms. This review aims to provide a timely and critical analysis of the rapidly evolving landscape of mRNA cancer vaccines, underscoring their immense potential to revolutionize cancer treatment paradigms.</t>
  </si>
  <si>
    <t>a review about mRNA Vaccines in Cancer Immunotherapy: Recent Advances, Clinical Translation, and Future Perspective</t>
  </si>
  <si>
    <t>Zhuo, M.; Chen, H.; Liu, Y.; Guo, X.; Wang, Z.; Jia, B.; Wang, J.; Le, N. T.; Fu, J.; Lin, Y.; Huang, F.; Wang, M.; Wu, H.; Guo, Z.</t>
  </si>
  <si>
    <t>A phase I study of a common neoantigen srRNA vaccine (JCXH-212) with or without toripalimab in patients with non- small cell lung cancer(NSCLC)</t>
  </si>
  <si>
    <t>10.1016/j.annonc.2024.10.717</t>
  </si>
  <si>
    <t>Wang, L.; Su, S.; Lv, X.; Liu, Y.; Chen, F.; Shao, J.; Liu, B.</t>
  </si>
  <si>
    <t>EGFR Neoantigen Peptide Vaccine Combined with Tislelizumab and Chemotherapy for Advanced NSCLC Resistant to EGFR-TKI Therapy</t>
  </si>
  <si>
    <t>Ma, Tianxing; Zhao, Zetong; Li, Haochen; Wei, Lei; Zhang, Xuegong</t>
  </si>
  <si>
    <t>NeoHunter: Flexible software for systematically detecting neoantigens from sequencing data</t>
  </si>
  <si>
    <t>Quantitative Biology</t>
  </si>
  <si>
    <t>10.1002/qub2.28</t>
  </si>
  <si>
    <t>Complicated molecular alterations in tumors generate various mutant peptides. Some of these mutant peptides can be presented to the cell surface and then elicit immune responses, and such mutant peptides are called neoantigens. Accurate detection of neoantigens could help to design personalized cancer vaccines. Although some computational frameworks for neoantigen detection have been proposed, most of them can only detect SNV- and indel-derived neoantigens. In addition, current frameworks adopt oversimplified neoantigen prioritization strategies. These factors hinder the comprehensive and effective detection of neoantigens. We developed NeoHunter, flexible software to systematically detect and prioritize neoantigens from sequencing data in different formats. NeoHunter can detect not only SNV- and indel-derived neoantigens but also gene fusion- and aberrant splicing-derived neoantigens. NeoHunter supports both direct and indirect immunogenicity evaluation strategies to prioritize candidate neoantigens. These strategies utilize binding characteristics, existing biological big data, and T-cell receptor specificity to ensure accurate detection and prioritization. We applied NeoHunter to the TESLA dataset, cohorts of melanoma and non-small cell lung cancer patients. NeoHunter achieved high performance across the TESLA cancer patients and detected 79% (27 out of 34) of validated neoantigens in total. SNV- and indel-derived neoantigens accounted for 90% of the top 100 candidate neoantigens while neoantigens from aberrant splicing accounted for 9%. Gene fusion-derived neoantigens were detected in one patient. NeoHunter is a powerful tool to 'catch all' neoantigens and is available for free academic use on Github (XuegongLab/NeoHunter).</t>
  </si>
  <si>
    <t>it validates the NeoHunter platform for detecting neoantigens in NSCLC using the TESLA dataset</t>
  </si>
  <si>
    <t>Bentzen, Amalie Kai; Marquard, Andrea Marion; Lyngaa, Rikke; Saini, Sunil Kumar; Ramskov, Sofie; Donia, Marco; Such, Lina; Furness, Andrew J. S.; McGranahan, Nicholas; Rosenthal, Rachel; Straten, Per Thor; Szallasi, Zoltan; Svane, Inge Marie; Swanton, Charles; Quezada, Sergio A.; Jakobsen, Soren Nyboe; Eklund, Aron Charles; Hadrup, Sine Reker</t>
  </si>
  <si>
    <t>Large-scale detection of antigen-specific T cells using peptide-MHC-I multimers labeled with DNA barcodes</t>
  </si>
  <si>
    <t>10.1038/nbt.3662</t>
  </si>
  <si>
    <t>Identification of the peptides recognized by individual T cells is important for understanding and treating immune-related diseases. Current cytometry-based approaches are limited to the simultaneous screening of 10-100 distinct T-cell specificities in one sample. Here we use peptide-major histocompatibility complex (MHC) multimers labeled with individual DNA barcodes to screen &gt;1,000 peptide specificities in a single sample, and detect low-frequency CD8 T cells specific for virus- or cancer restricted antigens. When analyzing T-cell recognition of shared melanoma antigens before and after adoptive cell therapy in melanoma patients, we observe a greater number of melanoma-specific T-cell populations compared with cytometry-based approaches. Furthermore, we detect neoepitope-specific T cells in tumor-infiltrating lymphocytes and peripheral blood from patients with non-small cell lung cancer. Barcode-labeled pMHC multimers enable the combination of functional T-cell analysis with large-scale epitope recognition profiling for the characterization of T-cell recognition in various diseases, including in small clinical samples.</t>
  </si>
  <si>
    <t xml:space="preserve">A peptide MHC-I multimers labeled with DNA barcodes was used to screen for </t>
  </si>
  <si>
    <t>Kim, Mi Eun; Lee, Jun Sik</t>
  </si>
  <si>
    <t>Dendritic Cell Immunotherapy for Solid Tumors: Advances in Translational Research and Clinical Application</t>
  </si>
  <si>
    <t>Current Issues in Molecular Biology</t>
  </si>
  <si>
    <t>10.3390/cimb47100806</t>
  </si>
  <si>
    <t>Dendritic cells (DCs) are critical antigen-presenting cells that orchestrate the interface between innate and adaptive immunity, making them attractive approaches for cancer immunotherapy. Recent advances in the characterization of DC subsets, antigen delivery strategies, and adjuvant design have enabled the enhancement of DC-based vaccines for solid tumors. Clinical studies across melanoma, glioblastoma, prostate cancer, and non-small cell lung cancer have demonstrated safety and immunogenicity, with encouraging signals of clinical efficacy, particularly when DC vaccination is combined with immune checkpoint blockade or personalized neoantigen approaches. However, translational barriers remain, including the immunosuppressive tumor microenvironment, inefficient DC migration, and variability in manufacturing protocols. Developing solutions such as in vivo DC targeting, biomaterials-based delivery systems, high-resolution single-cell analyses, and artificial intelligence-driven epitope prediction are controlled to overcome these challenges. Together, these innovations highlight the evolving role of DC immunotherapy as a foundation of precision oncology, offering the potential to integrate personalized vaccination strategies into standard treatment paradigms for solid tumors. Therefore, in this review, we specifically focus on these advances in dendritic cell immunotherapy for solid tumors and their translational implications.</t>
  </si>
  <si>
    <t>Literature Review; does not contain original primary data. its about Using Dendritic cells as antigen preseting cells (DC-based vaccine for solid tumors)</t>
  </si>
  <si>
    <t xml:space="preserve">Included </t>
  </si>
  <si>
    <t>Excluded</t>
  </si>
  <si>
    <t>Total</t>
  </si>
  <si>
    <t>Include</t>
  </si>
  <si>
    <t>population_type</t>
  </si>
  <si>
    <t>cancer_type</t>
  </si>
  <si>
    <t xml:space="preserve">Other Cancer types studied </t>
  </si>
  <si>
    <t xml:space="preserve">disease_stage </t>
  </si>
  <si>
    <t>Cancer sub_type</t>
  </si>
  <si>
    <t>no of samples of NSCLC</t>
  </si>
  <si>
    <t>treatment done</t>
  </si>
  <si>
    <t>Treatment given</t>
  </si>
  <si>
    <t>data_source</t>
  </si>
  <si>
    <t>sample_source</t>
  </si>
  <si>
    <t xml:space="preserve">Other sources </t>
  </si>
  <si>
    <t>Preparation for sequencing</t>
  </si>
  <si>
    <t>sequecing_type</t>
  </si>
  <si>
    <t>Other sequencing done</t>
  </si>
  <si>
    <t>sequencing_platform</t>
  </si>
  <si>
    <t>sequencing depth</t>
  </si>
  <si>
    <t>version</t>
  </si>
  <si>
    <t xml:space="preserve">Preprocessing tools </t>
  </si>
  <si>
    <t xml:space="preserve">Alignment  </t>
  </si>
  <si>
    <t>Assembly</t>
  </si>
  <si>
    <t>Version and parameters</t>
  </si>
  <si>
    <t>Trimming</t>
  </si>
  <si>
    <t>Parameters</t>
  </si>
  <si>
    <t>Marking duplicates</t>
  </si>
  <si>
    <t>File manipulation</t>
  </si>
  <si>
    <t>BaseRecalibration</t>
  </si>
  <si>
    <t>variant_caller</t>
  </si>
  <si>
    <t xml:space="preserve">Version </t>
  </si>
  <si>
    <t>parameters</t>
  </si>
  <si>
    <t>variant_annotation</t>
  </si>
  <si>
    <t>Filtration</t>
  </si>
  <si>
    <t>Version  and parameters</t>
  </si>
  <si>
    <t>Versions and parameters</t>
  </si>
  <si>
    <t>mutation</t>
  </si>
  <si>
    <t>mutation_type</t>
  </si>
  <si>
    <t>consequence_of_mutation</t>
  </si>
  <si>
    <t>VAF</t>
  </si>
  <si>
    <t>expression_validation</t>
  </si>
  <si>
    <t>ref Genome</t>
  </si>
  <si>
    <t xml:space="preserve">clonal status </t>
  </si>
  <si>
    <t>neoantigen prediction done</t>
  </si>
  <si>
    <t>Neoantigen prediction tool</t>
  </si>
  <si>
    <t>Neonatigen identified</t>
  </si>
  <si>
    <t>HLA_typing done</t>
  </si>
  <si>
    <t>HLA_typing tools</t>
  </si>
  <si>
    <t>binding_affinity_threshold</t>
  </si>
  <si>
    <t xml:space="preserve">HLA alleles mentioned </t>
  </si>
  <si>
    <t>MHC1</t>
  </si>
  <si>
    <t>epitope_length</t>
  </si>
  <si>
    <t>class_I_epitope_prediction</t>
  </si>
  <si>
    <t>Criteria</t>
  </si>
  <si>
    <t>Binding affinity of neoantigen to HLA1</t>
  </si>
  <si>
    <t>class_II_epitope_prediction</t>
  </si>
  <si>
    <t>Thresholds class II prediction tools</t>
  </si>
  <si>
    <t>class_II_epitope length</t>
  </si>
  <si>
    <t>antibody_prediction</t>
  </si>
  <si>
    <t>Immunogenicity</t>
  </si>
  <si>
    <t>Immunogenicity tool</t>
  </si>
  <si>
    <t xml:space="preserve">cytokine/Immuglobulin prediction if available </t>
  </si>
  <si>
    <t>Antigenicity</t>
  </si>
  <si>
    <t>B-cell epitope</t>
  </si>
  <si>
    <t>Allergencicity</t>
  </si>
  <si>
    <t>Preparatin scRNAseq/bulkRNAseq</t>
  </si>
  <si>
    <t>RNA expressiion</t>
  </si>
  <si>
    <t>Alignement Ref genome</t>
  </si>
  <si>
    <t>Alignment tool</t>
  </si>
  <si>
    <t>Duplicate removal</t>
  </si>
  <si>
    <t xml:space="preserve">realignment and base recalibration  </t>
  </si>
  <si>
    <t>Variant calling</t>
  </si>
  <si>
    <t xml:space="preserve">FPKM  done </t>
  </si>
  <si>
    <t>Parameters chosen for neoantigen</t>
  </si>
  <si>
    <t>counting Tool</t>
  </si>
  <si>
    <t>Clonality estimation</t>
  </si>
  <si>
    <t>Annotation</t>
  </si>
  <si>
    <t>Read count average</t>
  </si>
  <si>
    <t>Stomal and immune count estimate</t>
  </si>
  <si>
    <t>Fractions of immune-associated cell type</t>
  </si>
  <si>
    <t>Recurrent SNV</t>
  </si>
  <si>
    <t>CNV</t>
  </si>
  <si>
    <t>Subgroup analysis</t>
  </si>
  <si>
    <t>Immune pathway cluster</t>
  </si>
  <si>
    <t xml:space="preserve">Statistical analysis software </t>
  </si>
  <si>
    <t>comment</t>
  </si>
  <si>
    <t>Reason to exclude</t>
  </si>
  <si>
    <t>No _Not research</t>
  </si>
  <si>
    <t>Human</t>
  </si>
  <si>
    <t>NSCLC</t>
  </si>
  <si>
    <t>Melanoma participants</t>
  </si>
  <si>
    <t>Unspecified</t>
  </si>
  <si>
    <t>Not specified</t>
  </si>
  <si>
    <t>Primary</t>
  </si>
  <si>
    <t>Mainly primary, secondary data from dbGap was used for survival analysis</t>
  </si>
  <si>
    <t>Tumor-Normal</t>
  </si>
  <si>
    <t>WES + RNAseq</t>
  </si>
  <si>
    <t>Illumina HiSeq</t>
  </si>
  <si>
    <t>Other</t>
  </si>
  <si>
    <t>Not stated</t>
  </si>
  <si>
    <t>SNV, Indel</t>
  </si>
  <si>
    <t>Missense</t>
  </si>
  <si>
    <t>RNAseq</t>
  </si>
  <si>
    <t>Not specified (Done externally by Histogenetics lab; specific software not named in the paper)</t>
  </si>
  <si>
    <t>34 nM</t>
  </si>
  <si>
    <t>8-14 mer</t>
  </si>
  <si>
    <t>Yes (NetMHCpan4.0 and NetMHCStabPan used)</t>
  </si>
  <si>
    <t>Not NSCLC-focused. Multi-cancer immunogenicity benchmarking study with only a small number of NSCLC cases; findings were not generated specifically for NSCLC neoantigen prediction.</t>
  </si>
  <si>
    <t>NA</t>
  </si>
  <si>
    <t xml:space="preserve"> IIIB
IV</t>
  </si>
  <si>
    <t>Adenocarcinoma, Squamous Cell Carcinoma</t>
  </si>
  <si>
    <t xml:space="preserve"> nivolumab plus ipilimumab as part of the CheckMate-012 study</t>
  </si>
  <si>
    <t>WES</t>
  </si>
  <si>
    <t>Library-Agilent Sure-Select Human All Exon v2.0 (44Mb), v4.0 (51Mb), or Illumina’s Rapid Capture Exome (38Mb) baited target kit</t>
  </si>
  <si>
    <t xml:space="preserve">Illumina HiSeq </t>
  </si>
  <si>
    <t>148X tumor 
81X Non-tumor</t>
  </si>
  <si>
    <t xml:space="preserve"> 2000, 2500, or 4000 platform</t>
  </si>
  <si>
    <t>Oxidation contamination-OxoG3 filter
Qc metrics-Picard</t>
  </si>
  <si>
    <t>hg19</t>
  </si>
  <si>
    <t>BWA</t>
  </si>
  <si>
    <t>Mutect</t>
  </si>
  <si>
    <t xml:space="preserve">MuTect v1.1.6 for SNVs; Indelocator for indels </t>
  </si>
  <si>
    <t xml:space="preserve">Default 
exclude-variant allelic fraction &lt; 0.05 </t>
  </si>
  <si>
    <r>
      <rPr>
        <sz val="11.0"/>
      </rPr>
      <t xml:space="preserve">Ensembl Variant Effect Predictor(VEP) 
Varcode (v. 0.5.15, </t>
    </r>
    <r>
      <rPr>
        <color rgb="FF1155CC"/>
        <sz val="11.0"/>
        <u/>
      </rPr>
      <t xml:space="preserve">https://github.com/hammerlab/varcode)
PyEnsembl (v. 1.0.3, https://github.com/hammerlab/pyensembl) 
</t>
    </r>
    <r>
      <rPr>
        <sz val="11.0"/>
      </rPr>
      <t xml:space="preserve"> using Ensembl Release 75</t>
    </r>
  </si>
  <si>
    <t>v. 0.5.15
V1.0.3</t>
  </si>
  <si>
    <t>Not done</t>
  </si>
  <si>
    <t>Topiary (https://github.com/hammerlab/topiary/)</t>
  </si>
  <si>
    <t>OptiType</t>
  </si>
  <si>
    <t>500 nM / 50 nM</t>
  </si>
  <si>
    <t>8-11 mer</t>
  </si>
  <si>
    <t>Yes (NetMHCcons v1.1)</t>
  </si>
  <si>
    <t xml:space="preserve">IC50 of ≤500nM to one (or more) of the patient-specific HLA alleles </t>
  </si>
  <si>
    <t>PRJEB24995</t>
  </si>
  <si>
    <t>No-Focused on mRNA</t>
  </si>
  <si>
    <t>Other/not stated</t>
  </si>
  <si>
    <t>SNV</t>
  </si>
  <si>
    <t>Proteomics/MS</t>
  </si>
  <si>
    <t>25 mer (minigene</t>
  </si>
  <si>
    <t>Yes (NetMHC and NetMHCpan )</t>
  </si>
  <si>
    <t>Focuses on GMP manufacturing of personalized neoantigen mRNA vaccines, not on neoantigen prediction methodology</t>
  </si>
  <si>
    <t>No-Focused on resistance to immunotherapy</t>
  </si>
  <si>
    <t>Mixed</t>
  </si>
  <si>
    <t>IV</t>
  </si>
  <si>
    <t>Both</t>
  </si>
  <si>
    <t>Mutect2</t>
  </si>
  <si>
    <t>other</t>
  </si>
  <si>
    <t>Oncotator v1</t>
  </si>
  <si>
    <t>500 nM</t>
  </si>
  <si>
    <t>9 mer</t>
  </si>
  <si>
    <t>Yes (NetMHC 3.4)</t>
  </si>
  <si>
    <t xml:space="preserve">No </t>
  </si>
  <si>
    <t>Neoantigen prediction is a secondary analysis within a study of immunotherapy resistance; methods are not the primary focus.</t>
  </si>
  <si>
    <t>Human, cell lines, Mouse</t>
  </si>
  <si>
    <t>PBMC/blood</t>
  </si>
  <si>
    <t>TCR sequencing (Amp2Seq, Illumina MiSeq) performed; HLA typing by TruSight HLA v2; no WES or RNA-seq for somatic mutation discovery</t>
  </si>
  <si>
    <t>Illumina MiSeq</t>
  </si>
  <si>
    <t>TruSight HLA v2 + Assign 2.0 TruSight HLA Analysis Software</t>
  </si>
  <si>
    <t>Multiple thresholds: BIMAS &gt;1.000, IEDB rank &lt;10.0, NetMHC &lt;10.0; stability τ1/2 used as secondary filter</t>
  </si>
  <si>
    <t>Yes ( BIMAS, IEDB, and NetMHC)</t>
  </si>
  <si>
    <t>Primarily a T-cell engineering study; neoantigen prediction serves only to identify a target epitope.</t>
  </si>
  <si>
    <t>Melanoma inclusive</t>
  </si>
  <si>
    <t>III, IV</t>
  </si>
  <si>
    <t>Adenocarcinoma</t>
  </si>
  <si>
    <t>66 -Cancer Genome Atlas.
31-Treated other cohorts</t>
  </si>
  <si>
    <t>Secondary</t>
  </si>
  <si>
    <t>strong binders &lt;500 nM</t>
  </si>
  <si>
    <t>Mixed NSCLC/melanoma cohorts; primary aim was survival association of DAI rather than NSCLC-specific prediction methods.</t>
  </si>
  <si>
    <t>Human, Mouse</t>
  </si>
  <si>
    <t>Focus is on subcellular localization of mutated protein, not on specific mutational consequence type</t>
  </si>
  <si>
    <t>N/A</t>
  </si>
  <si>
    <t>IEDB ANN method; IC50 &lt;50 nM used explicitly for immunogenicity scoring analysis only</t>
  </si>
  <si>
    <t>NovaSeq</t>
  </si>
  <si>
    <t xml:space="preserve">SIFT and PolyPhen-2 </t>
  </si>
  <si>
    <t>HLA-HD v1.2.1</t>
  </si>
  <si>
    <t>Eluted ligand rank &lt;2% used explicitly: "A cutoff of 2 in the eluted ligand rank was applied to define whether a peptide is bound to a specific HLA typ</t>
  </si>
  <si>
    <t>9-11 mer</t>
  </si>
  <si>
    <r>
      <rPr>
        <rFont val="&quot;Aptos Narrow&quot;, sans-serif"/>
        <color rgb="FF1155CC"/>
        <sz val="11.0"/>
        <u/>
      </rPr>
      <t>https://doi.org/10.1016/S1470-2045(17)30516-8</t>
    </r>
  </si>
  <si>
    <t>Melanoma + renal cell carcinoma etc</t>
  </si>
  <si>
    <t>Picard
FastQC
SAMtools mpileup</t>
  </si>
  <si>
    <t>GATK (version 2.8.1)
 (version 0.10.1
 version 0.1.19</t>
  </si>
  <si>
    <t xml:space="preserve">bwa mem </t>
  </si>
  <si>
    <t>(bwa-0.7.7)- mapping quality was set to 50, min germline coverage-10,</t>
  </si>
  <si>
    <t>Mutect, Varscan2</t>
  </si>
  <si>
    <t xml:space="preserve"> (version 1.1.4),version 2.3.6</t>
  </si>
  <si>
    <t xml:space="preserve"> Mutect2-SNVs, 
Varscan-minimum variant frequency was changed to 0·01. minimum variant frequency was changed to 0·01. default settings then repeated with min-var-frac=0·02, having first run the data through bam-readcount (version 0.5.1).  only indels kept- somatic_p_value scores less than 5 × 10−4. </t>
  </si>
  <si>
    <t xml:space="preserve">GATK </t>
  </si>
  <si>
    <t>filter parameter PASS for Mutect2</t>
  </si>
  <si>
    <t>PyClone and ASCAT</t>
  </si>
  <si>
    <t xml:space="preserve"> POLYSOLVER</t>
  </si>
  <si>
    <t>IC50 &lt;50 nM for high-affinity binders (mutant); IC50 &gt;50 nM for wild-type non-binders (mutant-specific binders); both thresholds explicitly stated</t>
  </si>
  <si>
    <t>9-10 mer</t>
  </si>
  <si>
    <t>Accordingly a mutant-specific binder was used to refer to a neoantigen with mutant IC50 less than 50 nM and wild-type IC50 more than 50 nM.</t>
  </si>
  <si>
    <t>predominantly melanoma, CRC, lung adenocarcinoma, breast cancer; TESLA: melanoma + NSCLC; HiTIDE: melanoma, lung, kidney, stomach</t>
  </si>
  <si>
    <t>Adenocarcinoma, Other</t>
  </si>
  <si>
    <t>DNeasy Blood &amp; Tissue Kit (Qiagen) -DNA extarction
Total RNA Isolation RNeasy Mini Kit (Qiagen) 
RNAseq libraries were prepared using the Illumina Truseq stranded mRNA reagents
WES libraries were prepared using the Agilent SureSelect XT Human All exome V5 (GTF) or V7 (Microsynth) kits or Twist Human Core Exome kit in combination with the Twist Human Refseq (Genome Center)</t>
  </si>
  <si>
    <t>Illumina HiSeq, Illumina NextSeq</t>
  </si>
  <si>
    <t>Mutect2, Mutect, Varscan2, Other</t>
  </si>
  <si>
    <t>HapotypCaller</t>
  </si>
  <si>
    <t xml:space="preserve">GRCh37 </t>
  </si>
  <si>
    <t>Neopepite rank-MixMHC and PRIME ranks</t>
  </si>
  <si>
    <t xml:space="preserve">HLA-HD v1.4.0 </t>
  </si>
  <si>
    <t>NetMHCpan v4.1 %rank and MixMHCpred v2.1 %rank used; no single fixed IC50 threshold</t>
  </si>
  <si>
    <t>8-12 mer</t>
  </si>
  <si>
    <t>STAR v 2.7.8a</t>
  </si>
  <si>
    <t>GENCODE v38</t>
  </si>
  <si>
    <t>46,017 somatic single-nucleotide variant mutations and 1,781,445 neo-peptides, of which 212 mutations and 178 neo-peptides were immunogenic</t>
  </si>
  <si>
    <t>Pan-cancer dataset; NSCLC is only one component of a broader methodological study.</t>
  </si>
  <si>
    <t>I, II, III, IV</t>
  </si>
  <si>
    <t>NovaSeq, Illumina HiSeq</t>
  </si>
  <si>
    <t>HiSeq 2500 (GTF), NextSeq 500/550 (Microsynth) or HiSeq 4000 (Genome Center) systems.</t>
  </si>
  <si>
    <t>Mutect2, Other</t>
  </si>
  <si>
    <t>GATK4</t>
  </si>
  <si>
    <t>ANNOVAR</t>
  </si>
  <si>
    <t>POLYSOLVER v4, OptiType v1.3.3</t>
  </si>
  <si>
    <t>EL_Rank &lt;2%</t>
  </si>
  <si>
    <t>Lung adenocarcinoma-specific study describing neoantigen prediction from WES/RNA-seq with explicit HLA typing and binding criteria.</t>
  </si>
  <si>
    <t>Pan-cancer: lung, breast, melanoma, gastrointestinal, sarcoma, and others</t>
  </si>
  <si>
    <t>Hg19</t>
  </si>
  <si>
    <t>0.5.7</t>
  </si>
  <si>
    <t>Strelka</t>
  </si>
  <si>
    <t>1.0.6</t>
  </si>
  <si>
    <t>Ensembl Variant Effect Predictor(VEP)</t>
  </si>
  <si>
    <t xml:space="preserve">a minimum tumor RNA variant allele frequencies of 10%. </t>
  </si>
  <si>
    <t>pVAC-Seq of pVACtools software version</t>
  </si>
  <si>
    <t xml:space="preserve"> 1.5.14</t>
  </si>
  <si>
    <t>seq2HLA v2.2</t>
  </si>
  <si>
    <t>IC50 ≤500 nM for NetMHCpan strong binders (intronic/intergenic); pVACtools default for exonic (includes fold-change filter mutant/WT ≥1) min binding affinity1</t>
  </si>
  <si>
    <r>
      <t>NetMHCpan,</t>
    </r>
    <r>
      <rPr>
        <rFont val="&quot;Elsevier Sans&quot;, sans-serif"/>
        <color rgb="FF1155CC"/>
        <sz val="9.0"/>
        <u/>
      </rPr>
      <t>17</t>
    </r>
    <r>
      <rPr>
        <rFont val="&quot;Elsevier Sans&quot;, sans-serif"/>
        <color rgb="FF2E2E2E"/>
        <sz val="12.0"/>
      </rPr>
      <t xml:space="preserve"> MHCflurry,</t>
    </r>
    <r>
      <rPr>
        <rFont val="&quot;Elsevier Sans&quot;, sans-serif"/>
        <color rgb="FF1155CC"/>
        <sz val="9.0"/>
        <u/>
      </rPr>
      <t>18</t>
    </r>
    <r>
      <rPr>
        <rFont val="&quot;Elsevier Sans&quot;, sans-serif"/>
        <color rgb="FF2E2E2E"/>
        <sz val="12.0"/>
      </rPr>
      <t xml:space="preserve"> and MHCnuggets I</t>
    </r>
  </si>
  <si>
    <t>RSEM</t>
  </si>
  <si>
    <t xml:space="preserve"> bam-readcount software version 0.8.0</t>
  </si>
  <si>
    <t>Pan-cancer: 32 TCGA cancer types including LUAD and LUSC</t>
  </si>
  <si>
    <t>TCGA samples</t>
  </si>
  <si>
    <t>Picard
GATK HaplotypeCaller</t>
  </si>
  <si>
    <t xml:space="preserve"> version 1.87 
version 3.4.46</t>
  </si>
  <si>
    <t xml:space="preserve"> re-indexed using samtools (version 1.2).
 dbSNP (version 138), the 1000 Genome Project Phase 1 and the Mills and 1000G gold standard set as compendium of known sites, we used GATK for base quality score re-calibration.</t>
  </si>
  <si>
    <t>We also required that at least three variant callers agree on a variant call and excluded variants which have a higher than 5% minor allele frequency in the 1,000 genomes cohort. Non-recurrent variant calls (variants which appear in only one sample) have also been excluded from further analysis. This filtering ensures a high-quality variant call set which includes intronic variants at exon boundaries.</t>
  </si>
  <si>
    <t>alternative splicing</t>
  </si>
  <si>
    <t xml:space="preserve"> hg19 </t>
  </si>
  <si>
    <t>POLYSOLVER</t>
  </si>
  <si>
    <t>%rank &lt;2%</t>
  </si>
  <si>
    <t xml:space="preserve"> NetMHC-4.0 </t>
  </si>
  <si>
    <t xml:space="preserve"> reference set of 400,000 random natural peptides. Peptides with a predicted binding affinity rank of better than 2% are considered binders</t>
  </si>
  <si>
    <t>yes</t>
  </si>
  <si>
    <t>STAR version 2.4.0i
2.5.3a</t>
  </si>
  <si>
    <t>FastQC analysis tool (version 0.11.6)</t>
  </si>
  <si>
    <t>SplAdder toolkit (Kahles et al., 2016).
Python script  a read towards a gene if at least one base of the read overlapped an exonic position of the gene. We did not count secondary alignments (as indicated in the BAM files with flag 256) and masked regions from the annotation where multiple genes overlapped. We also generated a second set of expression counts (non-alt) that excluded all genomic positions from counting that were annotated with both intron and exon.</t>
  </si>
  <si>
    <t>By considering neojunction-derived, in addition to SNV-derived, peptides as potential antigens, the fraction of samples for which at least one putative neoantigen can be identified and confirmed by mass spectrometry proteomics increases from 30% to 75%.</t>
  </si>
  <si>
    <t>7 tumor types: urothelial, melanoma, head and neck, NSCLC (n=76), RCC, CRC, breast</t>
  </si>
  <si>
    <t>Illumina NextSeq</t>
  </si>
  <si>
    <t>IC50 &lt;500 nM, rank &lt;2.0</t>
  </si>
  <si>
    <t>Pan-cancer checkpoint inhibitor meta-analysis; neoantigen prediction is supportive rather than the main methodological focus.</t>
  </si>
  <si>
    <t>III</t>
  </si>
  <si>
    <t>EL_Rank &lt;0.5% AND IC50 &lt;500 nM</t>
  </si>
  <si>
    <t>Illumina via 10X Genomics Chromium platform for CITE-seq</t>
  </si>
  <si>
    <t xml:space="preserve"> novoalign MPI from novocraft </t>
  </si>
  <si>
    <t>Picard’s MarkDuplicates tool</t>
  </si>
  <si>
    <t xml:space="preserve">Insertion deletion (Indel) realignment and base recalibration was carried out according to the GATK best practices workflow 
Post cleanup of data, samtools mpileup (http://samtools.sourceforge.net) was used to create pileup files </t>
  </si>
  <si>
    <t>Mutect, Varscan2, SomaticSniper, Strelka, Other</t>
  </si>
  <si>
    <t>Combined using GATK CombineVariant</t>
  </si>
  <si>
    <t xml:space="preserve"> a tumor and normal coverage of greater than 10, a variant allele frequency (VAF) of 7% or above, variant read counts of 4 or above, and two of the four callers identifying mutations.  For insertions and deletions (Indels) the same cutoffs were used except only a single caller identifying the mutation was required to pass filters, as these were only called by varscan and strelka. </t>
  </si>
  <si>
    <t xml:space="preserve"> (VAF) of 7% or above</t>
  </si>
  <si>
    <t>25-mer peptides for CD4 (class II); minimal determinant peptides for CD8 (class I); not specified as fixed length</t>
  </si>
  <si>
    <t>STAR 2 pass method</t>
  </si>
  <si>
    <t xml:space="preserve">Duplicates were marked and Sorted using Picard’s MarkDuplicates tool.  </t>
  </si>
  <si>
    <t>Reads were then split and trimmed using GATK SplitNTrim tool.  
which In/Del realignment and base recalibration were performed using GATK toolbox.</t>
  </si>
  <si>
    <t xml:space="preserve"> Varscan2 </t>
  </si>
  <si>
    <t>Cufflinks under default settings</t>
  </si>
  <si>
    <t xml:space="preserve">PyClone allows clustering to simply group clonal and subclonal mutations based on their cancer cell fraction estimates. We ran PyClone with 50,000 iterations and a burn-in of 1000.  </t>
  </si>
  <si>
    <t>Carried out minigene generation "minigene" construct encoding the corresponding amino acid change flanked by 12 amino acids of the wild-type protein sequence was made</t>
  </si>
  <si>
    <t>DNBSEQ-T7R platform (MGI) for WES; platform for RNA-seq not specified</t>
  </si>
  <si>
    <t>not specified</t>
  </si>
  <si>
    <t xml:space="preserve">AllPrep DNA/RNA Mini Kit or AllPrep DNA/RNA/miRNA Universal Kit (Qiagen) </t>
  </si>
  <si>
    <t>GRCh37</t>
  </si>
  <si>
    <t>v0.7.10</t>
  </si>
  <si>
    <t>Varscan2, Mutect, Other
GATK3</t>
  </si>
  <si>
    <t xml:space="preserve"> v2.3.7 
v1.1.7
v3.3-0</t>
  </si>
  <si>
    <t>Omixon Target HLA Typing</t>
  </si>
  <si>
    <t>IC50 &lt;500 nM</t>
  </si>
  <si>
    <t>HLA-A, HLA-B, and HLA-C alleles</t>
  </si>
  <si>
    <t xml:space="preserve">NetMHCpan 2.8 </t>
  </si>
  <si>
    <t>Squamous Cell Carcinoma, Adenocarcinoma</t>
  </si>
  <si>
    <t xml:space="preserve"> exome capture of ∼20 000 coding genes using SureSelect human.</t>
  </si>
  <si>
    <t xml:space="preserve">llumina NovaSeq 6000 </t>
  </si>
  <si>
    <t xml:space="preserve">200× to 300× </t>
  </si>
  <si>
    <t>TrimGalore</t>
  </si>
  <si>
    <t>GATK</t>
  </si>
  <si>
    <t>Mutect, Varscan2
VarScan2, Strelka2,SomaticSniper and Mutect2</t>
  </si>
  <si>
    <t>minimum coverage of 10 reads, minimum 4 variant reads, &gt;7% variant allele frequency and called by two or more callers (single nucleotide variants) or one for insertions and deletions.</t>
  </si>
  <si>
    <t>VEP</t>
  </si>
  <si>
    <t xml:space="preserve">Omixon Target HLA typing </t>
  </si>
  <si>
    <t>IC50 &lt; 500nM</t>
  </si>
  <si>
    <t>8- to 11-mer(and 21-mers for long peptides)</t>
  </si>
  <si>
    <t>NOT DONE</t>
  </si>
  <si>
    <t xml:space="preserve"> Designed mouse model experiments; Secondary: human TCGA/GSE131907 database)</t>
  </si>
  <si>
    <t>Not performed</t>
  </si>
  <si>
    <t>other  (Engineered specific KRAS LUAD line with neoantigen fusions</t>
  </si>
  <si>
    <t>Functional expression of engineered viral antigens HEL-GP33-43</t>
  </si>
  <si>
    <t>YES(NetMHC 4.0 listed in software)</t>
  </si>
  <si>
    <t>Primarily mechanistic immunology; neoantigen prediction is not the focus.</t>
  </si>
  <si>
    <t>(39 cancer types including NSCLC, prostate, ovarian, colorectal, breast, etc.)</t>
  </si>
  <si>
    <t>None</t>
  </si>
  <si>
    <t>Molecular profiling of &gt;9000 patient tumors at Caris Life Sciences)</t>
  </si>
  <si>
    <t>`Tumor</t>
  </si>
  <si>
    <t>(Targeted NGS panel of 592 genes + Whole Transcriptome Sequencing [WTS])</t>
  </si>
  <si>
    <t>Illumina NextSeq, NovaSeq</t>
  </si>
  <si>
    <t>Custom detection pipeline; STAR-Fusion v1.5.0 for fusion detection from WTS)</t>
  </si>
  <si>
    <t>Fusion</t>
  </si>
  <si>
    <t>Gene fusions generating novel peptide sequences / neoantigens)</t>
  </si>
  <si>
    <t>arcasHLA (high resolution HLA typing from RNA-seq)</t>
  </si>
  <si>
    <t>IC50 &lt; 50 nM (high affinity), IC50 50–500 nM (intermediate), IC50 500–5000 nM (low affinity), IC50 &gt; 5000 nM (no affinity)</t>
  </si>
  <si>
    <t>8- to 14-mer peptides</t>
  </si>
  <si>
    <t>Yes (NetMHCpan v4.0 via IEDB)</t>
  </si>
  <si>
    <t>NOTE DONE</t>
  </si>
  <si>
    <t>Pan-cancer study across 39 cancer types; NSCLC is not the primary focus.</t>
  </si>
  <si>
    <t>NSCLC, ovarian cancer, melanoma — mouse models include LLC1 lung cancer)</t>
  </si>
  <si>
    <t>Primary: mouse tumor cell line experiments; Secondary: reanalysis of published NSCLC and ovarian cancer patient vaccine datasets)</t>
  </si>
  <si>
    <t>Tumor cell lines and normal tissue for mouse; tumor biopsies and blood for human reanalysis</t>
  </si>
  <si>
    <t>GATK HaplotypeCaller v3.6 with BWA v0.7.13 alignment; not a standard somatic variant caller, adapted from germline calling with hard filtering)</t>
  </si>
  <si>
    <t>snpEff</t>
  </si>
  <si>
    <t>Non-synonymous somatic mutations used to generate mutant peptides</t>
  </si>
  <si>
    <t>Gene expression used to filter/prioritize neoantigen candidates; STAR aligner + HTSeq)</t>
  </si>
  <si>
    <t>Not explicitly stated for human (used known HLA alleles from previously published datasets)</t>
  </si>
  <si>
    <t>Strong binder (SB): top 2% rank by NetMHCpan; for in vitro: binding above baseline in pMHC refolding assay</t>
  </si>
  <si>
    <t>9-mer and 10-mer peptides</t>
  </si>
  <si>
    <t>Yes (NetMHCpan v3.0 and v4.1 for MHC class I; PRIME 1.0 for immunogenicity prediction)</t>
  </si>
  <si>
    <t>Mixed cancer types; focus is vaccine efficacy rather than NSCLC-specific prediction methodology.</t>
  </si>
  <si>
    <t>NSCLC and Melanoma)</t>
  </si>
  <si>
    <t>Analyzed whole-exome sequence data from four previously published cohorts: Anagnostou_NSCLC, Rizvi_NSCLC, Anagnostou_Melanoma, Snyder_Melanoma)</t>
  </si>
  <si>
    <t>varcode (Used to filter silent and nonsense mutations)</t>
  </si>
  <si>
    <t>OptiType (class I) and SOAP-HLA / x-HLA (class II)</t>
  </si>
  <si>
    <t>Evaluated &lt;0.01, &lt;0.001, and &lt;0.0001; 0.001 threshold was used as an estimate of actual presentation rate</t>
  </si>
  <si>
    <t>8-12mer (Class I) and 12-20mer (Class II)</t>
  </si>
  <si>
    <t>MHCnuggets (predicts neoepitope binding affinity)</t>
  </si>
  <si>
    <t>MHCnuggets (neural network-based model combining MS finding and HLA binding affinity)</t>
  </si>
  <si>
    <t>Mixed melanoma and NSCLC cohorts; primary objective is response prediction, not NSCLC-specific neoantigen prediction methods.</t>
  </si>
  <si>
    <t>I</t>
  </si>
  <si>
    <t>(Primary: TRACERx 100 cohort; Secondary: TCGA and Brastianos brain metastasis cohort)</t>
  </si>
  <si>
    <t>exome sequencing of primary tumors, metastatic sites, and matched normal tissues)</t>
  </si>
  <si>
    <t>WES for mutation calling / copy number analysis; RNAseq for immune expression signatures)</t>
  </si>
  <si>
    <t>Non-synonymous (Focus on mutations giving rise to novel 9-11 mer peptides)</t>
  </si>
  <si>
    <t>(Used from TCGA to evaluate differential expression of immune markers like PD-L1, Granzyme, etc.)</t>
  </si>
  <si>
    <t>POLYSOLVER (used to infer genotypes from normal tissue BAM)</t>
  </si>
  <si>
    <t>IC50 &lt; 500 nM or rank percentage score &lt; 2%</t>
  </si>
  <si>
    <t>Yes (netMHCpan-2.8 and netMHC-4.0)</t>
  </si>
  <si>
    <t>Pan-cancer study spanning 31 cancer types)</t>
  </si>
  <si>
    <t>(Fresh-frozen tumor biopsies and matched peripheral blood for ARTEMIS</t>
  </si>
  <si>
    <t>WES for TMB/mutation calling; RNAseq for CD8 T-cell/neoantigen correlation)</t>
  </si>
  <si>
    <t>snpEff, ANNOVAR</t>
  </si>
  <si>
    <t>Non-synonymous (Calculated into TMB)</t>
  </si>
  <si>
    <t>RNAseq (Used to quantify CD8 T-cells via CIBERSORT and validate neoantigen expression)</t>
  </si>
  <si>
    <t>IC50 &lt; 500 nM AND Expression &gt; 1.6 transcripts per million</t>
  </si>
  <si>
    <t>Yes (NetMHCpan)</t>
  </si>
  <si>
    <t>Pan-cancer biomarker study; neoantigen prediction is ancillary and not NSCLC-specific.</t>
  </si>
  <si>
    <t>Human, cell lines</t>
  </si>
  <si>
    <t>(Primarily early-stage surgically-resectable disease; 2 advanced/metastatic patients with anti-PD1 response)</t>
  </si>
  <si>
    <t>(Primary: Stanford cohort, 15–21 patients; Secondary: MDACC cohort, n=178, Reuben et al. 2020; TRACERx cohort, n=68)</t>
  </si>
  <si>
    <t>Tumor-Normal, PBMC/blood</t>
  </si>
  <si>
    <t>Mutect, Varscan2, Strelka</t>
  </si>
  <si>
    <t xml:space="preserve"> variants called by at least 2 tools)</t>
  </si>
  <si>
    <t>custom bioinformatics pipeline mapped to hg19; filtered against gnomAD)</t>
  </si>
  <si>
    <t>SNV ((WES performed to confirm TMEM161A had no mutations, supporting TAA status))</t>
  </si>
  <si>
    <t>The antigen is a non-mutated tumor-associated antigen; WES confirmed absence of mutations at TMEM161A locus</t>
  </si>
  <si>
    <t>9-mer (8–11 mer yeast display library used; final confirmed antigens were 9-mers: ALGGLLTPL from TMEM161A, CLGGLLTMV from EBV LMP-2A, LLGGLLTMV from E. coli EntS</t>
  </si>
  <si>
    <t>Yes (netMHCpan-4.0/4.1 used to predict HLA-A*02:01 binding for candidate homologous peptides)</t>
  </si>
  <si>
    <t>Metastatic / Advanced (all 3 patients had metastatic NSCLC treated with anti-PD-1 monotherapy; resected oligometastatic lesions)</t>
  </si>
  <si>
    <t>Illumina HiSeq, NovaSeq</t>
  </si>
  <si>
    <t>SNV (WES somatic mutations used as input for neoantigen prediction)</t>
  </si>
  <si>
    <t>Non-synonymous (only expressed mutations used; focus on those yielding altered peptides with improved MHC binding)</t>
  </si>
  <si>
    <t>Rank Diff EL &gt; 0 (prioritized candidates by difference between mutant and wild-type peptide binding rank predicted by NetMHC v4.0); empirically validated by MFI ≥ 1000 in MHC monomer stabilization assay</t>
  </si>
  <si>
    <t>9–10 mers (custom synthesized neopeptides at 9–10 amino acids</t>
  </si>
  <si>
    <t>Yes (NetMHC v4.0 used for MHC Class I binding prediction</t>
  </si>
  <si>
    <t>ctDNA, cfDNA, Tumor-Normal</t>
  </si>
  <si>
    <t>ctDNA/cfDNA + Tumor-Normal (Plasma cfDNA + matched WBC gDNA [germline control]; paired tumor tissue WES in subset)</t>
  </si>
  <si>
    <t>QIAamp Circulating Nucleic Acid Kit (Qiagen, Hilden, Germany) for manual extraction, and genomic DNA (gDNA) from WBCs (which are the PBMCs mentioned in the previous paragraph) was extracted using MagPure FFPE DNA/RNA LQ Kit (Magen Biotech, Guangzhou, China) as per the manufacturer’s instructions. 
 Qubit double-stranded HS assay kits for quantification</t>
  </si>
  <si>
    <t>"WES, Other"</t>
  </si>
  <si>
    <t>WES + ctDNA panel NGS + LPWGS (Tissue WES for neoantigen and immunogenicity analysis; blood: 520-gene panel at 10,000× depth for bTMB/bITH; LPWGS at 2× depth for bCIN)</t>
  </si>
  <si>
    <t>NCBI GRCh37
 hg19</t>
  </si>
  <si>
    <t>Burrows-Wheeler Aligner</t>
  </si>
  <si>
    <t xml:space="preserve"> version 0.7.10</t>
  </si>
  <si>
    <t>Trimmomatic version 0.36.45</t>
  </si>
  <si>
    <t xml:space="preserve">Genome Analysis Tool Kit (GATK) </t>
  </si>
  <si>
    <t xml:space="preserve">Varscan2, Vardict, Genome Analysis Tool Kit (GATK) </t>
  </si>
  <si>
    <t>VarScan (v2.4.3) + VarDict (v1.5.1), supported by GATK (v3.2) for local alignment and duplicate marking (ctDNA panel pipeline)</t>
  </si>
  <si>
    <t>ANNOVAR, snpEff</t>
  </si>
  <si>
    <t>VarScan fpfilter pipeline, and loci with a depth less than 100 were filtered out, Base calling in plasma required at least 8 supporting reads for single-nucleotide variations and 2 supporting reads for insertion and deleion variations (INDELs), respectively. Variants with a population frequency over 0.1% in the ExAC, 1000 Genomes, dbSNP or ESP6500SI-V2 databases were grouped as single-nucleotide polymorphisms and excluded from further analysis</t>
  </si>
  <si>
    <t>SNV, Indel, other</t>
  </si>
  <si>
    <t>Non-synonymous (for neoantigen analysis from tissue WES; TMB counted all somatic SNVs/Indels with AF ≥ 0.2%)</t>
  </si>
  <si>
    <t>PolySolver (v5.26.2) — used to predict HLA genotypes from WES DNA-seq BAM files</t>
  </si>
  <si>
    <t>Strong binders: MT affinity &lt; 500 nM AND MT rank &lt; 0.5; Weak binders: MT affinity &lt; 500 nM AND MT rank &lt; 2.0. Patient harmonic-mean best rank (PHBR) score also used (harmonic mean of lowest rank across 6 HLA alleles)</t>
  </si>
  <si>
    <t>9-mer peptides</t>
  </si>
  <si>
    <t>Yes (NetMHC v4.0 — used to predict affinity of 9-mer peptides to patient HLA alleles from PolySolver)</t>
  </si>
  <si>
    <t>I, IV, II, III</t>
  </si>
  <si>
    <t>Adenocarcinoma, Squamous Cell Carcinoma, Large Cell Carcinoma, Small cell</t>
  </si>
  <si>
    <t>`Tumor, PBMC/blood, pleural/peritoneal fluid</t>
  </si>
  <si>
    <t>scRNA-seq + scTCR-seq + CITE-seq (for specific T cell phenotyping/cloning); bulk TCR-seq. Clinical targeted NGS (MSK-IMPACT) used for TMB and neoantigen burden prediction as covariates.</t>
  </si>
  <si>
    <t>OncoKB (for clinical driver mutations via MSK-IMPACT)</t>
  </si>
  <si>
    <t>NOT REPORTED</t>
  </si>
  <si>
    <t>Yes (Generated via MSK-IMPACT pipeline)</t>
  </si>
  <si>
    <t>Human, Mouse, Insilico</t>
  </si>
  <si>
    <t>AND Melanoma</t>
  </si>
  <si>
    <t>Primary experimental data from mouse models and Secondary data from TCGA and clinical trials)</t>
  </si>
  <si>
    <t>The study employed Whole Exome Sequencing, bulk RNA-seq, and single-cell RNA-seq (scRNA-seq)</t>
  </si>
  <si>
    <t>Strelka, Mutect2</t>
  </si>
  <si>
    <t>SNV, `Frameshift, Indel</t>
  </si>
  <si>
    <t>Missense, Nonsense</t>
  </si>
  <si>
    <t>RNAseq (used to identify ISG signatures) and Flow cytometry (used for protein-level validation of markers like PDL1, MHC-I, and GzmB)</t>
  </si>
  <si>
    <t>&lt; 100 nM (high affinity) and &lt;= 500 nM</t>
  </si>
  <si>
    <t>8 to 11</t>
  </si>
  <si>
    <t>Yes (using NetMHC version 4.0 for H-2-Kb and H-2-Db)</t>
  </si>
  <si>
    <t>I, II, IIIA</t>
  </si>
  <si>
    <t>stage I (n = 62) or II (n = 16) disease.
Additionally, 21 patients IIIA</t>
  </si>
  <si>
    <t>5- neoadjuvant concurrent chemoradiotherapy</t>
  </si>
  <si>
    <t>Primary sequencing of surgical specimens and secondary validation using GEO GSE93157</t>
  </si>
  <si>
    <t>Tumors and matched normal blood samples)</t>
  </si>
  <si>
    <t>Nanodrop-ND1000 spectrophotometer
 Bioanalyzer 2100 with an RNA Integrity Number value greater than 8 
 Illumina Truseq RNA Prep kit v2.
Agilent Bioanalyzer 2100.</t>
  </si>
  <si>
    <t>Illumina HiSeq 2000</t>
  </si>
  <si>
    <t xml:space="preserve"> UCSC-hg19 </t>
  </si>
  <si>
    <t xml:space="preserve"> BWA</t>
  </si>
  <si>
    <t>v. 0.6.2 with default settings</t>
  </si>
  <si>
    <t xml:space="preserve"> Picard-tools-1.8 </t>
  </si>
  <si>
    <t>GATK-2.2.9</t>
  </si>
  <si>
    <t>Missense, Other</t>
  </si>
  <si>
    <t>Missense, Truncating, and Inframe mutations</t>
  </si>
  <si>
    <t xml:space="preserve">The top 2% ranked
neoantigens were finally selected.
</t>
  </si>
  <si>
    <t>seq2HLA from RNA-seq data</t>
  </si>
  <si>
    <t xml:space="preserve"> half maximal inhibitory concentration (IC50) value ≤ 500 nM </t>
  </si>
  <si>
    <t>8 to 11 mer</t>
  </si>
  <si>
    <t>Yes(Using MuPeXI v.1.1.3 for HLA-A, -B, and -C)</t>
  </si>
  <si>
    <t>NO</t>
  </si>
  <si>
    <t>STAR version 2.5.0a in 2-pass mode</t>
  </si>
  <si>
    <t xml:space="preserve"> RSEM</t>
  </si>
  <si>
    <t xml:space="preserve">ESTIMATE. </t>
  </si>
  <si>
    <t xml:space="preserve"> CIBERSORT </t>
  </si>
  <si>
    <t xml:space="preserve"> GISTIC analysis a noise threshold of 0.3, a broad length cutoff of 0.5 chromosome arms, a
confidence level of 95%, and a copy-ratio cap of 1.5</t>
  </si>
  <si>
    <t xml:space="preserve"> EXCAVATOR</t>
  </si>
  <si>
    <t>Gaussian mixture model</t>
  </si>
  <si>
    <t xml:space="preserve"> mclust</t>
  </si>
  <si>
    <t xml:space="preserve"> R v.3.1.2 software</t>
  </si>
  <si>
    <t>expressed genes were defined as a transcript per
million (TPM) value of more than 10 across all samples to reduce the false positive rate. 
The immune CYT score
was measured by taking the geometric mean of GZMA and PRF1 expression values in TPM</t>
  </si>
  <si>
    <t>Stomal and immune counts</t>
  </si>
  <si>
    <t>Primary focus on Pancreatic ductal adenocarcinoma [PDAC]; directly compared with Lung adenocarcinoma [LUAD]</t>
  </si>
  <si>
    <t>LUAD and PAAD</t>
  </si>
  <si>
    <t>Includes early pre-malignant PanIN lesions and established/late-stage/metastatic disease</t>
  </si>
  <si>
    <t>Primary experimental data and secondary analysis of TCGA Lung Adenocarcinoma [LUAD] and Pancreatic Adenocarcinoma [PAAD] datasets</t>
  </si>
  <si>
    <t>Analyzed matched KPC-OG and KPC tissue, human PDAC tumor samples, and TCGA tumor/adjacent datasets</t>
  </si>
  <si>
    <t>RNAseq, qPCR, Flow cytometry</t>
  </si>
  <si>
    <t xml:space="preserve"> 8 (OVA 257-264 [SIINFEKL]) and 17 (OVA 323-339 [ISQ])</t>
  </si>
  <si>
    <t>Yes(Used SIINFEKL peptide for MHC-I [H-2Kb] validation)</t>
  </si>
  <si>
    <t>Yes(Used ISQ peptide for MHC-II [H-2Ab] validation)</t>
  </si>
  <si>
    <t>The study analyzes 25 cancer types, including melanoma and lung cancer</t>
  </si>
  <si>
    <t>utilises primary data from an internal center and secondary data from TCGA and clinical trials</t>
  </si>
  <si>
    <t>WES analysis for the internal cohort utilized matched normal tissue, and TCGA analysis used tumor and normal germline pairs</t>
  </si>
  <si>
    <t>DNBSEQ-T7R platform</t>
  </si>
  <si>
    <t>Mutect2, GATK (Haplotype_caller &amp; Mutect2)</t>
  </si>
  <si>
    <t>Missense, Nonsense, Other</t>
  </si>
  <si>
    <t xml:space="preserve"> Missense, Nonsense, Splice-site, Frame-shift, and In-frame</t>
  </si>
  <si>
    <t>RNAseq, Proteomics/MS</t>
  </si>
  <si>
    <t>&lt; 500 nM</t>
  </si>
  <si>
    <t>Yes( NetMHCpan v3.0 &amp;  netMHC-4.0)</t>
  </si>
  <si>
    <t>Mixed, Human, cell lines</t>
  </si>
  <si>
    <t>The study addresses KRAS mutations across Non-Small Cell Lung Cancer (NSCLC), Colorectal Cancer, and Pancreatic Duct Adenocarcinoma</t>
  </si>
  <si>
    <t>Tumor</t>
  </si>
  <si>
    <t>Targeted Mass Spectrometry</t>
  </si>
  <si>
    <t>Orbitrap Fusion Lumos Tribrid Mass Spectrometer</t>
  </si>
  <si>
    <t xml:space="preserve"> MAPTAC technology and immunoprecipitation</t>
  </si>
  <si>
    <t>Rank ≤ 2% (Predicted using the MS-based HLAthena predictor</t>
  </si>
  <si>
    <t>Yes (HLAthena)</t>
  </si>
  <si>
    <t>Mouse</t>
  </si>
  <si>
    <t>BGI</t>
  </si>
  <si>
    <t>GATK (Haplotype_caller &amp; Mutect2)</t>
  </si>
  <si>
    <t>qPCR</t>
  </si>
  <si>
    <t>Flow cytometry</t>
  </si>
  <si>
    <t>Adenocarcinoma, Large Cell Neuroendocrine Carcinoma (LCNEC), Squamous Cell Carcinoma, Other</t>
  </si>
  <si>
    <t>illumina HiSeq2500</t>
  </si>
  <si>
    <t>Mutect, Mutect2</t>
  </si>
  <si>
    <t>Oncotator</t>
  </si>
  <si>
    <t>09 and 10 mers</t>
  </si>
  <si>
    <t>Yes (NetMHCPan-4.0)</t>
  </si>
  <si>
    <t>I, II, III</t>
  </si>
  <si>
    <t>Fragmented genomic DNA from tumour and normal samples was used for Illumina TruSeq library construction (Illumina) and exonic regions were captured in solution using the Agilent SureSelect v.4 kit (Agilent,</t>
  </si>
  <si>
    <t>scRNA + TCR</t>
  </si>
  <si>
    <t>NovaSeq, Illumina HiSeq Illumina HiSeq 2000/2500</t>
  </si>
  <si>
    <t>VariantDx</t>
  </si>
  <si>
    <t>SNV, Indel, `Frameshift</t>
  </si>
  <si>
    <t>scRNA-seq</t>
  </si>
  <si>
    <t>ImmunoSelect-R pipeline</t>
  </si>
  <si>
    <t>5.1 nM and 17.5 nM</t>
  </si>
  <si>
    <t>Cell Ranger v3.1.0 was used to demultiplex the FASTQ reads</t>
  </si>
  <si>
    <t xml:space="preserve">GRCh38 </t>
  </si>
  <si>
    <t>Low-quality cells were filtered if the number of detected genes was below 250 or above 3× the median absolute deviation away from the median gene number of all cells.</t>
  </si>
  <si>
    <t xml:space="preserve">) </t>
  </si>
  <si>
    <t>"scRNA + TCR, scRNA + BCR"</t>
  </si>
  <si>
    <t>"RNAseq, WES"</t>
  </si>
  <si>
    <t>OPTITYPE</t>
  </si>
  <si>
    <t>Yes (NetMHCPan-4.1b)</t>
  </si>
  <si>
    <t>Human, Mouse, cell lines</t>
  </si>
  <si>
    <t xml:space="preserve">PRJNA758177 and PRJNA603489)-LL/2 and A549 cells 
L/2 (NCBI Bioproject studies PRJNA759882, PRJNA401728, and PRJNA786566) and A549 (NCBI Bioproject study PRJNA1201561) NSCLC cell lines were obtained from the Sequence Read Archive (SRA). </t>
  </si>
  <si>
    <t>na</t>
  </si>
  <si>
    <t>"WES, RNAseq"</t>
  </si>
  <si>
    <t xml:space="preserve">Illumina </t>
  </si>
  <si>
    <t xml:space="preserve">mouse (GRCm38/mm10) and human (GRCh38/hg38) </t>
  </si>
  <si>
    <t>BWA-MEM</t>
  </si>
  <si>
    <t xml:space="preserve"> v0.7.17</t>
  </si>
  <si>
    <t xml:space="preserve">Trimmomatic v0.38 </t>
  </si>
  <si>
    <t>including adapter removal and low-quality base filtering (parameters: SLIDINGWINDOW:4:30, TRAILING:30, LEADING:30, HEADCROP:15, MINLEN:40) (38).</t>
  </si>
  <si>
    <t xml:space="preserve">Sambamba (v0.6.8) </t>
  </si>
  <si>
    <t>Samtools (v1.15)</t>
  </si>
  <si>
    <t>MuTect (1.1.7)</t>
  </si>
  <si>
    <t xml:space="preserve">MuTect2 intrinsic filters, read orientation artifact filters, and strain-specific polymorphism filters were used to further filter the variants. </t>
  </si>
  <si>
    <t>isovar (protein-sequence-length 30) for Cancer Neoantigen Prediction</t>
  </si>
  <si>
    <t xml:space="preserve"> NetMHCPan 4.1 required a binding affinity &lt; 500 nM and a % rank &lt; 0.5; NetMHCcons required an affinity &lt; 500 nM; SYFPEITHI required a score &gt;12; NetCTLpan required a TAP score &gt;0.5 and a C-terminal cleavage score &gt;0.5</t>
  </si>
  <si>
    <t>Yes (NetMHCpan4.1, NetCTLpan, NetMHCcons, SYFPEITHI)</t>
  </si>
  <si>
    <t xml:space="preserve">human MHC I, we applied specific criteria: NetMHCPan 4.1 required a binding affinity &lt; 500 nM and a % rank &lt; 0.5; NetMHCcons required an affinity &lt; 500 nM; SYFPEITHI required a score &gt;12; NetCTLpan required a TAP score &gt;0.5 and a C-terminal cleavage score &gt;0.5. According to the NetMHCpan algorithm (BA) available at http://www.cbs.dtu.dk/services/NetMHCpan/, accessed on February 7, 2019, epitopes with binding affinities &lt;500 nM and % ranks &lt;0.5 were selected (45). As of February 8, 2019, the acceptability criteria for the SYFPEITHI server at http://www.syfpeithi.de/bin/MHCServer.dll/EpitopePrediction.htm were set at scores greater than or equal to &gt;12 for prediction accuracy (46). The accuracy of other techniques was complemented by NetMHCcons, which combines two MHC-peptide binding methods: NetMHCpan and Pickpocket (43). </t>
  </si>
  <si>
    <t>IC50 values &lt;500 nmol/dm³</t>
  </si>
  <si>
    <t xml:space="preserve">Yes (RANKPEP (threshold score of top 2%) (49), IEDB (percentile &gt; 0.10) (50), MHC2PRED (scored &gt; 0.2), and NetMHCIIpan-4.0 (BA, SMM-Align; IC50 &lt;500 nM, Percentile Rank ≤10) (25) and NetMHCII-1.1 (SMM-Align; Adjusted Rank &lt;10) </t>
  </si>
  <si>
    <t>Predictions were combined using union (including all binders predicted by any server) and intersection (selecting only binders predicted by all servers) modes to balance sensitivity and specificity 
common MHC II alleles were used to obtain HTL epitopes  
with an IC50 &lt;500 nM are considered excellent binders</t>
  </si>
  <si>
    <t xml:space="preserve">9-22 </t>
  </si>
  <si>
    <t>VaxiJen v2.0 (Threshold &gt; 0.4)</t>
  </si>
  <si>
    <t xml:space="preserve"> IL4pred -IL4,  
IFNepitope webserver- IFN-gamma use Support Vector Machines (SVM),  
IL-10Pred-IL10
Immunoglobulins-IgPred 
</t>
  </si>
  <si>
    <t>Allertop v2.0</t>
  </si>
  <si>
    <t>ABCPred (Threshold = 0.51)
(window length to use for prediction=16)
BepiPred-2.0
(the threshold of 0.35)
 ElliPro service-Discontinuous epitopes (minimum score of 0.5 and a maximum distance of 6 Ångströms)</t>
  </si>
  <si>
    <t>Allergen (Allertop v2.0)</t>
  </si>
  <si>
    <t>STAR V.2.7.0</t>
  </si>
  <si>
    <t xml:space="preserve">ith soft-clipping enabled by default and a minimum mapping quality threshold of 30. </t>
  </si>
  <si>
    <t>Sambamba (v0.6.8)</t>
  </si>
  <si>
    <t xml:space="preserve">Mutant candidates with FPKM &gt;1 were selected. </t>
  </si>
  <si>
    <t xml:space="preserve"> Results combined by union of called variants.</t>
  </si>
  <si>
    <t>IIIB</t>
  </si>
  <si>
    <t xml:space="preserve">Cisplatin/Pemetrexed chemotherapy - June 2016 (TP01) 
two doses of nivolumab (3 mg/kg)-2 months later
 Sept 2016 (TP02) </t>
  </si>
  <si>
    <t xml:space="preserve">Primary
</t>
  </si>
  <si>
    <t>AllPrep DNA/RNA Extraction Kit (Qiagen), 
DNA was isolated from whole blood using the liquid handling automated station (Tecan)</t>
  </si>
  <si>
    <t xml:space="preserve">Illumina NextSeq 500, 
Illumina HiSeq 2500
</t>
  </si>
  <si>
    <t>50-100X</t>
  </si>
  <si>
    <t>(GRCh37/hg19</t>
  </si>
  <si>
    <t xml:space="preserve">/BurrowsWheeler Aligner software </t>
  </si>
  <si>
    <t>(v0.7.13</t>
  </si>
  <si>
    <t xml:space="preserve"> SpeedSeq Somatic </t>
  </si>
  <si>
    <t xml:space="preserve">SnpEff (v4.1a) </t>
  </si>
  <si>
    <t xml:space="preserve">SQLite database, following criteria: (i) sequencing depth ≥10, (ii) genotype quality score ≥20, (iii) normal genotype is the homozygous reference, (iv) tumor genotype is NOT the homozygous reference, (v) somatic variant occurs in the coding region, (vi) ≥1 observation of the variant in tumor RNA-seq and (vii) zero observations of the variant in normal exome sequence. </t>
  </si>
  <si>
    <t>&lt;2.0%</t>
  </si>
  <si>
    <t xml:space="preserve">IEDB NetMHCpan (BA V.4.0 -NetMHCIIpan-4.0) </t>
  </si>
  <si>
    <t>Class 1: 8-11, class 11: 27</t>
  </si>
  <si>
    <t>Yes 
were used to predict MHC class I (A/B) and Class II (DR/DQ) binding, respectively: 8–11mer epitopes with a predicted</t>
  </si>
  <si>
    <t xml:space="preserve"> IC50 value ≤500 nM</t>
  </si>
  <si>
    <t>Yes  NetMHCIIpan (V.3.1)</t>
  </si>
  <si>
    <t xml:space="preserve"> IC50 value ≤1000 nM</t>
  </si>
  <si>
    <t>STAR  (v2.6)</t>
  </si>
  <si>
    <t>GraphPad Prism V.8 software;</t>
  </si>
  <si>
    <t xml:space="preserve">TCR-seq </t>
  </si>
  <si>
    <t>17 mer</t>
  </si>
  <si>
    <t>Yes (NetMHCpan-4.1)</t>
  </si>
  <si>
    <t>Focused on preclinical evaluation of a neoantigen vaccine in a mouse NSCLC model. Neoantigen prediction was used for vaccine target selection but was not the primary methodological focus.</t>
  </si>
  <si>
    <t>Biomarker study evaluating TNFα pathway alterations and immunotherapy outcomes in NSCLC. Neoantigen prediction was used only as a supporting analysis and not as the primary focus of the study</t>
  </si>
  <si>
    <t>49-treated
110-Untreated
514 lung adenocarcinomas and 504 lung squamous cell carcinomas from The Cancer Genome Atlas database (TCGA)</t>
  </si>
  <si>
    <t xml:space="preserve"> immune checkpoint blockers-
29- PD-1 antibody monotherapy (nivolumab/pembrolizumab)
12 cases with PD-L1 antibody (atezolizumab), seven cases with dual PD-1/CTLA-4 blockade (nivolumab/ipilimumab or durvalumab/tremelimumab) and one case with concurrent nivolumab and erlotinib after progression on erlotinib alone</t>
  </si>
  <si>
    <t>Primary + secondary</t>
  </si>
  <si>
    <t xml:space="preserve"> Illumina HiSeq2500 </t>
  </si>
  <si>
    <t xml:space="preserve">human b37 </t>
  </si>
  <si>
    <t xml:space="preserve"> Burrow-Wheeler Aligner-MEM (BWA-MEM)</t>
  </si>
  <si>
    <t xml:space="preserve"> MuTect2</t>
  </si>
  <si>
    <t>For all somatic mutations called, the mutations that were supported by at least two alternative non-reference alleles present in more than 5% of all sequencing reads or a total of eight independent reads were considered. Identified variants were further filtered based on their presence in repositories of common variations (1000 Genomes, NHLBI exome variant server and 2577 non-cancer exomes sequenced at Yale</t>
  </si>
  <si>
    <t>For matched samples, somomatic CNVs were analyzed using EXCAVATOR</t>
  </si>
  <si>
    <t>ATHLATES in silico</t>
  </si>
  <si>
    <t>NetMHCcons</t>
  </si>
  <si>
    <t xml:space="preserve"> IC50 value ≤500 nM -high binders
 IC50 between 50 ≦ 150 nM nM intermediate binders
 IC50 &gt; 150 ≦ 500 nM  weak binders
</t>
  </si>
  <si>
    <t>PHLAT algorithm</t>
  </si>
  <si>
    <t>NetMHCIIpan-3.0.</t>
  </si>
  <si>
    <t>53-mer  with  mutation in the middle at position 27</t>
  </si>
  <si>
    <t>IEDB Class I Immunogenicity tool</t>
  </si>
  <si>
    <t>Normalized gene expression of tumor was downloaded from TCGA data portal and further analyzed to correct for batch effects MD Anderson GDAC’s MBatch website (http://bioinformatics.mdanderson.org/tcgabatcheffects)</t>
  </si>
  <si>
    <t xml:space="preserve">In vitro HLA-A2 stabilization assay
In vitro expansion of neoantigen specific T-cells and flow cytometry
</t>
  </si>
  <si>
    <t>Prognostic and tumor microenvironment study. Neoantigen prediction was used only to estimate neoantigen burden and was not the primary methodological focus.</t>
  </si>
  <si>
    <t xml:space="preserve">Tumor -Normal /blood </t>
  </si>
  <si>
    <t xml:space="preserve">MQLMPFGSLL  binds (HLA)-A*02:01, </t>
  </si>
  <si>
    <t>Experimental validation of an EGFR mutation-derived neoantigen and its therapeutic potential. The study focuses on neoantigen-targeted immunotherapy rather than neoantigen prediction methodology.</t>
  </si>
  <si>
    <t>Tumor -Norman/blood</t>
  </si>
  <si>
    <t>targeted sequencing with a 1021-gene panel was investigated.</t>
  </si>
  <si>
    <t>AF≥0.05)</t>
  </si>
  <si>
    <t>OptiType v1.0</t>
  </si>
  <si>
    <t>HLA LOH was inferred using the lohhla algorithm</t>
  </si>
  <si>
    <t xml:space="preserve">netMHCpan v4.0. </t>
  </si>
  <si>
    <t xml:space="preserve">with IC50 mut &lt;500 nM and IC50 wild &gt;=500 nM </t>
  </si>
  <si>
    <t>. The Allele Frequency Net Database was utilized to retrieve the allele frequency (AF) of alleles in general Chinese Han populations and carrier frequencies were calculated according to this equation: carrier frequency =  1-(1-AF)2
manually curated somatic mutations (missense or in-frame indel, AF≥0.05) in coding regions were also retrieved from previous records in our database</t>
  </si>
  <si>
    <t>NovaSeq 6000 platform (Illumina)
HiSeq 2500 (Illumina)</t>
  </si>
  <si>
    <t>GRCh38</t>
  </si>
  <si>
    <t>Minimap2 (v2.2.14) -Long read
GRCh38 by BWA-mem (v0.7.17)-short reads</t>
  </si>
  <si>
    <t xml:space="preserve">(1) secondary or supplementary aligned flag; (2) mapping identity, defined as the percentage of matched bases to the sum of matched bases, substitutions, insertions, and deletions, lower than 0.8; (3) unmapped length of reads within splice junctions longer than 10 bp; (4) exon length shorter than 25 bp; (5) overlapping the pseudogene region of GENCODE v27. After these filtering steps, introns shorter than 50 bp were corrected as exons and extracted reads were assigned to a single gene for further analysis. Seqtk </t>
  </si>
  <si>
    <t>Short reads-Trimmomatic (v0.32)</t>
  </si>
  <si>
    <t>GATK (v4.0.10.1)</t>
  </si>
  <si>
    <t xml:space="preserve"> HaplotypeCaller-cell lines
Mutect2 and FilterMutectCalls  for clinical samples</t>
  </si>
  <si>
    <t xml:space="preserve">with default parameters and tumor-normal mode. </t>
  </si>
  <si>
    <t>with Variant Effect Predictor (VEP, v95)</t>
  </si>
  <si>
    <t xml:space="preserve"> allele depth &lt; 5 
 dbSNP (v151) 
unless they were also present at least 5 samples in COSMIC (v90)</t>
  </si>
  <si>
    <t>We compared all junctions in MinION reads with the RefSeq transcripts (downloaded from the UCSC Genome Browser and Blat software (University of California Santa Cruz) in July 2017, allowing for a margin of 20 bp gaps. Then, we removed reads that were identical to RefSeq model transcripts (Type A) or were truncations of RefSeq model transcripts (Type B)</t>
  </si>
  <si>
    <t>anti-PD-L1 antibody atezolizumab</t>
  </si>
  <si>
    <t>Tumors</t>
  </si>
  <si>
    <t>PBMC</t>
  </si>
  <si>
    <t>Agilent SureSelect v5</t>
  </si>
  <si>
    <t>WES+RNAseq</t>
  </si>
  <si>
    <t>HiSeq 2500 (Illumina)</t>
  </si>
  <si>
    <t>Lofreq v2.1.2
 Strelka calls</t>
  </si>
  <si>
    <t xml:space="preserve">Ensembl Variant Effect Predictor </t>
  </si>
  <si>
    <t>RefSeq-based gene models</t>
  </si>
  <si>
    <t>Polysolver</t>
  </si>
  <si>
    <t xml:space="preserve"> IC50 ≤ 500 nM</t>
  </si>
  <si>
    <t>(“HLA-A*02:01”, “HLA-A*01:01”, “HLA-A*03:01”, “HLA-A*11:01”, “HLA-A*24:02”, “HLA-B*07:02”)</t>
  </si>
  <si>
    <t>8-11mer</t>
  </si>
  <si>
    <t>NetMHCcons-1.1</t>
  </si>
  <si>
    <t xml:space="preserve"> IC50 </t>
  </si>
  <si>
    <t xml:space="preserve">tallyVariants  RNAseq alignments were tallied for somatic mutations identified in the exome data using the tallyVariants function from the R package VariantTools </t>
  </si>
  <si>
    <t>Mutations with 2 or more RNA reads concordant with the mutation were retained, while other mutations that did not have any evidence in RNA-seq data were discarded.</t>
  </si>
  <si>
    <t>4 NSCLC</t>
  </si>
  <si>
    <t>carboplatin</t>
  </si>
  <si>
    <t>Tumor, PBMC/blood</t>
  </si>
  <si>
    <t>"WES, RNAseq, Other"</t>
  </si>
  <si>
    <t>Sanger, Illumina HiSeq</t>
  </si>
  <si>
    <t>Strelka, Mutect</t>
  </si>
  <si>
    <t>Yes (NetMHCIIpan 3.0)</t>
  </si>
  <si>
    <t>two-pass STAR alignment,</t>
  </si>
  <si>
    <t xml:space="preserve">We retained variants found by RNA-seq and not observed in the germline exome capture. </t>
  </si>
  <si>
    <t>HaplotypeCaller</t>
  </si>
  <si>
    <t>IV, III, II, I</t>
  </si>
  <si>
    <t>Both, Secondary</t>
  </si>
  <si>
    <t>Indel, SNV</t>
  </si>
  <si>
    <t>peptides with predicted IC50 ≤ 500 nM are defined as high affinity binders, peptides with IC50 &gt; 500-5000 nM are deemed intermediate binders, and affinities &gt;5000 nM as non-binders</t>
  </si>
  <si>
    <t>8 - 11</t>
  </si>
  <si>
    <t>Yes (NETMHCpan 4.0)</t>
  </si>
  <si>
    <t>Large Cell Carcinoma</t>
  </si>
  <si>
    <t>Targeted</t>
  </si>
  <si>
    <t>YuceOne™</t>
  </si>
  <si>
    <t>TrueNeo</t>
  </si>
  <si>
    <t>TEIPENDIPL</t>
  </si>
  <si>
    <t>IEDB immunogenicity tool</t>
  </si>
  <si>
    <t>iii -IV</t>
  </si>
  <si>
    <t>WGS + Nanopore+RNAseq</t>
  </si>
  <si>
    <t>Polyserver</t>
  </si>
  <si>
    <t xml:space="preserve"> netMHCpan4.1</t>
  </si>
  <si>
    <t>Details of neoantigen identification not given</t>
  </si>
  <si>
    <t>Is a software</t>
  </si>
  <si>
    <t>Study ID</t>
  </si>
  <si>
    <t>Author,year of publication</t>
  </si>
  <si>
    <t>DOI / source URL</t>
  </si>
  <si>
    <t>Study type</t>
  </si>
  <si>
    <t>Include?</t>
  </si>
  <si>
    <t>Population</t>
  </si>
  <si>
    <t>Cancer type</t>
  </si>
  <si>
    <t>Disease stage</t>
  </si>
  <si>
    <t>Cancer subtype</t>
  </si>
  <si>
    <t>Data source/database</t>
  </si>
  <si>
    <t>Sample source</t>
  </si>
  <si>
    <t>Sequencing type</t>
  </si>
  <si>
    <t>Library prep</t>
  </si>
  <si>
    <t>Sequencing platform</t>
  </si>
  <si>
    <t>Reference genome</t>
  </si>
  <si>
    <t>DNA alignment tool</t>
  </si>
  <si>
    <t>RNA alignment / transcript tool</t>
  </si>
  <si>
    <t>Variant caller</t>
  </si>
  <si>
    <t>Variant filtering / VAF threshold</t>
  </si>
  <si>
    <t>Variant annotation</t>
  </si>
  <si>
    <t>Mutation type(s)</t>
  </si>
  <si>
    <t>Consequence focus</t>
  </si>
  <si>
    <t>RNA expression validation/quantification</t>
  </si>
  <si>
    <t>HLA typing done</t>
  </si>
  <si>
    <t>HLA typing tool/method</t>
  </si>
  <si>
    <t>Neoantigen prediction done</t>
  </si>
  <si>
    <t>neoantigen prediction workflow/tool</t>
  </si>
  <si>
    <t>Class I prediction tool</t>
  </si>
  <si>
    <t>Class I epitope length</t>
  </si>
  <si>
    <t>Class I binding threshold/criteria</t>
  </si>
  <si>
    <t>Class II prediction done</t>
  </si>
  <si>
    <t>Class II prediction tool</t>
  </si>
  <si>
    <t>Class II length/threshold</t>
  </si>
  <si>
    <t>Neoantigens identified?</t>
  </si>
  <si>
    <t>IImmunogenicity checked</t>
  </si>
  <si>
    <t>experimental validation of immunogenicity</t>
  </si>
  <si>
    <t>Other immune analyses and sub analysis</t>
  </si>
  <si>
    <t>S01</t>
  </si>
  <si>
    <t>Hellmann et al., 2018</t>
  </si>
  <si>
    <r>
      <rPr>
        <rFont val="Cambria"/>
        <color rgb="FF1155CC"/>
        <sz val="11.0"/>
        <u/>
      </rPr>
      <t>https://doi.org/10.1016/j.ccell.2018.03.018</t>
    </r>
  </si>
  <si>
    <t>IIIB, IV</t>
  </si>
  <si>
    <t>Agilent Sure-Select Human All Exon v2.0/v4.0; Illumina Rapid Capture Exome</t>
  </si>
  <si>
    <t>Illumina</t>
  </si>
  <si>
    <t>not_done / not_stated</t>
  </si>
  <si>
    <t>MuTect v1.1.6 ;Indelocator</t>
  </si>
  <si>
    <t>0.05 / Default exclude-variant allelic fraction &lt; 0.05</t>
  </si>
  <si>
    <t>Ensembl Variant Effect Predictor(VEP) ; Varcode v 0.5.15; PyEnsembl vv. 1.0.3</t>
  </si>
  <si>
    <t>NetMHCcons v1.1</t>
  </si>
  <si>
    <t>IC50 ≤500 nM to one or more patient HLA alleles / ≤500 nM / 500 nM / 50 nM</t>
  </si>
  <si>
    <t>TMB associated with efficacy / Multivariable analysis performed</t>
  </si>
  <si>
    <t>S02</t>
  </si>
  <si>
    <t>Turajlic et al., 2017</t>
  </si>
  <si>
    <r>
      <rPr>
        <rFont val="Cambria"/>
        <color rgb="FF1155CC"/>
        <sz val="11.0"/>
        <u/>
      </rPr>
      <t>https://doi.org/10.1016/S1470-2045(17)30516-8</t>
    </r>
  </si>
  <si>
    <t>not_stated</t>
  </si>
  <si>
    <t>Secondary; TCGA + independent validation cohorts</t>
  </si>
  <si>
    <t>Mutect 1.1.4, Varscan2 v 2.3.6,Strelka</t>
  </si>
  <si>
    <t>PASS variants and high-confidence filters / Minimum tumor RNA VAF 10% for pVAC-Seq / minimum germline coverage 10; min variant frequency 0.01–0.02; somatic p-value &lt;5×10−4; Phred score ≥20; mapping quality ≥20</t>
  </si>
  <si>
    <t>bam-readcount v0.5.1; GATK v2.8.1; SAMtools v0.1.19</t>
  </si>
  <si>
    <t>SNV, frameshift indels</t>
  </si>
  <si>
    <t>Frameshift, in-frame indel, non-synonymous SNV</t>
  </si>
  <si>
    <t>RNAseq / TCGA RNAseq expression data used but on renal clear cell carcinoma subset (n=392) only</t>
  </si>
  <si>
    <t>NetMHCpan v2.4</t>
  </si>
  <si>
    <t>Mutant peptide IC50 &lt;50 nM and wild-type peptide &gt;50 / &lt;50 nM / IC50 &lt;50</t>
  </si>
  <si>
    <t>Neoantigen binding affinity enrichment analysis</t>
  </si>
  <si>
    <t>Immune gene signature analysis performed / CD8-positive T-cell signatures analyzed / MHC class I presentation, cytolytic activity, CD8 T-cell activation, interferon response / Melanoma, RCC, NSCLC, breast cancer, MSI tumors analyzed separately</t>
  </si>
  <si>
    <t>S03</t>
  </si>
  <si>
    <t>Lau et al., 2022</t>
  </si>
  <si>
    <r>
      <rPr>
        <rFont val="Cambria"/>
        <color rgb="FF1155CC"/>
        <sz val="11.0"/>
        <u/>
      </rPr>
      <t>https://doi.org/10.1016/j.jmoldx.2022.02.004</t>
    </r>
  </si>
  <si>
    <t>unspecified</t>
  </si>
  <si>
    <t>Secondary; Personalized OncoGenomic Program; EGA study EGAS00001001159; GTEx used for healthy tissue filtering</t>
  </si>
  <si>
    <t>BWA v0.57</t>
  </si>
  <si>
    <t>JAGuaR v2.03, Bowtie v2.3.5 for intronic analysis / Cufflinks v2.2.1 / RSEM</t>
  </si>
  <si>
    <t>Strelka v 1.06</t>
  </si>
  <si>
    <t>GTEx healthy tissue expression filtering; retained introns required ≥3 uniquely mapped reads and TPM ≥1; intergenic transcripts required FPKM ≥5 / a minimum tumor RNA variant allele frequencies of 10%. / Somatic SNVs and small indels called from WGS; exonic/intronic/intergenic TMB calculated by genomic region size</t>
  </si>
  <si>
    <t>SNV, small Indel</t>
  </si>
  <si>
    <t>Missense SNVs, small indels, retained introns, and intergenic transcript-derived neoantigens</t>
  </si>
  <si>
    <t>RNAseq / Tumor RNA-seq used; gene expression quantified by RSEM; FPKM added to somatic variant call</t>
  </si>
  <si>
    <t>pVAC-Seq_pVACtools v 1.5.14</t>
  </si>
  <si>
    <t>NetMHCpan, MHCflurry, MHCnuggets I</t>
  </si>
  <si>
    <t>fold-change mutant/wild-type binding affinity = 1; filter-passing variants only; tumor RNA VAF ≥10%; strong binders ≤500 nmol/L / ≤500 nmol/L / ≤500 nM</t>
  </si>
  <si>
    <t>Lung, breast, gastrointestinal, melanoma, and sarcoma immunotherapy cohorts analyzed; NSCLC/lung subgroup included but not NSCLC-only</t>
  </si>
  <si>
    <r>
      <t>NetMHCpan,</t>
    </r>
    <r>
      <rPr>
        <rFont val="Cambria"/>
        <color rgb="FF1155CC"/>
        <sz val="10.0"/>
        <u/>
      </rPr>
      <t>17</t>
    </r>
    <r>
      <rPr>
        <rFont val="Cambria"/>
        <color rgb="FF2E2E2E"/>
        <sz val="10.0"/>
      </rPr>
      <t xml:space="preserve"> MHCflurry,</t>
    </r>
    <r>
      <rPr>
        <rFont val="Cambria"/>
        <color rgb="FF1155CC"/>
        <sz val="10.0"/>
        <u/>
      </rPr>
      <t>18</t>
    </r>
    <r>
      <rPr>
        <rFont val="Cambria"/>
        <color rgb="FF2E2E2E"/>
        <sz val="10.0"/>
      </rPr>
      <t xml:space="preserve"> and MHCnuggets I</t>
    </r>
  </si>
  <si>
    <t xml:space="preserve">Transcripts assembly done using Cufflinks, the sequences generated using  gffread,  CPAT, Open reading frames with a coding probability score of at least 0.364 were translated into peptide sequences, and binding affinity of epitopes lengths 8 to 11 with patient HLA class 1 alleles were predicted using NetMHCpan software version 4.0, Neoantigen predictions that were annotated as strong binders and with a binding affinity ≤500 nmol/L </t>
  </si>
  <si>
    <t>S04</t>
  </si>
  <si>
    <t>Kahles et al., 2018</t>
  </si>
  <si>
    <r>
      <rPr>
        <rFont val="Cambria"/>
        <color rgb="FF1155CC"/>
        <sz val="11.0"/>
        <u/>
      </rPr>
      <t>https://doi.org/10.1016/j.ccell.2018.07.001</t>
    </r>
  </si>
  <si>
    <t>Secondary; TCGA, GTEx, CPTAC, MC3</t>
  </si>
  <si>
    <t>MC3 tumor variant pipeline</t>
  </si>
  <si>
    <t>STAR / Individual splicing graph reconstruction workflow / SplAdder toolkit; STAR-aligned RNA-seq</t>
  </si>
  <si>
    <t>HaplotypeCaller +MC3 somatic variant calls</t>
  </si>
  <si>
    <t>GTEx normal tissue filtering; RNA-seq-supported neojunction filtering / SNV-derived peptide expression estimated using somatic variant allele fraction / Variants associated with mutational burden (nominal p &lt;0.01) excluded from trans-sQTL analysis; PSI-based splicing quantification.</t>
  </si>
  <si>
    <t>COSMIC cancer census genes; GENCODE v19 annotations</t>
  </si>
  <si>
    <t>SNV, neojunctions, alternative splicing events</t>
  </si>
  <si>
    <t>Tumor-specific neojunction-derived peptides and putative neoepitopes</t>
  </si>
  <si>
    <t>RNAseq and CPTAC mass spectrometry confirmation and / yes TCGA RNA-seq expression profiling and PSI splicing quantification performe</t>
  </si>
  <si>
    <t>NetMHC v4.0</t>
  </si>
  <si>
    <t>NetMHC-4.0</t>
  </si>
  <si>
    <t>CPTAC-confirmed peptide + predicted MHC-I binder + patient-specific HLA type + tumor-specific neojunctionBinding_affinity_of_neoantigen_to_HLA1: Percentile rank &lt;2.0 / Predicted MHC-I binders defined as peptides with NetMHC percentile rank &lt;2.0 using patient-specific HLA-I alleles / Percentile rank &lt;2.0</t>
  </si>
  <si>
    <t>MHC-I binding prediction workflow</t>
  </si>
  <si>
    <t>not_done</t>
  </si>
  <si>
    <t>MHC-I presentation and alternative splicing-derived neoepitopes / LUAD vs LUSC; BRCA subtypes; pan-cancer clustering; cancer-specific splicing patterns</t>
  </si>
  <si>
    <t>S05</t>
  </si>
  <si>
    <t>Hanada et al., 2022</t>
  </si>
  <si>
    <r>
      <rPr>
        <rFont val="Cambria"/>
        <color rgb="FF1155CC"/>
        <sz val="11.0"/>
        <u/>
      </rPr>
      <t>https://doi.org/10.1016/j.ccell.2022.03.012</t>
    </r>
  </si>
  <si>
    <t>Fresh NSCLC tumor digests, TIL, peripheral blood mononuclear cells</t>
  </si>
  <si>
    <t>WES + RNA-seq +scRNA-seq+ CITE-seq+ TCR-seq+ scVDJ-seq</t>
  </si>
  <si>
    <t>10X Genomics Chromium single-cell libraries; SmartSeq2 for TCR cloning</t>
  </si>
  <si>
    <t>10X Genomics Chromium controller</t>
  </si>
  <si>
    <t>novoalign MPI</t>
  </si>
  <si>
    <t>Cell Ranger / not_statted / Partek Flow; Seurat</t>
  </si>
  <si>
    <t>Mutect, Varscan2, SomaticSniper, Strelka</t>
  </si>
  <si>
    <t>Outlier filtering by mitochondrial counts/features / (VAF) of 7% or above / FDR≤0.01 and Fold²≥4 for differential expression</t>
  </si>
  <si>
    <t>Missense and Neoantigen generation</t>
  </si>
  <si>
    <t>RNAseq, IFNγ ELISPOT and IFNγ ELISA / yes</t>
  </si>
  <si>
    <t>OptiType / HLA typing reported in methods</t>
  </si>
  <si>
    <t>Mutation-derived peptide screening pipeline; Varcode/OptiType-based workflow reported</t>
  </si>
  <si>
    <t>Custom predicted epitope peptide screening</t>
  </si>
  <si>
    <t>minimal determinant peptides</t>
  </si>
  <si>
    <t>Recognition by IFNγ secretion/reactivity assays / not_stated / not_stated</t>
  </si>
  <si>
    <t>25 mer / not_stated</t>
  </si>
  <si>
    <t>Yes IFNγ ELISPOT / ELISA</t>
  </si>
  <si>
    <t>TCR frequency analysis using productive TCRβ</t>
  </si>
  <si>
    <t>CD4/CD8/Treg fractions analyzed / Exhausted T-cell phenotype; CXCL13/PDCD1/TIGIT/BATF associated / CD4+ vs CD8+ neoantigen-reactive T cells</t>
  </si>
  <si>
    <t>S06</t>
  </si>
  <si>
    <t>Karasaki et al., 2016</t>
  </si>
  <si>
    <r>
      <rPr>
        <rFont val="Cambria"/>
        <color rgb="FF1155CC"/>
        <sz val="11.0"/>
        <u/>
      </rPr>
      <t>https://doi.org/10.1016/j.jtho.2015.11.006</t>
    </r>
  </si>
  <si>
    <t>Primary; COSMIC v73 used for shared mutation identification</t>
  </si>
  <si>
    <t>Tumor-Normal, blood</t>
  </si>
  <si>
    <t>SureSelect XT Kit + SureSelect Human All Exon V5</t>
  </si>
  <si>
    <t>not_done / not_done / na</t>
  </si>
  <si>
    <t>Varscan2 v2.3.7 , Mutect v1.1.7</t>
  </si>
  <si>
    <t>na / not_stated / not_stated</t>
  </si>
  <si>
    <t>COSMIC</t>
  </si>
  <si>
    <t>Not done / no</t>
  </si>
  <si>
    <t>NetMHCpan 2.8 (IEDB resource)</t>
  </si>
  <si>
    <t>NetMHCpan 2.8</t>
  </si>
  <si>
    <t>IC50 &lt;500 nM / IC50 &lt;500 nM / IC50 &lt;500 nM</t>
  </si>
  <si>
    <t>No NA</t>
  </si>
  <si>
    <t>Adenocarcinoma vs Squamous Cell Carcinoma</t>
  </si>
  <si>
    <t>S07</t>
  </si>
  <si>
    <t>Palomero et al., 2025</t>
  </si>
  <si>
    <r>
      <rPr>
        <rFont val="Cambria"/>
        <color rgb="FF1155CC"/>
        <sz val="11.0"/>
        <u/>
      </rPr>
      <t>https://doi.org/10.1016/j.iotech.2024.101030</t>
    </r>
  </si>
  <si>
    <t>Tumor-Normal, PBMCs, blood</t>
  </si>
  <si>
    <t>WES + RNA-Seq</t>
  </si>
  <si>
    <t>SureSelect Human All Exon V6 Kit (WES); Illumina TruSeq RNA Library Prep Kit (RNA-Seq)</t>
  </si>
  <si>
    <t>llumina</t>
  </si>
  <si>
    <t>STAR / not_stated / featureCounts</t>
  </si>
  <si>
    <t>VarScan2, Strelka2,SomaticSniper and Mutect2</t>
  </si>
  <si>
    <t>GATK4 / &gt;7% threshold / ≥10 reads coverage, ≥4 variant reads, &gt;7% VAF, called by ≥2 callers for SNVs</t>
  </si>
  <si>
    <t>Non-synonymous</t>
  </si>
  <si>
    <t>Not done / yes</t>
  </si>
  <si>
    <t>MHCflurry</t>
  </si>
  <si>
    <t>Binding affinity + tumor expression / IC50 &lt;500 nM / Used for prioritization; exact cutoff not reported</t>
  </si>
  <si>
    <t>IFN-γ ELISPOT, 4-1BB/OX40 activation</t>
  </si>
  <si>
    <t>planned</t>
  </si>
  <si>
    <t>muliple tumor types anlyses</t>
  </si>
  <si>
    <t>S08</t>
  </si>
  <si>
    <t>Xu et al., 2024</t>
  </si>
  <si>
    <r>
      <rPr>
        <rFont val="Cambria"/>
        <color rgb="FF1155CC"/>
        <sz val="11.0"/>
        <u/>
      </rPr>
      <t>https://doi.org/10.1016/j.ccell.2024.08.013</t>
    </r>
  </si>
  <si>
    <t>Deep targeted sequencing + WES + Low-pass WGS</t>
  </si>
  <si>
    <t>OncoCompass Plus Target Cancer Mutation Profiling Liquid Kit</t>
  </si>
  <si>
    <t>llumina, OncoCompass Plus 520-gene panel; LPWGS platform not specified</t>
  </si>
  <si>
    <t>Varscan2 v2.4.3, VarDict v1.5.1, GATKv3.2</t>
  </si>
  <si>
    <t>not_stated / not_stated</t>
  </si>
  <si>
    <t>S09</t>
  </si>
  <si>
    <t>Kim et al., 2020</t>
  </si>
  <si>
    <r>
      <rPr>
        <rFont val="Cambria"/>
        <color rgb="FF1155CC"/>
        <sz val="11.0"/>
        <u/>
      </rPr>
      <t>https://doi.org/10.1016/j.isci.2020.101386</t>
    </r>
  </si>
  <si>
    <t>mRNA sequencing libraries were prepared according to the manufacturer’s instructions using the Illumina Truseq RNA Prep kit v2. The quality of the amplified libraries was verified using an Agilent Bioanalyzer 2100</t>
  </si>
  <si>
    <t>MuPeXI v1.1.3</t>
  </si>
  <si>
    <t>MuPeXI / NetMHCpan-based binding prediction</t>
  </si>
  <si>
    <t>half maximal inhibitory concentration (IC50) value ≤ 500 nM</t>
  </si>
  <si>
    <t>ESTIMATE. / CIBERSORT / mclust / Gaussian mixture model</t>
  </si>
  <si>
    <t>Primary sequencing of surgical specimens and secondary validation using GEO GSE93157
expressed genes were defined as a transcript per
million (TPM) value of more than 10 across all samples to reduce the false positive rate. 
The immune CYT score
was measured by taking the geometric mean of GZMA and PRF1 expression values in TPM</t>
  </si>
  <si>
    <t>S10</t>
  </si>
  <si>
    <t>Caushi et al., 2021</t>
  </si>
  <si>
    <t>Tumor tissue, adjacent normal lung, tumor-draining lymph nodes, peripheral blood</t>
  </si>
  <si>
    <t>scRNA + TCR +WES</t>
  </si>
  <si>
    <t>Illumina TruSeq library construction for WES; 10x Genomics Single Cell 5′ V(D)J and 5′ DGE kits for scRNA-seq/TCR-seq</t>
  </si>
  <si>
    <t>hg38</t>
  </si>
  <si>
    <t>not_stated / not_stated / 10x Genomics single-cell expression pipeline; exact tool NR</t>
  </si>
  <si>
    <t>Low-quality cells were filtered if the number of detected genes was below 250 or above 3× the median absolute deviation away from the median gene number of all cells. / not_stated / not_stated</t>
  </si>
  <si>
    <t>Missense, Nonsense, Nonsynonymous mutations</t>
  </si>
  <si>
    <t>scRNA-seq / yes</t>
  </si>
  <si>
    <t>Putative MHC-I neoantigens from nonsynonymous somatic mutations; functional T-cell reactivity by MANAFEST / IC50 &lt;500 nM, Measured for selected peptides; Kd 5.1 nM and 17.5 nM reported / 5.1 nM and 17.5 nM</t>
  </si>
  <si>
    <t>MANAFEST, TCR cloning, Jurkat NFAT-luciferase assay, peptide-HLA binding assay</t>
  </si>
  <si>
    <t>TCR clonotype tracking</t>
  </si>
  <si>
    <t>Immune/T-cell states characterized by scRNA-seq / CD8 T-cell clusters and TRM subsets / Exhaustion, checkpoint, tissue-resident memory, effector/cytolytic programs / MPR vs non-MPR; MANA-specific vs EBV-specific vs influenza-specific TIL</t>
  </si>
  <si>
    <t>S11</t>
  </si>
  <si>
    <t>Asadollahi et al., 2025</t>
  </si>
  <si>
    <t>Primary +Secondary; SRA, NCBI BioProjects</t>
  </si>
  <si>
    <t>LL/2 (mouse NSCLC), A549 (human NSCLC) cell lines</t>
  </si>
  <si>
    <t>WES +RNAseq</t>
  </si>
  <si>
    <t>mm10+hg38</t>
  </si>
  <si>
    <t>BWA-MEM v0.7.17</t>
  </si>
  <si>
    <t>STAR v2.7.0 / not_stated / Isovar</t>
  </si>
  <si>
    <t>ith soft-clipping enabled by default and a minimum mapping quality threshold of 30. / not_stated / MuTect2 intrinsic filters, read orientation artifact filters, and strain-specific polymorphism filters were used to further filter the variants.</t>
  </si>
  <si>
    <t>synonymous, missense, stop gained, frameshift variant, stop lost, splice region variant, start lost, NMD transcript variant, and stop retained</t>
  </si>
  <si>
    <t>RNAseq / RNAseq</t>
  </si>
  <si>
    <t>not_sated</t>
  </si>
  <si>
    <t>isovar for peptide reconstruction; binding/epitope tools: NetMHCpan 4.1, NetCTLpan, NetMHCcons, SYFPEITHI</t>
  </si>
  <si>
    <t>NetMHCpan 4.1; NetCTLpan; NetMHCcons; SYFPEITHI</t>
  </si>
  <si>
    <t>IC50 &lt;500 nM, TAP &gt;0.5, proteasome score &gt;0.5 / IC50 values &lt;500 nmol/dm³ / NetMHCPan 4.1 required a binding affinity &lt; 500 nM and a % rank &lt; 0.5; NetMHCcons required an affinity &lt; 500 nM; SYFPEITHI required a score &gt;12; NetCTLpan required a TAP score &gt;0.5 and a C-terminal cleavage score &gt;0.5</t>
  </si>
  <si>
    <t>NetMHCIIpan-4.0, NetMHCII-1.1, IEDB, RANKPEP, MHC2Pred, CONSENSUS 2.2</t>
  </si>
  <si>
    <t>9-22 / IC50 &lt;500 nM, percentile ≤10</t>
  </si>
  <si>
    <t>Human (A549) versus mouse (LL/2) datasets</t>
  </si>
  <si>
    <t xml:space="preserve"> Results combined by union of called variants. 
PRJNA758177 and PRJNA603489)-LL/2 and A549 cells 
L/2 (NCBI Bioproject studies PRJNA759882, PRJNA401728, and PRJNA786566) and A549 (NCBI Bioproject study PRJNA1201561) NSCLC cell lines were obtained from the Sequence Read Archive (SRA). </t>
  </si>
  <si>
    <t>S12</t>
  </si>
  <si>
    <t>McCann et al., 2022</t>
  </si>
  <si>
    <t>Primary; GEO GSE179879</t>
  </si>
  <si>
    <t>Primary tumor, metastatic tumor, blood, PBMCs</t>
  </si>
  <si>
    <t>WES +bulk RNA-seq+ TCR-seq</t>
  </si>
  <si>
    <t>SureSelect Clinical Research Exome + KAPA HTP Library Preparation Kit (WES); TruSeq Stranded Total RNA Library Prep Kit (RNA-seq)</t>
  </si>
  <si>
    <t>SpeedSeq/BWA v0.7.13</t>
  </si>
  <si>
    <t>STARv2.6 / not_stated / not_stated</t>
  </si>
  <si>
    <t>SpeedSeq Somatic v0.1.0</t>
  </si>
  <si>
    <t>RNA-supported somatic coding variants; depth &gt;=10; genotype quality &gt;=20; normal homozygous reference; tumor not homozygous reference; coding region; &gt;=1 tumor RNA observation; zero normal exome observations. / not_stated / Somatic variant filtering: depth &gt;=10; genotype quality &gt;=20; normal homozygous reference; tumor not homozygous reference; coding region; &gt;=1 tumor RNA-seq variant observation; zero normal exome variant observations.</t>
  </si>
  <si>
    <t>SnpEff (v4.1a)</t>
  </si>
  <si>
    <t>SNV, Indel, SNP, MNP, complex variants</t>
  </si>
  <si>
    <t>Missense, frameshift deletion, in-frame indels, nonsense, splice-site</t>
  </si>
  <si>
    <t>RNAseq / yes</t>
  </si>
  <si>
    <t>NHSBT Histocompatibility &amp; Immunogenetics laboratory</t>
  </si>
  <si>
    <t>IEDB NetMHCpan BA 4.0; NetMHCIIpan 3.1</t>
  </si>
  <si>
    <t>IEDB NetMHCpan (BA V.4.0 -NetMHCIIpan-4.0)</t>
  </si>
  <si>
    <t>IC50 value ≤500 nM / IC50 values &lt;=500 nM / &lt;2.0%, IC50 &lt;=500 nM</t>
  </si>
  <si>
    <t>NetMHCIIpan V.3.1</t>
  </si>
  <si>
    <t>15 / IC50 value ≤1000 nM</t>
  </si>
  <si>
    <t>Cultured IFN-gamma ELISpot, IL-5 ELISpot, ex vivo IFN-gamma ELISpot, MHCII blocking/CD8 depletion, TCR sequencing</t>
  </si>
  <si>
    <t>TCR repertoire/clonotype analysis with MIGEC v1.2.9, tcR and immunarch in R; mutation clonality not estimated</t>
  </si>
  <si>
    <t>Primary tumor TP01 vs metastasis TP02; comparison/contextualization with HNSCC and lung tumor RNA-seq cohorts; HHD mouse vs autologous setting</t>
  </si>
  <si>
    <t>S13</t>
  </si>
  <si>
    <t>Gettinger et al., 2018</t>
  </si>
  <si>
    <t>Squamous Cell Carcinoma,Adenocarcinomas</t>
  </si>
  <si>
    <t>Pretreatment FFPE tumor specimens</t>
  </si>
  <si>
    <t>captured Genomic DNA on Nimblegen 2.1M human exome array</t>
  </si>
  <si>
    <t>not_stated / not_stated / not_stated</t>
  </si>
  <si>
    <t>MuTect2</t>
  </si>
  <si>
    <t>na / &gt;5% used for filtering; not individually reported / Bayesian classifier; matched tumor-normal and unmatched tumor analysis</t>
  </si>
  <si>
    <t>SNVs and indels</t>
  </si>
  <si>
    <t>Candidate neoantigen generation</t>
  </si>
  <si>
    <t>Functional validation by HLA stabilization assay and T-cell assays / Yes</t>
  </si>
  <si>
    <t>NetMHCcons, NetMHCIIpan-3.0</t>
  </si>
  <si>
    <t>9mer</t>
  </si>
  <si>
    <t>IC50 value ≤500 nM -high binders IC50 between 50 ≦ 150 nM nM intermediate binders IC50 &gt; 150 ≦ 500 nM weak bindersMutant nonamers binding patient-specific HLA and predicted TCR recognition / High ≤50 nM; Intermediate 50–150 nM; Weak &gt;150–500 nM / IC50 ≤500 nM</t>
  </si>
  <si>
    <t>NetMHCIIpan-3.0</t>
  </si>
  <si>
    <t>53-mer with mutation in the middle at position 27 / NetMHCIIpan-3.0.</t>
  </si>
  <si>
    <t>Class I Immunogenicity predictor and functional T-cell assays</t>
  </si>
  <si>
    <t>LOH and purity estimated; neoantigen clonality not assessed</t>
  </si>
  <si>
    <t>CD3+ TILs, Granzyme B+ T cells, Ki-67+ proliferating T cells / Dormant TIL phenotype (High CD3, Low GZB, Low Ki-67) / Durable clinical benefit vs no benefit; EGFR vs KRAS vs WT; TIL phenotypes</t>
  </si>
  <si>
    <t>S14</t>
  </si>
  <si>
    <t>Lin et al., 2022</t>
  </si>
  <si>
    <t>Primary + secondary; TCGA-LUAD</t>
  </si>
  <si>
    <t>Tumor tissue with matched peripheral blood/normal samples</t>
  </si>
  <si>
    <t>Targeted sequencing</t>
  </si>
  <si>
    <t>1021-gene panel</t>
  </si>
  <si>
    <t>AF≥0.05) / not_stated</t>
  </si>
  <si>
    <t>SNVs, indels</t>
  </si>
  <si>
    <t>NetMHCpan v4.0</t>
  </si>
  <si>
    <t>netMHCpan v4.0.</t>
  </si>
  <si>
    <t>8–11 mer peptides</t>
  </si>
  <si>
    <t>IC50 mutant &lt;500 nM and IC50 WT ≥500 nM / with IC50 mut &lt;500 nM and IC50 wild &gt;=500 nM / IC50 mutant &lt;500 nM and IC50 WT ≥500 nM</t>
  </si>
  <si>
    <t>22 immune cell types estimated / Immune infiltration analysis using CIBERSORT; EGFR L858R associated with low CD8 T cells and high M2 macrophage / EGFR L858R vs EGFR 19del vs EGFR other vs EGFR WT</t>
  </si>
  <si>
    <t>S15</t>
  </si>
  <si>
    <t>Oka et al., 2021</t>
  </si>
  <si>
    <t>Human,cell lines</t>
  </si>
  <si>
    <t>Primary + secondary; TCGA-LUAD, TCGA-LUSC, TCGA-COAD, TCGA-PAAD, GTEx</t>
  </si>
  <si>
    <t>NSCLC cell lines and fresh-frozen surgical tumor specimens</t>
  </si>
  <si>
    <t>WGS+Long-read full-length transcriptome sequencing + short-read RNA-seq + WES + WGS</t>
  </si>
  <si>
    <t>MinION (Oxford Nanopore Technologies) SureSelect Human All Exon V5 (Agilent Technologies)</t>
  </si>
  <si>
    <t>Oxford Nanopore MinION; Illumina</t>
  </si>
  <si>
    <t>Minimap2 + BWA</t>
  </si>
  <si>
    <t>STAR / Custom full-length isoform reconstruction pipeline / RSEM v1.3.1</t>
  </si>
  <si>
    <t>HaplotypeCaller-cell linesMutect2 and FilterMutectCalls for clinical samples</t>
  </si>
  <si>
    <t>Trimmomatic quality/adaptor filtering; rRNA removal with Bowtie2; TPM ≥10 and isoform read count &gt;10% retained / not_stated / with default parameters and tumor-normal mode.</t>
  </si>
  <si>
    <t>Missense, frameshift, nonsense, splice-site, fusion-derived, and aberrant splicing isoforms</t>
  </si>
  <si>
    <t>Generation of tumor-specific aberrant transcripts and altered protein sequences, including frameshifted peptides, premature termination codons (PTCs), novel exon junction peptides, and fusion-derived peptides that serve as candidate neoantigens</t>
  </si>
  <si>
    <t>LC-MS/MS proteomics validated translation of aberrant isoforms / yes</t>
  </si>
  <si>
    <t>Sequence-based HLA typing using WGS data</t>
  </si>
  <si>
    <t>NetMHC</t>
  </si>
  <si>
    <t>NetMHCpan 4.0</t>
  </si>
  <si>
    <t>Predicted HLA-binding 9-mer peptides derived from aberrant isoforms, frameshift mutations, and somatic mutations / NetMHC score used; strongest binders prioritized / IC50 ≤500 nM</t>
  </si>
  <si>
    <t>Yes IFN-γ ELISpot assay in HLA-A24 transgenic mice</t>
  </si>
  <si>
    <t>No specific immune cluster identified / Cell lines vs clinical samples; NMD-deficient vs non-deficient tumors; TCGA-LUAD/LUSC/COAD/PAAD analyses</t>
  </si>
  <si>
    <t>S16</t>
  </si>
  <si>
    <t>Fehlings et al., 2019</t>
  </si>
  <si>
    <t>PBMCs, tumor tissue, matched normal blood</t>
  </si>
  <si>
    <t>Agilent SureSelect v5 (51 MB) kit</t>
  </si>
  <si>
    <t>RefSeq gene models</t>
  </si>
  <si>
    <t>not_stated / not_stated / VariantTools tallyVariants function</t>
  </si>
  <si>
    <t>Lofreq v2.1.2 Strelka calls</t>
  </si>
  <si>
    <t>Mutations retained only if supported by ≥2 RNA reads / not_stated / Expressed somatic mutations retained if ≥2 RNA-seq reads supported the mutation</t>
  </si>
  <si>
    <t>Ensembl Variant Effect Predictor</t>
  </si>
  <si>
    <t>SNVs</t>
  </si>
  <si>
    <t>Candidate MHC-I neoepitope generation</t>
  </si>
  <si>
    <t>RNA-seq support required ≥2 mutation-concordant reads / yes</t>
  </si>
  <si>
    <t>Expressed somatic mutation + predicted MHC-I binding IC50 &lt;500 nM / IC50 &lt;500 nM / IC50 ≤ 500 nM</t>
  </si>
  <si>
    <t>Multiplex peptide-MHC tetramer staining with mass cytometry/CyTOF</t>
  </si>
  <si>
    <t>CD8+ T-cell phenotypes profiled by CyTOF; bulk CD8+ subsets assessed / Late-differentiated effector neoantigen-specific CD8+ T-cell phenotype / Responders vs non-responders to atezolizumab</t>
  </si>
  <si>
    <t>S17</t>
  </si>
  <si>
    <t>Veatch et al., 2019</t>
  </si>
  <si>
    <t>Primary; TCGA-LUAD used for expression ranking</t>
  </si>
  <si>
    <t>Tumor tissue, non-adjacent lung, PBMCs, leukapheresis, PDX sample</t>
  </si>
  <si>
    <t>WES+RNAseq+Sanger</t>
  </si>
  <si>
    <t>Agilent SureSelectXT; Agilent All Human Exon v6</t>
  </si>
  <si>
    <t>Sanger + Illumina</t>
  </si>
  <si>
    <t>mm9+hg19</t>
  </si>
  <si>
    <t>STAR / not_stated / RSEM 1.2.19; TPM reported</t>
  </si>
  <si>
    <t>MuTect 1.1.7; Strelka 1.0.14; HaplotypeCaller for PDX RNA-seq workflow</t>
  </si>
  <si>
    <t>We retained variants found by RNA-seq and not observed in the germline exome capture. / Used for selection; thresholds included &gt;20%, 10–40%, or expression-based filtering depending on patient / SNVs ranked by VAF and expression; VAF &gt;20% for some patients; 10–40% for patient 1490; TPM &gt;3 for patient 1238</t>
  </si>
  <si>
    <t>Generation of mutation-derived neoantigens recognized by CD4+ T cells</t>
  </si>
  <si>
    <t>mutations ranked by TCGA expression or direct RNA-seq expression / yes</t>
  </si>
  <si>
    <t>No formal binding-based prediction for selection; mutations were selected agnostic of HLA prediction</t>
  </si>
  <si>
    <t>no</t>
  </si>
  <si>
    <t>20-mer peptide pools for screening; 27-mer peptides for validation</t>
  </si>
  <si>
    <t>Protein-coding mutations ranked by VAF and expression; peptides screened by IFNγ ELISpot / Not specified</t>
  </si>
  <si>
    <t>ELISPOT, IFN-γ release assays, neoantigen-specific CTL expansion and functional testing</t>
  </si>
  <si>
    <t>PD-1 blockade activation, dendritic-cell loading, CTL expansion, ORR, DCR, PFS, OS analyses</t>
  </si>
  <si>
    <t>S18</t>
  </si>
  <si>
    <t>Yamada et al., 2013</t>
  </si>
  <si>
    <t>Advanced</t>
  </si>
  <si>
    <t>PBMCs, plasma cell-free DNA, NSCLC cell lines</t>
  </si>
  <si>
    <t>EGFR T790M missense mutation</t>
  </si>
  <si>
    <t>Neoantigen epitope generation from acquired resistance mutation</t>
  </si>
  <si>
    <t>HLA-A2 positivity determined by flow cytometry using anti-HLA-A2 monoclonal antibody (BB7.2)</t>
  </si>
  <si>
    <t>In silico prediction of HLA-binding peptides from EGFR T790M mutation</t>
  </si>
  <si>
    <t>NetMHC 3.2 and BIMAS</t>
  </si>
  <si>
    <t>9–11 amino acids (10–11mers selected for validation)</t>
  </si>
  <si>
    <t>Top-ranking predicted HLA-A*0201 binders selected; binding confirmed using HLA stabilization assay</t>
  </si>
  <si>
    <t>IFN-γ ELISPOT, HLA stabilization assay, CTL generation, 51Cr cytotoxicity assay, tumor-cell recognition assays</t>
  </si>
  <si>
    <t>Cross-reactivity analysis with wild-type peptides; correlation between T790M-specific immune responses and presence of T790M mutation; MHC class I restriction analysis; evaluation in healthy donors and NSCLC patients</t>
  </si>
  <si>
    <t>S19</t>
  </si>
  <si>
    <t>Qiao et al. 2025</t>
  </si>
  <si>
    <t>Cancer Immunology, Immunotherapy</t>
  </si>
  <si>
    <t>Advanced relapsed NSCLC</t>
  </si>
  <si>
    <t>Tumor tissue, matched PBMC</t>
  </si>
  <si>
    <t>Variants filtered at &gt;5% frequency and &gt;20 supporting reads</t>
  </si>
  <si>
    <t>Non-synonymous mutation-derived neoantigens</t>
  </si>
  <si>
    <t>RNA seq/yes</t>
  </si>
  <si>
    <t>Mutation calling → ANNOVAR annotation → NeoORF translation → peptide generation → HLA binding and stability prediction</t>
  </si>
  <si>
    <t>NetMHC 4.0, NetMHCpan 3.0, NetMHCstab, NetMHCpan 2.0</t>
  </si>
  <si>
    <t>8–11 amino acids</t>
  </si>
  <si>
    <t>Stability &gt;2 h considered positive; affinity &lt;150 nM (strong), 150–500 nM (moderate), &gt;500 nM (weak)</t>
  </si>
  <si>
    <t>NetMHCIIpan mentioned retrospectively</t>
  </si>
  <si>
    <t>20-mer and 27-mer peptides / not_stated</t>
  </si>
  <si>
    <t>IFNγ ELISpot, HLA blocking assays, T-cell cloning, TCR transfer</t>
  </si>
  <si>
    <t>TCRβ deep sequencing used to track neoantigen-specific clonotypes</t>
  </si>
  <si>
    <t>CD4+ MHC-II restricted neoantigen-specific T-cell responses / Patient-specific neoantigens vs recurrent driver neoantigens; blood vs tumor/non-adjacent lung TCR detection</t>
  </si>
  <si>
    <t>S20</t>
  </si>
  <si>
    <t>Li et al., 2021</t>
  </si>
  <si>
    <t>Journal for ImmunoTherapy of Cancer</t>
  </si>
  <si>
    <r>
      <rPr>
        <rFont val="Cambria"/>
        <color rgb="FF1155CC"/>
        <sz val="11.0"/>
        <u/>
      </rPr>
      <t>https://doi.org/10.1136/jitc-2021-002531</t>
    </r>
  </si>
  <si>
    <t>Phase I clinical trial</t>
  </si>
  <si>
    <t>IIIA/B, IV</t>
  </si>
  <si>
    <t>Adenocarcinoma, Squamous cell carcinoma</t>
  </si>
  <si>
    <t>Tumor + PBMC</t>
  </si>
  <si>
    <t>Targeted DNA sequencing (508 cancer-associated genes)</t>
  </si>
  <si>
    <t>TIANamp Genomic DNA Kit (Tiangen, China)</t>
  </si>
  <si>
    <t>Hiseq X-10 (Illumina, USA)</t>
  </si>
  <si>
    <t>NR</t>
  </si>
  <si>
    <t>Varscan2</t>
  </si>
  <si>
    <t>Annovar</t>
  </si>
  <si>
    <t>SNV,Indel</t>
  </si>
  <si>
    <t>Nonsynonymous / Missense driver mutations</t>
  </si>
  <si>
    <t>High-resolution HLA typing</t>
  </si>
  <si>
    <t>Targeted sequencing → Variant calling (VarScan2) → ANNOVAR annotation → High-resolution HLA typing → NetMHC/NetMHCpan prediction → Manual peptide prioritization for vaccine design</t>
  </si>
  <si>
    <t>NetMHC4.0, NetMHCpan3.0, NetMHCpan4.0,</t>
  </si>
  <si>
    <t>Highest predicted HLA-I binding affinity</t>
  </si>
  <si>
    <t>NetMHCII2.2 and NetMHCII2.3</t>
  </si>
  <si>
    <t>15-20 mer</t>
  </si>
  <si>
    <t>IFN-γ ELISA, ELISPOT, HLA tetramer staining, PBMC assays, TCR sequencing, tumor recognition assays</t>
  </si>
  <si>
    <t>TCR repertoire sequencing, PBMC immune monitoring, tumor-infiltrating lymphocyte analysis, cytokine/chemokine profiling (Luminex), RNA-seq of EGFR inhibitor-treated cell lines, HLA-I expression analysis, migration assays, antigen presentation studies, clinical response correlation</t>
  </si>
  <si>
    <t>HLA-HD (version 1.1.1) on DNA; seq2HLA (version 2.3) on RNA</t>
  </si>
  <si>
    <t>0.5% rank (NetMHCpan rank-based threshold)</t>
  </si>
  <si>
    <t>Yes (NetMHCpan v4.0 + HLAthena explicitly used for MHC class I binding prediction)</t>
  </si>
  <si>
    <t>S21</t>
  </si>
  <si>
    <t>Qiao et al., 2025</t>
  </si>
  <si>
    <r>
      <rPr>
        <rFont val="Cambria"/>
        <color rgb="FF1155CC"/>
        <sz val="11.0"/>
        <u/>
      </rPr>
      <t>https://doi.org/10.1007/s00262-024-03906-z</t>
    </r>
  </si>
  <si>
    <t>Phase I/IIa prospective single-center single-arm clinical trial</t>
  </si>
  <si>
    <t>Stage IV / recurrent metastatic</t>
  </si>
  <si>
    <t>FFPE tumor tissue + matched PBMC (normal blood)</t>
  </si>
  <si>
    <t>Variant frequency &gt;5%; &gt;20 supporting reads</t>
  </si>
  <si>
    <t>Nonsynonymous coding mutations (NeoORFs)</t>
  </si>
  <si>
    <t>PolySolver (4-digit HLA-A/B/C)</t>
  </si>
  <si>
    <t>WES → BWA → MuTect2 → ANNOVAR → NeoORF translation → 31-aa mutant peptides → NetMHC4.0/NetMHCpan3.0 + NetMHCstab/NetMHCpan2.0 → ranking by stability, affinity &amp; mutation frequency → top 1–15 neopeptides selected</t>
  </si>
  <si>
    <t>NetMHC4.0; NetMHCpan3.0; NetMHCstab; NetMHCpan2.0</t>
  </si>
  <si>
    <t>8–11 mer</t>
  </si>
  <si>
    <t>Stability &gt;2 h; &lt;150 nM (Level 3), 150–500 nM (Level 2), &gt;500 nM (Level 1); &gt;2 positive epitopes = Level 4; ranked by mutation frequency</t>
  </si>
  <si>
    <t>IFN-γ ELISPOT, flow cytometry, mature DC characterization, peptide-specific immune response assays</t>
  </si>
  <si>
    <t>Flow cytometry (CD3/CD4/CD8/Tregs, CD80, CD83, CD86, HLA-DR, IFN-γ, Granzyme B), ELISPOT monitoring, responder vs non-responder analysis, Kaplan–Meier PFS/OS, RECIST evaluation, Treg dynamics</t>
  </si>
  <si>
    <t>(Sanger sequencing; PCR + dye-terminator capillary sequencing</t>
  </si>
  <si>
    <t>NetMHCpan-3.0 percent rank (20%) + MS-trained neural network (80%)</t>
  </si>
  <si>
    <t>Yes (NetMHCpan-3.0)</t>
  </si>
  <si>
    <t>S22</t>
  </si>
  <si>
    <t>Ott et al., 2020</t>
  </si>
  <si>
    <t>10.1016/j.cell.2020.08.053</t>
  </si>
  <si>
    <t>Phase Ib multicenter open-label clinical trial</t>
  </si>
  <si>
    <t>Human (82 patients; 27 NSCLC, 18 vaccinated NSCLC)</t>
  </si>
  <si>
    <t>Unresectable/Metastatic</t>
  </si>
  <si>
    <t>Adenocarcinoma; Squamous cell carcinoma</t>
  </si>
  <si>
    <t>Primary prospective clinical trial (NT-001; NCT02897765)</t>
  </si>
  <si>
    <t>FFPE tumor biopsies, matched normal blood, PBMCs, plasma, serum</t>
  </si>
  <si>
    <t>WES + RNA-seq + TCR-seq</t>
  </si>
  <si>
    <t>ACE™ Cancer Research Exome; ACE™ Cancer Research Transcriptome (Personalis)</t>
  </si>
  <si>
    <t>Gencode v19 (hg19 used for APOE analysis)</t>
  </si>
  <si>
    <t>BWA-MEM v0.7.13</t>
  </si>
  <si>
    <t>STAR v2.5.1.b; STAR-Fusion v2.5.1.b; RSEM v1.2.31</t>
  </si>
  <si>
    <t>VarDict v1.4.6; Strelka v1.0.15; VarScan2 v2.3.9; MuTect2 (GATK3.5); Atlas Indel2 v1.4.3; Seurat v2.6; Platypus v0.8.1</t>
  </si>
  <si>
    <t>Tumor cellularity ≥30%; ensemble filtering using tumor read support, normal reads, orientation bias, coverage, neighbouring variants and read-quality bias; vaccine candidates required ≥50 nonsynonymous mutations/fusions; NetMHCpan rank &lt;2%; expression &gt;10 TPM (expressed mutations) or &gt;5 TPM (frameshifts)</t>
  </si>
  <si>
    <t>SNV, Indel, Frameshift, Gene fusion</t>
  </si>
  <si>
    <t>Non-synonymous expressed coding mutations</t>
  </si>
  <si>
    <t>Yes (RNA-seq quantified by RSEM TPM and variant RNA read support)</t>
  </si>
  <si>
    <t>PCR amplification of HLA-A/HLA-B informative exons followed by dye-terminator capillary sequencing</t>
  </si>
  <si>
    <t>Tumor-normal WES + tumor RNA-seq → BWA-MEM/STAR alignment → GATK processing → ensemble variant calling → RNA expression quantification → NetMHCpan HLA-I prediction → logistic regression HLA-I presentation score → personalized NEO-PV-01 peptide selection</t>
  </si>
  <si>
    <t>NetMHCpan v3.0</t>
  </si>
  <si>
    <t>8–11-mer predicted epitopes within 14–35 aa vaccine peptides</t>
  </si>
  <si>
    <t>NetMHCpan percent rank &lt;2%; HLA-I presentation score incorporating binding affinity, allele-specific expression and proteasomal cleavage</t>
  </si>
  <si>
    <t>IFN-γ ELISpot; intracellular cytokine staining; CD107a assay; MHC-I tetramer staining; cytokine multiplex assay; TCR cloning; cytotoxicity assay</t>
  </si>
  <si>
    <t>Yes (bulk and single-cell TCR sequencing using MiXCR; Gini coefficient; DE50 clonality index)</t>
  </si>
  <si>
    <t>TMB; epitope quality score; TCR repertoire analysis; NanoString immune profiling; multiplex immunofluorescence; immunohistochemistry; flow cytometry; epitope spreading; tumor-infiltrating lymphocyte analysis; PFS/OS analysis.</t>
  </si>
  <si>
    <t>Study_ID</t>
  </si>
  <si>
    <t xml:space="preserve">    </t>
  </si>
  <si>
    <t>sub_cancer</t>
  </si>
  <si>
    <t>NCT Number</t>
  </si>
  <si>
    <t>Phase</t>
  </si>
  <si>
    <t xml:space="preserve">Study actual start date </t>
  </si>
  <si>
    <t>study completion date</t>
  </si>
  <si>
    <t>Population studied</t>
  </si>
  <si>
    <t>Location</t>
  </si>
  <si>
    <t>Number enrolled in study</t>
  </si>
  <si>
    <t>Age</t>
  </si>
  <si>
    <t>Vaccine Platform</t>
  </si>
  <si>
    <t>Neoantigen Source</t>
  </si>
  <si>
    <t>peptide length</t>
  </si>
  <si>
    <t>Combination Therapy</t>
  </si>
  <si>
    <t>Status</t>
  </si>
  <si>
    <t>Clinical Outcome</t>
  </si>
  <si>
    <t>Success Factors</t>
  </si>
  <si>
    <t>Failure/Limitation Factors</t>
  </si>
  <si>
    <t>Exlude</t>
  </si>
  <si>
    <t>V01</t>
  </si>
  <si>
    <t xml:space="preserve">Checkpoint-resistant </t>
  </si>
  <si>
    <t xml:space="preserve">
Stage IV </t>
  </si>
  <si>
    <t>NCT05898763</t>
  </si>
  <si>
    <t>i/ii</t>
  </si>
  <si>
    <t>1 year follow-up after first vaccination</t>
  </si>
  <si>
    <t xml:space="preserve"> Netherlands</t>
  </si>
  <si>
    <t>Erasmus MC Cancer Institute (Rotterdam) + LUMC (Leiden),</t>
  </si>
  <si>
    <t>Multi-center, open-label, non-randomized, dose-escalation 3+3 adapted</t>
  </si>
  <si>
    <t xml:space="preserve"> 47-79</t>
  </si>
  <si>
    <t>Synthetic long peptide, subcutaneous</t>
  </si>
  <si>
    <t>Not neoantigen</t>
  </si>
  <si>
    <t>24 -mer</t>
  </si>
  <si>
    <t>pembrolizumab (anti-PD-1) 200 mg IV q3w</t>
  </si>
  <si>
    <t>Completed</t>
  </si>
  <si>
    <t xml:space="preserve">1Partial Response, 8 Stabe Disease, 2 Mitral Regurgitation among 24 evaluable. No Complete Response. CD8+ T cell responses in 83%. Ex vivo activated CD8+ T cells detected only in pembrolizumab combination cohort. </t>
  </si>
  <si>
    <t>No DLT at any dose,  more than 80% CD8+ response rate, activated polyfunctional Type 1 cytokine-producing T cells, synergy with PD-1 blockade, first clinical validation of TEIPP antigen class</t>
  </si>
  <si>
    <t>Only 1 PR,  single epitope (HLA-A*0201 restricted); high screening failure, modest SD rate, small cohort per dose level (n=6)</t>
  </si>
  <si>
    <t>Not a neoantigen vaccine; vaccine targets non-neoantigen tumor antigens</t>
  </si>
  <si>
    <t>V02</t>
  </si>
  <si>
    <t>Preview</t>
  </si>
  <si>
    <t>commentary</t>
  </si>
  <si>
    <t>V03</t>
  </si>
  <si>
    <t>8 adenocarcinoma and 6 squamous cell carcinoma</t>
  </si>
  <si>
    <t xml:space="preserve"> III/IV </t>
  </si>
  <si>
    <t>Not reported in manuscript</t>
  </si>
  <si>
    <t xml:space="preserve">Ib </t>
  </si>
  <si>
    <t>Chaina</t>
  </si>
  <si>
    <t>Tianjin Beichen Hospital in China.</t>
  </si>
  <si>
    <t>Single-arm, open-label Phase Ib clinical trial</t>
  </si>
  <si>
    <t>29, 24 vaccinated</t>
  </si>
  <si>
    <t xml:space="preserve">≥18 years </t>
  </si>
  <si>
    <t>Personalized Neoantigen Peptide Vaccine (short and long synthetic peptides) with topical Imiquimod (TLR7 agonist) adjuvan</t>
  </si>
  <si>
    <t>Somatic mutations identified from targeted sequencing of 508 cancer-associated genes; focus on EGFR driver mutations and other tumor-associated mutations</t>
  </si>
  <si>
    <t>9–20 amino acids; mixture of short HLA-I peptides and long HLA-II peptides</t>
  </si>
  <si>
    <t>Some patients received PPV alone; others received PPV concurrently with EGFR tyrosine kinase inhibitors (EGFR-TKIs)</t>
  </si>
  <si>
    <t>7/24 objective responses (1 Complete Response, 6 Partial Responses); median PFS 6.0 months; median OS 8.9 months. Responses observed exclusively in EGFR-mutated patients</t>
  </si>
  <si>
    <t>EGFR-mutated tumors; vaccine-induced neoantigen-specific CD8+ T-cell responses; targeting shared EGFR neoantigens (L858R, T790M); concurrent EGFR inhibitor therapy may enhance immune responses.</t>
  </si>
  <si>
    <t>Small sample size; non-randomized single-arm design; lack of control group; responses mainly limited to EGFR-mutated patients; some vaccinated patients developed immune responses without clinical benefit.</t>
  </si>
  <si>
    <t>V04</t>
  </si>
  <si>
    <t>Advanced Relapsed Non-Small Cell Lung Cancer (NSCLC)</t>
  </si>
  <si>
    <t xml:space="preserve">Stage IV or recurrent metastatic </t>
  </si>
  <si>
    <t>NCT03205930</t>
  </si>
  <si>
    <t>I/IIa</t>
  </si>
  <si>
    <t>June 2020 (enrollment ended), data cutoff June 30, 2024</t>
  </si>
  <si>
    <t xml:space="preserve">China </t>
  </si>
  <si>
    <t>Lianyungang Clinical College of Nanjing Medical University, Lianyungang, China</t>
  </si>
  <si>
    <t>Single-arm, prospective, pilot</t>
  </si>
  <si>
    <t>21 enrolled</t>
  </si>
  <si>
    <t>18-75</t>
  </si>
  <si>
    <t>Cell therapy</t>
  </si>
  <si>
    <t>WES + RNA-seq</t>
  </si>
  <si>
    <t>No stated</t>
  </si>
  <si>
    <t>Camrelizumab (anti-PD-1) was used ex vivo to activate CTLs before infusion</t>
  </si>
  <si>
    <t>Personalized neoantigen targeting; induction of neoantigen-specific IFN-γ responses; increased CD4+CD25− T cells; decreased Tregs in responders; PD-1 blockade-enhanced CTL activation.</t>
  </si>
  <si>
    <t>Small sample size (n=13); single-arm design; long neoantigen manufacturing time (~4 months); 5 patients lost before treatment due to rapid progression; no control arm</t>
  </si>
  <si>
    <t>Small sample (13), single-center,  no comparator arm, excluded prior immunotherapy patients (limits generalizability), 5 patients died from rapid progression before treatment</t>
  </si>
  <si>
    <t>Excluded because the intervention was neoantigen-specific adoptive cellular therapy rather than a neoantigen vaccine, and therefore did not meet the eligibility criteria for Objective 3.</t>
  </si>
  <si>
    <t>V05</t>
  </si>
  <si>
    <t>Commentary</t>
  </si>
  <si>
    <t>V06</t>
  </si>
  <si>
    <t>Pan-cancer (advanced solid tumors)</t>
  </si>
  <si>
    <t>Advanced/Recurrent Pan-Cancer Solid Tumors</t>
  </si>
  <si>
    <t>Stage IV, advanced or recurrent malignant tumors that have failed standard therapies</t>
  </si>
  <si>
    <t>NCT06314087 / ChiCTR2300078055</t>
  </si>
  <si>
    <t>II</t>
  </si>
  <si>
    <t>Estimated 2026-2027 (enrolling 154 patients over 2-3 years)</t>
  </si>
  <si>
    <t>Multiple centers (Hong Kong/Shenzhen-led)</t>
  </si>
  <si>
    <t>Randomized, open-label, interventional with one-way crossover</t>
  </si>
  <si>
    <t>154 (planned- 77 per arm)</t>
  </si>
  <si>
    <t>Personalized neoantigen synthetic peptide vaccine</t>
  </si>
  <si>
    <t>WES + RNA Seq</t>
  </si>
  <si>
    <t>CLERT precision radiotherapy (grouped high-dose and low-dose subgroups)</t>
  </si>
  <si>
    <t>Recruiting (protocol published August 2025)Recruiting (protocol published August 2025)</t>
  </si>
  <si>
    <t>Pending</t>
  </si>
  <si>
    <t>Trial hypothesis is that radiotherapy increases neoantigen release, antigen presentation, immunogenic cell death, and T-cell priming, thereby enhancing vaccine efficacy. Personalized neoantigen selection and inclusion of shared neoantigens (e.g., KRAS, TP53, EGFR) may improve applicability.</t>
  </si>
  <si>
    <t>No efficacy data yet. Potential limitations include long vaccine manufacturing time (~8 weeks), heterogeneous pan-cancer population, dependence on neoantigen prediction accuracy, and exploratory nature of radiotherapy dose subgroup analyses.</t>
  </si>
  <si>
    <t>Protocol not clinical trial</t>
  </si>
  <si>
    <t>V07</t>
  </si>
  <si>
    <t xml:space="preserve">10.1093/annonc/mdz253.003 </t>
  </si>
  <si>
    <t>Personalized neoantigen peptide vaccine (short + long peptides) safe in advanced NSCLC post-conventional therapy, promising responses in EGFR-mutant patients continuing EGFRi, induced neoantigen-specific CD8+ T cell responses.</t>
  </si>
  <si>
    <t>not mentioned</t>
  </si>
  <si>
    <t>Stage III/IV recurrent/advanced</t>
  </si>
  <si>
    <t>ChiCTR-INR-16009867</t>
  </si>
  <si>
    <t>China</t>
  </si>
  <si>
    <t>Tianjin</t>
  </si>
  <si>
    <t>Single-arm</t>
  </si>
  <si>
    <t>Not specific</t>
  </si>
  <si>
    <t>Personal neoantigen peptide vaccine</t>
  </si>
  <si>
    <t>tumor-associated mutation</t>
  </si>
  <si>
    <t>EGFR inhibitors (Only some patients)</t>
  </si>
  <si>
    <t>Safe with minor rash, fatigue, fever in 3, objective responses  in EGFR-mutant, better when patient is continuing EGFRi, robust neoantigen-specific CD8+ T cell responses.</t>
  </si>
  <si>
    <t>Immunogenicity (increased neoantigen-specific CD8+ T cells), potential synergy with continued EGFRi, safety</t>
  </si>
  <si>
    <t>Small sample, not all patients responded equally</t>
  </si>
  <si>
    <t xml:space="preserve">Duplicate with V3 </t>
  </si>
  <si>
    <t>V08</t>
  </si>
  <si>
    <t>Ib</t>
  </si>
  <si>
    <t>NCT03380871</t>
  </si>
  <si>
    <t>Abstract for V13</t>
  </si>
  <si>
    <t>V10</t>
  </si>
  <si>
    <t>Bladder Tumors
Carcinoma, Non-Small-Cell Lung
Lung Cancer
Malignant Melanoma
Melanoma
Skin Cancer
Transitional Cell Carcinoma of the Bladder
Urinary Bladder Cancer</t>
  </si>
  <si>
    <t>Advanced/metastatic</t>
  </si>
  <si>
    <t xml:space="preserve">NCT02897765
</t>
  </si>
  <si>
    <t>ib</t>
  </si>
  <si>
    <t>Unitted States of America</t>
  </si>
  <si>
    <r>
      <rPr>
        <rFont val="Arial"/>
        <b/>
        <color theme="1"/>
        <sz val="11.0"/>
      </rPr>
      <t xml:space="preserve">California Locations
</t>
    </r>
    <r>
      <rPr>
        <rFont val="Arial"/>
        <color theme="1"/>
        <sz val="11.0"/>
      </rPr>
      <t xml:space="preserve">Duarte, California, United State-City of Hope
Los Angeles, California,-UCLA Medical Center
University of California San Francisco-University of California San Francisco
</t>
    </r>
    <r>
      <rPr>
        <rFont val="Arial"/>
        <b/>
        <color theme="1"/>
        <sz val="11.0"/>
      </rPr>
      <t xml:space="preserve">Massachusetts
</t>
    </r>
    <r>
      <rPr>
        <rFont val="Arial"/>
        <color theme="1"/>
        <sz val="11.0"/>
      </rPr>
      <t xml:space="preserve">Boston, Massachusetts, United States,-Massachusetts General Hospital and  Dana Farber Cancer Center 
</t>
    </r>
    <r>
      <rPr>
        <rFont val="Arial"/>
        <b/>
        <color theme="1"/>
        <sz val="11.0"/>
      </rPr>
      <t xml:space="preserve">Missouri Locations
</t>
    </r>
    <r>
      <rPr>
        <rFont val="Arial"/>
        <color theme="1"/>
        <sz val="11.0"/>
      </rPr>
      <t xml:space="preserve">St Louis, Missouri, United States-Washington University in St. Louis
</t>
    </r>
    <r>
      <rPr>
        <rFont val="Arial"/>
        <b/>
        <color theme="1"/>
        <sz val="11.0"/>
      </rPr>
      <t xml:space="preserve">New York Locations
</t>
    </r>
    <r>
      <rPr>
        <rFont val="Arial"/>
        <color theme="1"/>
        <sz val="11.0"/>
      </rPr>
      <t>New York, New York, United States-Icahn School of Medicine at Mount Sinai and Memorial Sloan Kettering Cancer Center
Texas Locations
Houston, Texas, United States-MD Anderson Cancer Center</t>
    </r>
  </si>
  <si>
    <t>Interventional</t>
  </si>
  <si>
    <t>18 Years and older (Adult,  Older Adult )</t>
  </si>
  <si>
    <t xml:space="preserve"> personal vaccine therapy</t>
  </si>
  <si>
    <t xml:space="preserve">NEO-PV-01 +  adjuvant((Poly-ICLC (Hiltonol)), with nivolumab </t>
  </si>
  <si>
    <t>completed</t>
  </si>
  <si>
    <t>Immunogenic</t>
  </si>
  <si>
    <t xml:space="preserve">Strong CD4/CD8 responses  </t>
  </si>
  <si>
    <t>small sample size</t>
  </si>
  <si>
    <t>V11</t>
  </si>
  <si>
    <t>Adenocarcinoma, Squamous Cell Carcinoma, Other</t>
  </si>
  <si>
    <t>NCT02818426</t>
  </si>
  <si>
    <t>March 2022 (enrollment), data cutoff in March 13, 2024</t>
  </si>
  <si>
    <t>France</t>
  </si>
  <si>
    <t>5 Cancer Centers in France</t>
  </si>
  <si>
    <t>Adults (not specified)</t>
  </si>
  <si>
    <t>15 amino acides each</t>
  </si>
  <si>
    <t>Vaccine targeted telomerase (tumor-associated antigen), not mutation-derived neoantigens</t>
  </si>
  <si>
    <t>V12</t>
  </si>
  <si>
    <t>Resected NSCLC (EGFR/ALK/ROS1/RET wild-type)</t>
  </si>
  <si>
    <t xml:space="preserve">Stage Ia3-IVb </t>
  </si>
  <si>
    <t>NCT04078269</t>
  </si>
  <si>
    <t>1a</t>
  </si>
  <si>
    <t>Follow-up to 2 years after last vaccine dose (data collected through 2023)</t>
  </si>
  <si>
    <t>Belgium</t>
  </si>
  <si>
    <t>Ghent University Hospital, Ghent</t>
  </si>
  <si>
    <t>10 enrolled, 6 vaccinated (4 excluded)</t>
  </si>
  <si>
    <t>Autologous monocyte-derived dendritic cells (moDCs) electroporated with neoantigen-encoding mRNA (Neo-mRNA)</t>
  </si>
  <si>
    <t>25-mer tandem minigene + 12 residues on each side</t>
  </si>
  <si>
    <t>3/6 Disease free after 2 years, T cell responses seen up to 19 months</t>
  </si>
  <si>
    <t xml:space="preserve">Safe, immunogenic(patients responded), Responses stll detected after 19 months (induced stem cell memory), </t>
  </si>
  <si>
    <t>Long manufacturing time (about 194 days), small cohort (6 vaccinated), 40% manufacturing failure rate, 1 patient with STK11 mutation showed no T cell response</t>
  </si>
  <si>
    <t>V13</t>
  </si>
  <si>
    <t>IB</t>
  </si>
  <si>
    <t>2021 (After 24 months of followup)</t>
  </si>
  <si>
    <t>United States of America</t>
  </si>
  <si>
    <t>Dana Farber Cancer Institute (Boston), Sarah Cannon Research Institute (Nashville), UCLA (Los Angeles), Washington University (St. Louis)</t>
  </si>
  <si>
    <t>Single-arm, across many centers</t>
  </si>
  <si>
    <t>38- 21 vaccinated,  16 completed full vaccination</t>
  </si>
  <si>
    <t>56-73 Years</t>
  </si>
  <si>
    <t>Synthetic peptides mixed with poly-ICLC adjuvant, administered under skin</t>
  </si>
  <si>
    <t>14-35 Amino acids</t>
  </si>
  <si>
    <t>Pemetrexed + carboplatin + pembrolizumab (continued up to 2 years)</t>
  </si>
  <si>
    <t>Safe and well-tolerated, robust neoantigen-specific CD4+ and CD8+ T cell induction, epitope spreading to driver mutations (KRAS), strong humoral responses.</t>
  </si>
  <si>
    <t>Single-arm design -cant attribute clinical benefit to vaccine vs. chemo + pembrolizumab alone, higher female ratio, lower PD-L1 expression in VAX cohort.</t>
  </si>
  <si>
    <t>V14</t>
  </si>
  <si>
    <t>EGFR-mutant NSCLC with acquired T790M resistance</t>
  </si>
  <si>
    <t>-</t>
  </si>
  <si>
    <t>Not</t>
  </si>
  <si>
    <t>Japan</t>
  </si>
  <si>
    <t>Kurume University Hospital (Kurume) Sendai Kousei Hospital (Sendai)</t>
  </si>
  <si>
    <t>28 (6 healthy donors + 22 NSCLC patients)</t>
  </si>
  <si>
    <t xml:space="preserve"> 57-81 years </t>
  </si>
  <si>
    <t>Peptide (synthetic 9-11mer peptides pulsed in vitro)</t>
  </si>
  <si>
    <t>EGFR T790M mutation (methionine substitution at position 790)</t>
  </si>
  <si>
    <t>None (in vitro study using PBMCs from EGFR-TKI-treated patients)</t>
  </si>
  <si>
    <t xml:space="preserve">Completed </t>
  </si>
  <si>
    <t>Pre-existing T cell responses negatively correlated with T790M mutation presence.</t>
  </si>
  <si>
    <t>2 immunogenic T790M-derived neoepitopes Identified,  cross-reactivity against T790M+ NSCLC cell lines</t>
  </si>
  <si>
    <t>Restricted to HLA-A*0201 patients, small sample size, epitope-specific T cell responses in only sma % of resistant patients, no in vivo data</t>
  </si>
  <si>
    <t>Epitope discovery/immunogenicity study without clinical evaluation of a neoantigen vaccine</t>
  </si>
  <si>
    <t>V15</t>
  </si>
  <si>
    <t xml:space="preserve">DOI: 10.1093/annonc/mdy288 </t>
  </si>
  <si>
    <t>Personal neoantigen vaccine + nivolumab showed minimal toxicity, promising clinical activity, and broad de novo neoantigen-specific T-cell responses with epitope spreading.</t>
  </si>
  <si>
    <t>metastatic melanoma, NSCLC, bladder cancer</t>
  </si>
  <si>
    <t>advanced/Metastatic</t>
  </si>
  <si>
    <t>NCT02897765</t>
  </si>
  <si>
    <t>1b</t>
  </si>
  <si>
    <t>ongoing</t>
  </si>
  <si>
    <t>Dana-Farber, Washington University, MD Anderson, UCSF</t>
  </si>
  <si>
    <t>Single-arm, open-label</t>
  </si>
  <si>
    <t>31 received ≥1 vaccination (19 completed the entire course)</t>
  </si>
  <si>
    <t>not spcecified</t>
  </si>
  <si>
    <t>Personal neoantigen peptide vaccine (NEO-PV-01) + Poly-ICLC adjuvant (prime-boost)</t>
  </si>
  <si>
    <t>tumor mutations (HLA profiling)</t>
  </si>
  <si>
    <t>20 peptides (14-35 amino acid</t>
  </si>
  <si>
    <t>Nivolumab (anti-PD-1)</t>
  </si>
  <si>
    <t>ORR 52.6% after vaccination, response conversions have been observed, CD4/CD8 T-cell responses in more thav 60% of peptides, epitope spreading, decreased tumor cellularity.</t>
  </si>
  <si>
    <t>epitope spreading, good synergy with anti-PD-1, good safety</t>
  </si>
  <si>
    <t>Not clear, maybe small numbers per tumor type</t>
  </si>
  <si>
    <t>Abstract</t>
  </si>
  <si>
    <t>V16</t>
  </si>
  <si>
    <t>Not mentioned</t>
  </si>
  <si>
    <t>Stage IA3–IVB (resectable patients enrolled)</t>
  </si>
  <si>
    <t>ollow-up up to 2 years after last vaccination; enrollment completed May 2021</t>
  </si>
  <si>
    <t>Ghent University Hospital, Ghent, Belgium</t>
  </si>
  <si>
    <t>Single-center, open-label, Phase I personalized neoantigen dendritic cell vaccine trial.</t>
  </si>
  <si>
    <t>10 enrolled; vaccine manufacturing successful in 7; 6 patients vaccinated and evaluable.</t>
  </si>
  <si>
    <t>Personalized autologous dendritic cell vaccine loaded with mRNA encoding patient-specific neoantigens (Neo-mDC).</t>
  </si>
  <si>
    <t>Whole-exome sequencing (WES), RNA sequencing, HLA typing, mutation calling, and in silico neoepitope prediction from resected tumor tissue and matched blood.</t>
  </si>
  <si>
    <t xml:space="preserve">25-mer </t>
  </si>
  <si>
    <t>Vaccine administered alone in adjuvant setting; some patients previously received standard adjuvant chemotherapy before vaccination. No concurrent checkpoint blockade.</t>
  </si>
  <si>
    <t>3 of 6 vaccinated patients developed recurrence during 2-year follow-up; 3 remained recurrence-free. Study was not powered for efficacy. Primary endpoint was safety.</t>
  </si>
  <si>
    <t>Durable neoantigen-specific CD4+ and CD8+ T-cell responses in 5/6 vaccinated patients; responses detected up to 19 months post-vaccination; induction of stem-cell memory (TSCM), naïve-like, effector memory, and terminal effector populations; polyclonal TCR expansion; minimal evidence of T-cell exhaustion.</t>
  </si>
  <si>
    <t>Small sample size; manufacturing success only 60% (6/10 intention-to-treat); long production time (~194 days); low neoantigen yield in some tumors; not powered for efficacy assessment.</t>
  </si>
  <si>
    <t>Duplicated</t>
  </si>
  <si>
    <t>V17</t>
  </si>
  <si>
    <t>Metastatic non-squamous NSCLC</t>
  </si>
  <si>
    <t>1B</t>
  </si>
  <si>
    <t>Follow-up through August 2021 data cutoff; publication 2022.</t>
  </si>
  <si>
    <t>Not spcecified</t>
  </si>
  <si>
    <t>Personalized neoantigen synthetic long peptide vaccine + Poly-ICLC adjuvant</t>
  </si>
  <si>
    <t>Pembrolizumab (anti-PD-1) + chemotherapy (pemetrexed + carboplatin)</t>
  </si>
  <si>
    <t>completed &amp; reported</t>
  </si>
  <si>
    <t>Safe, neoantigen-specific T cell responses stronger post-vaccination (CD4+), epitope spreading to KRAS mutations</t>
  </si>
  <si>
    <t>Feasibility in combination, immunogenicity, epitope spreading</t>
  </si>
  <si>
    <t>Duplicates with V13</t>
  </si>
  <si>
    <t>V18</t>
  </si>
  <si>
    <t>Some completed vaccinations, ongoing treatment in 13 patients</t>
  </si>
  <si>
    <t>Abstract for V10</t>
  </si>
  <si>
    <t>V19</t>
  </si>
  <si>
    <t>srRNA-based universal neoantigen vaccine (alone or + toripalimab) was safe and induced neoantigen-specific T-cell responses in pre-treated advanced NSCLC.</t>
  </si>
  <si>
    <t xml:space="preserve">Advanced / metastatic </t>
  </si>
  <si>
    <t>NCT05579275</t>
  </si>
  <si>
    <t>Peking University Cancer Hospital + Immorna</t>
  </si>
  <si>
    <t>Single-arm, dose-escalation (Part 1) &amp; combination (Part 2)</t>
  </si>
  <si>
    <t>9 patients</t>
  </si>
  <si>
    <t>Self-replicating RNA (srRNA) universal neoantigen vaccine</t>
  </si>
  <si>
    <t>tumor neoantigens matched to patient</t>
  </si>
  <si>
    <t>Toripalimab (anti-PD-1) in Part 2</t>
  </si>
  <si>
    <t>Completed enrollment for reported cohort</t>
  </si>
  <si>
    <t>1 patient with lesion decrease, 1 with Stable Disease for  ≥12 weeks,  induced neoantigen-specific IFN T-cell responses</t>
  </si>
  <si>
    <t>Modest safety, induction of antigen-specific T-cell immunity</t>
  </si>
  <si>
    <t>Small sample (9), heavily pre-treated population</t>
  </si>
  <si>
    <t>Included</t>
  </si>
  <si>
    <t>V20</t>
  </si>
  <si>
    <t>EGFR neoantigen peptide vaccine + tislelizumab + chemotherapy showed promising safety, feasibility &amp; early immune activity in EGFR-TKI resistant advanced NSCLC.</t>
  </si>
  <si>
    <t>EGFR-mutant NSCLC</t>
  </si>
  <si>
    <t>Advanced (stage IIIB-IV)</t>
  </si>
  <si>
    <t>NCT06095934</t>
  </si>
  <si>
    <t>Nanjing Drum Tower Hospital</t>
  </si>
  <si>
    <t>Single-center, single-arm</t>
  </si>
  <si>
    <t>15 enrolled, 11 vaccinated</t>
  </si>
  <si>
    <t>Personalized EGFR neoantigen peptide vaccine</t>
  </si>
  <si>
    <t>EGFR  neoantigens (mutation-derived)</t>
  </si>
  <si>
    <t>EGFR Neoantigen Peptide Vaccine + Tislelizumab + Chemotherapy</t>
  </si>
  <si>
    <t>Ongoing</t>
  </si>
  <si>
    <t>vaccine-induced T-cell responses (85.7%), increased effector-memory T cells, Th1 cytokines</t>
  </si>
  <si>
    <t>Safety, immune activation (T-cell responses, cytokine upregulation), early clinical activity in TKI-resistant settinng</t>
  </si>
  <si>
    <t>Small sample size</t>
  </si>
  <si>
    <t>study_id</t>
  </si>
  <si>
    <t>year_1</t>
  </si>
  <si>
    <t>title</t>
  </si>
  <si>
    <t>journal</t>
  </si>
  <si>
    <t>doi</t>
  </si>
  <si>
    <t>abstract_note</t>
  </si>
  <si>
    <t>library_catalog</t>
  </si>
  <si>
    <t>disease_stage</t>
  </si>
  <si>
    <t>nct_number</t>
  </si>
  <si>
    <t>phase</t>
  </si>
  <si>
    <t>study_actual_start_date</t>
  </si>
  <si>
    <t>study_completion_date</t>
  </si>
  <si>
    <t>population_studied</t>
  </si>
  <si>
    <t>location</t>
  </si>
  <si>
    <t>study_type_2</t>
  </si>
  <si>
    <t>number_enrolled_in_study</t>
  </si>
  <si>
    <t>age</t>
  </si>
  <si>
    <t>vaccine_platform</t>
  </si>
  <si>
    <t>neoantigen_source</t>
  </si>
  <si>
    <t>peptide_length</t>
  </si>
  <si>
    <t>combination_therapy</t>
  </si>
  <si>
    <t>status</t>
  </si>
  <si>
    <t>clinical_outcome</t>
  </si>
  <si>
    <t>success_factors</t>
  </si>
  <si>
    <t>failure_limitation_factors</t>
  </si>
  <si>
    <t>exlude</t>
  </si>
  <si>
    <t>clean_phase</t>
  </si>
  <si>
    <t>clean_platform</t>
  </si>
  <si>
    <t>clean_status</t>
  </si>
  <si>
    <t>clean_enrollment</t>
  </si>
  <si>
    <t>III/IV</t>
  </si>
  <si>
    <t>Ã¢Â‰Â¥18 years</t>
  </si>
  <si>
    <t>9-20 amino acids; mixture of short HLA-I peptides and long HLA-II peptides</t>
  </si>
  <si>
    <t>Phase Ib</t>
  </si>
  <si>
    <t>Personalized Peptide Vaccine</t>
  </si>
  <si>
    <t>Wang et al. , 2024</t>
  </si>
  <si>
    <t>Summary Non-small cell lung cancer (NSCLC) is known for high relapse rates despite resection in early stages. Here, we present the results of a phase I clinical trial in which a dendritic cell (DC) vaccine targeting patient-individual neoantigens is evaluated in patients with resected NSCLC. Vaccine manufacturing is feasible in six of 10 enrolled patients. Toxicity is limited to grade 1Ã¢Â€Â“2 adverse events. Systemic T cell responses are observed in five out of six vaccinated patients, with T cell responses remaining detectable up to 19 months post vaccination. Single-cell analysis indicates that the responsive T cell population is polyclonal and exhibits the near-entire spectrum of T cell differentiation states, including a naive-like state, but excluding exhausted cell states. Three of six vaccinated patients experience disease recurrence during the follow-up period of 2 years. Collectively, these data support the feasibility, safety, and immunogenicity of this treatment in resected NSCLC.</t>
  </si>
  <si>
    <t>Stage Ia3-IVb</t>
  </si>
  <si>
    <t>Safe, immunogenic(patients responded), Responses stll detected after 19 months (induced stem cell memory),</t>
  </si>
  <si>
    <t>Phase I</t>
  </si>
  <si>
    <t>Dendritic Cell Vaccine</t>
  </si>
  <si>
    <t>Awad et al., 2022</t>
  </si>
  <si>
    <t>38- 21 vaccinated, 16 completed full vaccination</t>
  </si>
  <si>
    <t>Zhuo et al., 2024</t>
  </si>
  <si>
    <t>Advanced / metastatic</t>
  </si>
  <si>
    <t>1 patient with lesion decrease, 1 with Stable Disease for Ã¢Â‰Â¥12 weeks, induced neoantigen-specific IFN T-cell responses</t>
  </si>
  <si>
    <t>RNA/mRNA Vaccine</t>
  </si>
  <si>
    <t>Personalized neoantigen peptide vaccination mixed with poly-ICLC was feasible, safe, and immunogenic in patients with TMB-low NSCLC.</t>
  </si>
  <si>
    <t>Stage I-III</t>
  </si>
  <si>
    <t>NCT03821</t>
  </si>
  <si>
    <t>Pilot Study</t>
  </si>
  <si>
    <t>United Kingdom</t>
  </si>
  <si>
    <t>University of Southampton, UK</t>
  </si>
  <si>
    <t>1 vaccinated</t>
  </si>
  <si>
    <t>&gt;=18 years</t>
  </si>
  <si>
    <t>Vaccine induced de novo T-cell responses in 6 out of 7 vaccinated patients.</t>
  </si>
  <si>
    <t>Feasible and immunogenic in low TMB tumors.</t>
  </si>
  <si>
    <t>Small cohort size.</t>
  </si>
  <si>
    <t>Personalized neoantigen peptide vaccine (NEO-PV-01) combined with nivolumab induced broad de novo neoantigen-specific T-cell responses in advanced melanoma, NSCLC and bladder cancer.</t>
  </si>
  <si>
    <t>EndNote</t>
  </si>
  <si>
    <t>Interventional clinical trial</t>
  </si>
  <si>
    <t>Unresectable or metastatic</t>
  </si>
  <si>
    <t>Adults with advanced melanoma, NSCLC or urothelial carcinoma</t>
  </si>
  <si>
    <t>United States (9 cancer centers)</t>
  </si>
  <si>
    <t>Personalized neoantigen vaccine clinical trial</t>
  </si>
  <si>
    <t>82 (27 NSCLC; 34 melanoma; 21 bladder)</t>
  </si>
  <si>
    <t>?18 years</t>
  </si>
  <si>
    <t>Personalized synthetic long peptide vaccine (NEO-PV-01) + poly-ICLC adjuvant</t>
  </si>
  <si>
    <t>Patient-specific somatic non-synonymous mutations identified by tumor-normal WES and RNA-seq</t>
  </si>
  <si>
    <t>14Â–35 amino acids</t>
  </si>
  <si>
    <t>Nivolumab + poly-ICLC</t>
  </si>
  <si>
    <t>Safe and feasible; induced durable de novo CD4? and CD8? neoantigen-specific T-cell responses with evidence of epitope spreading and encouraging clinical activity</t>
  </si>
  <si>
    <t>Personalized WES/RNA-seq pipeline, RNA-expression filtering, NetMHCpan-based prioritization, high-quality peptide manufacturing, concurrent PD-1 blockade</t>
  </si>
  <si>
    <t>Small Phase I study, non-randomized, heterogeneous tumour types, no control arm, not powered for efficacy, only patients with sufficient mutations could receive vaccine</t>
  </si>
  <si>
    <t>unnamed_1</t>
  </si>
  <si>
    <t>publication_year</t>
  </si>
  <si>
    <t>doi_source_url</t>
  </si>
  <si>
    <t>study_type_7</t>
  </si>
  <si>
    <t>include_exclude_r1</t>
  </si>
  <si>
    <t>population</t>
  </si>
  <si>
    <t>cancer_subtype</t>
  </si>
  <si>
    <t>data_source_database</t>
  </si>
  <si>
    <t>library_prep</t>
  </si>
  <si>
    <t>reference_genome</t>
  </si>
  <si>
    <t>dna_alignment_tool</t>
  </si>
  <si>
    <t>rna_alignment_transcript_tool</t>
  </si>
  <si>
    <t>variant_filtering_vaf_threshold</t>
  </si>
  <si>
    <t>consequence_focus</t>
  </si>
  <si>
    <t>hla_typing_done</t>
  </si>
  <si>
    <t>hla_typing_tools</t>
  </si>
  <si>
    <t>neoantigen_prediction_done</t>
  </si>
  <si>
    <t>neoantigen_prediction_tool</t>
  </si>
  <si>
    <t>class_i_epitope_prediction</t>
  </si>
  <si>
    <t>class_ii_prediction_done</t>
  </si>
  <si>
    <t>class_ii_epitope_prediction</t>
  </si>
  <si>
    <t>class_ii_length_threshold</t>
  </si>
  <si>
    <t>neonatigen_identified</t>
  </si>
  <si>
    <t>immunogenicity</t>
  </si>
  <si>
    <t>experimental_validation_of_immunogenicity</t>
  </si>
  <si>
    <t>clonality_estimation</t>
  </si>
  <si>
    <t>other_immune_analyses_and_sub_analysis</t>
  </si>
  <si>
    <t>study_label</t>
  </si>
  <si>
    <t>Sequencing</t>
  </si>
  <si>
    <t>Variant_Calling</t>
  </si>
  <si>
    <t>Variant_Annotation</t>
  </si>
  <si>
    <t>HLA_Typing</t>
  </si>
  <si>
    <t>Epitope_Prediction</t>
  </si>
  <si>
    <t>Prediction_Threshold</t>
  </si>
  <si>
    <t>Experimental_Validation</t>
  </si>
  <si>
    <t>Clonality_Estimation</t>
  </si>
  <si>
    <t>threshold_text</t>
  </si>
  <si>
    <t>threshold_type</t>
  </si>
  <si>
    <t>Not reported</t>
  </si>
  <si>
    <t>IC50 â‰¤500 nM to one or more patient HLA alleles / â‰¤500 nM / 500 nM / 50 nM</t>
  </si>
  <si>
    <t>IC50 â‰¤500 nM to one or more patient HLA alleles / â‰¤500 nM / 500 nM / 50 nM ; 8-11 mer</t>
  </si>
  <si>
    <t>IC50/nM threshold</t>
  </si>
  <si>
    <t>https://doi.org/10.1016/S1470-2045(17)30516-8</t>
  </si>
  <si>
    <t>PASS variants and high-confidence filters / Minimum tumor RNA VAF 10% for pVAC-Seq / minimum germline coverage 10; min variant frequency 0.01â€“0.02; somatic p-value &lt;5Ã—10âˆ’4; Phred score â‰¥20; mapping quality â‰¥20</t>
  </si>
  <si>
    <t>Mutant peptide IC50 &lt;50 nM and wild-type peptide &gt;50 / &lt;50 nM / IC50 &lt;50 ; 9-10 mer</t>
  </si>
  <si>
    <t>GTEx healthy tissue expression filtering; retained introns required â‰¥3 uniquely mapped reads and TPM â‰¥1; intergenic transcripts required FPKM â‰¥5 / a minimum tumor RNA variant allele frequencies of 10%. / Somatic SNVs and small indels called from WGS; exonic/intronic/intergenic TMB calculated by genomic region size</t>
  </si>
  <si>
    <t>fold-change mutant/wild-type binding affinity = 1; filter-passing variants only; tumor RNA VAF â‰¥10%; strong binders â‰¤500 nmol/L / â‰¤500 nmol/L / â‰¤500 nM</t>
  </si>
  <si>
    <t>fold-change mutant/wild-type binding affinity = 1; filter-passing variants only; tumor RNA VAF â‰¥10%; strong binders â‰¤500 nmol/L / â‰¤500 nmol/L / â‰¤500 nM ; 8-11 mer</t>
  </si>
  <si>
    <t>CPTAC-confirmed peptide + predicted MHC-I binder + patient-specific HLA type + tumor-specific neojunctionBinding_affinity_of_neoantigen_to_HLA1: Percentile rank &lt;2.0 / Predicted MHC-I binders defined as peptides with NetMHC percentile rank &lt;2.0 using patient-specific HLA-I alleles / Percentile rank &lt;2.0 ; 9 mer</t>
  </si>
  <si>
    <t>Rank-based threshold</t>
  </si>
  <si>
    <t>Outlier filtering by mitochondrial counts/features / (VAF) of 7% or above / FDRâ‰¤0.01 and FoldÂ²â‰¥4 for differential expression</t>
  </si>
  <si>
    <t>RNAseq, IFNÎ³ ELISPOT and IFNÎ³ ELISA / yes</t>
  </si>
  <si>
    <t>Recognition by IFNÎ³ secretion/reactivity assays / not_stated / not_stated</t>
  </si>
  <si>
    <t>Yes IFNÎ³ ELISPOT / ELISA</t>
  </si>
  <si>
    <t>TCR frequency analysis using productive TCRÎ²</t>
  </si>
  <si>
    <t>Recognition by IFNÎ³ secretion/reactivity assays / not_stated / not_stated ; minimal determinant peptides</t>
  </si>
  <si>
    <t>Other threshold</t>
  </si>
  <si>
    <t>IC50 &lt;500 nM / IC50 &lt;500 nM / IC50 &lt;500 nM ; 8-11 mer</t>
  </si>
  <si>
    <t>GATK4 / &gt;7% threshold / â‰¥10 reads coverage, â‰¥4 variant reads, &gt;7% VAF, called by â‰¥2 callers for SNVs</t>
  </si>
  <si>
    <t>IFN-Î³ ELISPOT, 4-1BB/OX40 activation</t>
  </si>
  <si>
    <t>Binding affinity + tumor expression / IC50 &lt;500 nM / Used for prioritization; exact cutoff not reported ; 8- to 11-mer(and 21-mers for long peptides)</t>
  </si>
  <si>
    <t>PolySolver (v5.26.2) â€” used to predict HLA genotypes from WES DNA-seq BAM files</t>
  </si>
  <si>
    <t>Strong binders: MT affinity &lt; 500 nM AND MT rank &lt; 0.5; Weak binders: MT affinity &lt; 500 nM AND MT rank &lt; 2.0. Patient harmonic-mean best rank (PHBR) score also used (harmonic mean of lowest rank across 6 HLA alleles) ; 9-mer peptides</t>
  </si>
  <si>
    <t>mRNA sequencing libraries were prepared according to the manufacturerâ€™s instructions using the Illumina Truseq RNA Prep kit v2. The quality of the amplified libraries was verified using an Agilent Bioanalyzer 2100</t>
  </si>
  <si>
    <t>half maximal inhibitory concentration (IC50) value â‰¤ 500 nM</t>
  </si>
  <si>
    <t>half maximal inhibitory concentration (IC50) value â‰¤ 500 nM ; 8 to 11 mer</t>
  </si>
  <si>
    <t>Illumina TruSeq library construction for WES; 10x Genomics Single Cell 5â€² V(D)J and 5â€² DGE kits for scRNA-seq/TCR-seq</t>
  </si>
  <si>
    <t>Low-quality cells were filtered if the number of detected genes was below 250 or above 3Ã— the median absolute deviation away from the median gene number of all cells. / not_stated / not_stated</t>
  </si>
  <si>
    <t>Putative MHC-I neoantigens from nonsynonymous somatic mutations; functional T-cell reactivity by MANAFEST / IC50 &lt;500 nM, Measured for selected peptides; Kd 5.1 nM and 17.5 nM reported / 5.1 nM and 17.5 nM ; Not reported</t>
  </si>
  <si>
    <t>########</t>
  </si>
  <si>
    <t>IC50 &lt;500 nM, TAP &gt;0.5, proteasome score &gt;0.5 / IC50 values &lt;500 nmol/dmÂ³ / NetMHCPan 4.1 required a binding affinity &lt; 500 nM and a % rank &lt; 0.5; NetMHCcons required an affinity &lt; 500 nM; SYFPEITHI required a score &gt;12; NetCTLpan required a TAP score &gt;0.5 and a C-terminal cleavage score &gt;0.5</t>
  </si>
  <si>
    <t>9-22 / IC50 &lt;500 nM, percentile â‰¤10</t>
  </si>
  <si>
    <t>IC50 &lt;500 nM, TAP &gt;0.5, proteasome score &gt;0.5 / IC50 values &lt;500 nmol/dmÂ³ / NetMHCPan 4.1 required a binding affinity &lt; 500 nM and a % rank &lt; 0.5; NetMHCcons required an affinity &lt; 500 nM; SYFPEITHI required a score &gt;12; NetCTLpan required a TAP score &gt;0.5 and a C-terminal cleavage score &gt;0.5 ; 2026-09-11 00:00:00</t>
  </si>
  <si>
    <t>IC50 value â‰¤500 nM / IC50 values &lt;=500 nM / &lt;2.0%, IC50 &lt;=500 nM</t>
  </si>
  <si>
    <t>15 / IC50 value â‰¤1000 nM</t>
  </si>
  <si>
    <t>IC50 value â‰¤500 nM / IC50 values &lt;=500 nM / &lt;2.0%, IC50 &lt;=500 nM ; Class 1: 8-11, class 11: 27</t>
  </si>
  <si>
    <t>IC50 value â‰¤500 nM -high binders IC50 between 50 â‰¦ 150 nM nM intermediate binders IC50 &gt; 150 â‰¦ 500 nM weak bindersMutant nonamers binding patient-specific HLA and predicted TCR recognition / High â‰¤50 nM; Intermediate 50â€“150 nM; Weak &gt;150â€“500 nM / IC50 â‰¤500 nM</t>
  </si>
  <si>
    <t>IC50 value â‰¤500 nM -high binders IC50 between 50 â‰¦ 150 nM nM intermediate binders IC50 &gt; 150 â‰¦ 500 nM weak bindersMutant nonamers binding patient-specific HLA and predicted TCR recognition / High â‰¤50 nM; Intermediate 50â€“150 nM; Weak &gt;150â€“500 nM / IC50 â‰¤500 nM ; 9mer</t>
  </si>
  <si>
    <t>AFâ‰¥0.05) / not_stated</t>
  </si>
  <si>
    <t>8â€“11 mer peptides</t>
  </si>
  <si>
    <t>IC50 mutant &lt;500 nM and IC50 WT â‰¥500 nM / with IC50 mut &lt;500 nM and IC50 wild &gt;=500 nM / IC50 mutant &lt;500 nM and IC50 WT â‰¥500 nM</t>
  </si>
  <si>
    <t>IC50 mutant &lt;500 nM and IC50 WT â‰¥500 nM / with IC50 mut &lt;500 nM and IC50 wild &gt;=500 nM / IC50 mutant &lt;500 nM and IC50 WT â‰¥500 nM ; 8â€“11 mer peptides</t>
  </si>
  <si>
    <t>Trimmomatic quality/adaptor filtering; rRNA removal with Bowtie2; TPM â‰¥10 and isoform read count &gt;10% retained / not_stated / with default parameters and tumor-normal mode.</t>
  </si>
  <si>
    <t>Predicted HLA-binding 9-mer peptides derived from aberrant isoforms, frameshift mutations, and somatic mutations / NetMHC score used; strongest binders prioritized / IC50 â‰¤500 nM</t>
  </si>
  <si>
    <t>Yes IFN-Î³ ELISpot assay in HLA-A24 transgenic mice</t>
  </si>
  <si>
    <t>Predicted HLA-binding 9-mer peptides derived from aberrant isoforms, frameshift mutations, and somatic mutations / NetMHC score used; strongest binders prioritized / IC50 â‰¤500 nM ; 9 mer</t>
  </si>
  <si>
    <t>Mutations retained only if supported by â‰¥2 RNA reads / not_stated / Expressed somatic mutations retained if â‰¥2 RNA-seq reads supported the mutation</t>
  </si>
  <si>
    <t>RNA-seq support required â‰¥2 mutation-concordant reads / yes</t>
  </si>
  <si>
    <t>Expressed somatic mutation + predicted MHC-I binding IC50 &lt;500 nM / IC50 &lt;500 nM / IC50 â‰¤ 500 nM</t>
  </si>
  <si>
    <t>Expressed somatic mutation + predicted MHC-I binding IC50 &lt;500 nM / IC50 &lt;500 nM / IC50 â‰¤ 500 nM ; 8-11mer</t>
  </si>
  <si>
    <t>We retained variants found by RNA-seq and not observed in the germline exome capture. / Used for selection; thresholds included &gt;20%, 10â€“40%, or expression-based filtering depending on patient / SNVs ranked by VAF and expression; VAF &gt;20% for some patients; 10â€“40% for patient 1490; TPM &gt;3 for patient 1238</t>
  </si>
  <si>
    <t>Protein-coding mutations ranked by VAF and expression; peptides screened by IFNÎ³ ELISpot / Not specified</t>
  </si>
  <si>
    <t>ELISPOT, IFN-Î³ release assays, neoantigen-specific CTL expansion and functional testing</t>
  </si>
  <si>
    <t>Protein-coding mutations ranked by VAF and expression; peptides screened by IFNÎ³ ELISpot / Not specified ; 20-mer peptide pools for screening; 27-mer peptides for validation</t>
  </si>
  <si>
    <t>9â€“11 amino acids (10â€“11mers selected for validation)</t>
  </si>
  <si>
    <t>IFN-Î³ ELISPOT, HLA stabilization assay, CTL generation, 51Cr cytotoxicity assay, tumor-cell recognition assays</t>
  </si>
  <si>
    <t>Top-ranking predicted HLA-A*0201 binders selected; binding confirmed using HLA stabilization assay ; 9â€“11 amino acids (10â€“11mers selected for validation)</t>
  </si>
  <si>
    <t>Ingels et al., 2024</t>
  </si>
  <si>
    <t>Phase I first-in-human clinical trial</t>
  </si>
  <si>
    <t>Human (10 enrolled; vaccine manufactured for 7; 6 vaccinated)</t>
  </si>
  <si>
    <t>Stage IA3â€“IVB (resectable)</t>
  </si>
  <si>
    <t>NSCLC without EGFR, ALK, ROS1 or RET driver alterations</t>
  </si>
  <si>
    <t>Resected tumour tissue, matched peripheral blood, PBMCs, leukapheresis-derived monocytes, TILs</t>
  </si>
  <si>
    <t>WES + bulk RNA-seq + scRNA-seq + single-cell TCR-seq</t>
  </si>
  <si>
    <t>25-mer tandem minigene (TMG) mRNA-loaded autologous monocyte-derived dendritic cells (Neo-mDCs)</t>
  </si>
  <si>
    <t>kallisto v0.44.0 (transcript quantification); ASEReadCounter (GATK) (variant expression); IGV (manual indel review)</t>
  </si>
  <si>
    <t>MuTect2 (GATK)</t>
  </si>
  <si>
    <t>Standard MuTect2 PASS filters; exonic variants retained; final neoantigen selection: clonal variants, binding affinity rank â‰¤0.5, transcript expression â‰¥1 TPM, variant expression &gt;0</t>
  </si>
  <si>
    <t>Ensembl Variant Effect Predictor (VEP) v93</t>
  </si>
  <si>
    <t>Missense SNVs, frameshift indels</t>
  </si>
  <si>
    <t>Non-synonymous clonal expressed mutations generating neoepitopes</t>
  </si>
  <si>
    <t>RNA-seq expression quantified by kallisto; variant expression by ASEReadCounter; indels manually reviewed in IGV</t>
  </si>
  <si>
    <t>HLA-HD v1.1.1 (DNA/WES); seq2HLA v2.3 (RNA-seq confirmation)</t>
  </si>
  <si>
    <t>Tumour-normal WES â†’ MuTect2 somatic variant calling â†’ HLA-HD/seq2HLA HLA typing â†’ transcript quantification (kallisto) â†’ variant expression (ASEReadCounter) â†’ MuPeXI prioritization â†’ manual filtering using clonality, expression, LOHHLA, immunopeptidomics and wild-type comparison</t>
  </si>
  <si>
    <t>MuPeXI v1.2.0; NetMHCpan v4.0; HLAthena</t>
  </si>
  <si>
    <t>9-, 10- and 11-mer peptides</t>
  </si>
  <si>
    <t>Binding affinity rank â‰¤0.5; transcript expression â‰¥1 TPM; variant expression &gt;0; overlap between NetMHCpan and HLAthena; mutant binding stronger than wild type; mutation preferably central; absent from healthy proteome</t>
  </si>
  <si>
    <t>Yes (4â€“6 neoantigens selected per patient; 33 total vaccine neoantigens)</t>
  </si>
  <si>
    <t>MS-based immunopeptidomics, engineered B-LCL immunopeptidomics, TIL reactivity assays, intracellular IFN-Î³ staining, peptide-HLA tetramer staining, flow cytometry, single-cell RNA/TCR sequencing, mutant versus wild-type peptide assays</t>
  </si>
  <si>
    <t>Yes (clonal variant selection; single-cell TCR clonotype analysis showing polyclonal responses)</t>
  </si>
  <si>
    <t>PureCN (tumour purity); LOHHLA (HLA LOH); HLA LOH assessment; longitudinal PBMC monitoring; CD4/CD8 IFN-Î³ assays; pHLA tetramer analysis; TSCM analysis; single-cell transcriptomics; pseudotime trajectory analysis; TCR repertoire analysis; exhaustion markers (PDCD1, TOX, HAVCR2); immunopeptidomics; TIL functional assays; long-term immune persistence</t>
  </si>
  <si>
    <t>Binding affinity rank â‰¤0.5; transcript expression â‰¥1 TPM; variant expression &gt;0; overlap between NetMHCpan and HLAthena; mutant binding stronger than wild type; mutation preferably central; absent from healthy proteome ; 9-, 10- and 11-mer peptides</t>
  </si>
  <si>
    <t>https://doi.org/10.1136/jitc-2021-002531</t>
  </si>
  <si>
    <t>Targeted sequencing â†’ Variant calling (VarScan2) â†’ ANNOVAR annotation â†’ High-resolution HLA typing â†’ NetMHC/NetMHCpan prediction â†’ Manual peptide prioritization for vaccine design</t>
  </si>
  <si>
    <t>IFN-Î³ ELISA, ELISPOT, HLA tetramer staining, PBMC assays, TCR sequencing, tumor recognition assays</t>
  </si>
  <si>
    <t>Highest predicted HLA-I binding affinity ; 8-11mer</t>
  </si>
  <si>
    <t>https://doi.org/10.1007/s00262-024-03906-z</t>
  </si>
  <si>
    <t>WES â†’ BWA â†’ MuTect2 â†’ ANNOVAR â†’ NeoORF translation â†’ 31-aa mutant peptides â†’ NetMHC4.0/NetMHCpan3.0 + NetMHCstab/NetMHCpan2.0 â†’ ranking by stability, affinity &amp; mutation frequency â†’ top 1â€“15 neopeptides selected</t>
  </si>
  <si>
    <t>8â€“11 mer</t>
  </si>
  <si>
    <t>Stability &gt;2 h; &lt;150 nM (Level 3), 150â€“500 nM (Level 2), &gt;500 nM (Level 1); &gt;2 positive epitopes = Level 4; ranked by mutation frequency</t>
  </si>
  <si>
    <t>IFN-Î³ ELISPOT, flow cytometry, mature DC characterization, peptide-specific immune response assays</t>
  </si>
  <si>
    <t>Flow cytometry (CD3/CD4/CD8/Tregs, CD80, CD83, CD86, HLA-DR, IFN-Î³, Granzyme B), ELISPOT monitoring, responder vs non-responder analysis, Kaplanâ€“Meier PFS/OS, RECIST evaluation, Treg dynamics</t>
  </si>
  <si>
    <t>Stability &gt;2 h; &lt;150 nM (Level 3), 150â€“500 nM (Level 2), &gt;500 nM (Level 1); &gt;2 positive epitopes = Level 4; ranked by mutation frequency ; 8â€“11 mer</t>
  </si>
  <si>
    <t>ACEâ„¢ Cancer Research Exome; ACEâ„¢ Cancer Research Transcriptome (Personalis)</t>
  </si>
  <si>
    <t>Tumor cellularity â‰¥30%; ensemble filtering using tumor read support, normal reads, orientation bias, coverage, neighbouring variants and read-quality bias; vaccine candidates required â‰¥50 nonsynonymous mutations/fusions; NetMHCpan rank &lt;2%; expression &gt;10 TPM (expressed mutations) or &gt;5 TPM (frameshifts)</t>
  </si>
  <si>
    <t>Tumor-normal WES + tumor RNA-seq â†’ BWA-MEM/STAR alignment â†’ GATK processing â†’ ensemble variant calling â†’ RNA expression quantification â†’ NetMHCpan HLA-I prediction â†’ logistic regression HLA-I presentation score â†’ personalized NEO-PV-01 peptide selection</t>
  </si>
  <si>
    <t>8â€“11-mer predicted epitopes within 14â€“35 aa vaccine peptides</t>
  </si>
  <si>
    <t>IFN-Î³ ELISpot; intracellular cytokine staining; CD107a assay; MHC-I tetramer staining; cytokine multiplex assay; TCR cloning; cytotoxicity assay</t>
  </si>
  <si>
    <t>NetMHCpan percent rank &lt;2%; HLA-I presentation score incorporating binding affinity, allele-specific expression and proteasomal cleavage ; 8â€“11-mer predicted epitopes within 14â€“35 aa vaccine peptides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</si>
</sst>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
    <numFmt numFmtId="165" formatCode="d-mmm"/>
    <numFmt numFmtId="166" formatCode="mmmm yyyy"/>
    <numFmt numFmtId="167" formatCode="yyyy-m"/>
    <numFmt numFmtId="168" formatCode="mmm yyyy"/>
  </numFmts>
  <fonts count="60">
    <font>
      <sz val="10.0"/>
      <color rgb="FF000000"/>
      <name val="Arial"/>
      <scheme val="minor"/>
    </font>
    <font>
      <b/>
      <sz val="12.0"/>
      <color rgb="FF000000"/>
      <name val="&quot;Aptos Narrow&quot;"/>
    </font>
    <font>
      <b/>
      <sz val="12.0"/>
      <color rgb="FF000000"/>
      <name val="Arial"/>
    </font>
    <font>
      <b/>
      <sz val="12.0"/>
      <color theme="1"/>
      <name val="Arial"/>
      <scheme val="minor"/>
    </font>
    <font>
      <sz val="11.0"/>
      <color rgb="FF000000"/>
      <name val="&quot;Aptos Narrow&quot;"/>
    </font>
    <font>
      <sz val="11.0"/>
      <color rgb="FF000000"/>
      <name val="Arial"/>
    </font>
    <font>
      <u/>
      <sz val="11.0"/>
      <color rgb="FF000000"/>
      <name val="&quot;Aptos Narrow&quot;"/>
    </font>
    <font>
      <color theme="1"/>
      <name val="Arial"/>
      <scheme val="minor"/>
    </font>
    <font>
      <u/>
      <sz val="11.0"/>
      <color rgb="FF0000FF"/>
      <name val="&quot;Aptos Narrow&quot;"/>
    </font>
    <font>
      <u/>
      <sz val="11.0"/>
      <color rgb="FF000000"/>
      <name val="Arial"/>
    </font>
    <font>
      <u/>
      <sz val="11.0"/>
      <color rgb="FF000000"/>
      <name val="&quot;Aptos Narrow&quot;"/>
    </font>
    <font>
      <u/>
      <sz val="11.0"/>
      <color rgb="FF000000"/>
      <name val="Arial"/>
    </font>
    <font>
      <b/>
      <color theme="1"/>
      <name val="Arial"/>
      <scheme val="minor"/>
    </font>
    <font>
      <b/>
      <sz val="11.0"/>
      <color theme="1"/>
      <name val="Arial"/>
      <scheme val="minor"/>
    </font>
    <font>
      <color rgb="FF2E2E2E"/>
      <name val="Arial"/>
    </font>
    <font>
      <u/>
      <sz val="11.0"/>
      <color rgb="FF000000"/>
      <name val="&quot;Aptos Narrow&quot;"/>
    </font>
    <font>
      <sz val="11.0"/>
      <color theme="1"/>
      <name val="Arial"/>
      <scheme val="minor"/>
    </font>
    <font>
      <u/>
      <sz val="11.0"/>
      <color rgb="FF000000"/>
      <name val="Arial"/>
    </font>
    <font>
      <sz val="12.0"/>
      <color rgb="FF2E2E2E"/>
      <name val="Arial"/>
    </font>
    <font>
      <u/>
      <sz val="11.0"/>
      <color rgb="FF0000FF"/>
    </font>
    <font>
      <i/>
      <sz val="11.0"/>
      <color theme="1"/>
      <name val="Arial"/>
      <scheme val="minor"/>
    </font>
    <font>
      <u/>
      <sz val="11.0"/>
      <color rgb="FF000000"/>
      <name val="Arial"/>
    </font>
    <font>
      <u/>
      <sz val="11.0"/>
      <color rgb="FF0000FF"/>
      <name val="&quot;Aptos Narrow&quot;"/>
    </font>
    <font>
      <sz val="12.0"/>
      <color rgb="FF2E2E2E"/>
      <name val="Helvetica"/>
    </font>
    <font>
      <u/>
      <sz val="11.0"/>
      <color rgb="FF000000"/>
      <name val="&quot;Aptos Narrow&quot;"/>
    </font>
    <font>
      <sz val="12.0"/>
      <color rgb="FF2E2E2E"/>
      <name val="&quot;Elsevier Sans&quot;"/>
    </font>
    <font>
      <u/>
      <sz val="12.0"/>
      <color rgb="FF2E2E2E"/>
      <name val="&quot;Elsevier Sans&quot;"/>
    </font>
    <font>
      <b/>
      <sz val="12.0"/>
      <color rgb="FF2E2E2E"/>
      <name val="Arial"/>
    </font>
    <font>
      <u/>
      <sz val="11.0"/>
      <color rgb="FF000000"/>
      <name val="Arial"/>
    </font>
    <font>
      <sz val="14.0"/>
      <color rgb="FF222222"/>
      <name val="Arial"/>
    </font>
    <font>
      <sz val="12.0"/>
      <color rgb="FF000000"/>
      <name val="Arial"/>
    </font>
    <font>
      <sz val="12.0"/>
      <color rgb="FF000000"/>
      <name val="ThinSpaceFallback"/>
    </font>
    <font>
      <sz val="14.0"/>
      <color rgb="FF222222"/>
      <name val="Harding"/>
    </font>
    <font>
      <sz val="14.0"/>
      <color rgb="FF1B1B1B"/>
      <name val="Cambria"/>
    </font>
    <font>
      <sz val="11.0"/>
      <color rgb="FFFFFFFF"/>
      <name val="Cambria"/>
    </font>
    <font>
      <color rgb="FFFFFFFF"/>
      <name val="Cambria"/>
    </font>
    <font>
      <b/>
      <sz val="10.0"/>
      <color theme="1"/>
      <name val="Cambria"/>
    </font>
    <font>
      <sz val="11.0"/>
      <color theme="1"/>
      <name val="Cambria"/>
    </font>
    <font>
      <u/>
      <sz val="11.0"/>
      <color rgb="FF1155CC"/>
      <name val="Cambria"/>
    </font>
    <font>
      <u/>
      <sz val="11.0"/>
      <color rgb="FF0000FF"/>
      <name val="Cambria"/>
    </font>
    <font>
      <sz val="10.0"/>
      <color theme="1"/>
      <name val="Cambria"/>
    </font>
    <font>
      <i/>
      <sz val="10.0"/>
      <color theme="1"/>
      <name val="Cambria"/>
    </font>
    <font>
      <u/>
      <sz val="11.0"/>
      <color rgb="FF1155CC"/>
      <name val="Cambria"/>
    </font>
    <font>
      <u/>
      <sz val="10.0"/>
      <color rgb="FF2E2E2E"/>
      <name val="Cambria"/>
    </font>
    <font>
      <sz val="10.0"/>
      <color rgb="FF2E2E2E"/>
      <name val="Cambria"/>
    </font>
    <font>
      <b/>
      <sz val="10.0"/>
      <color rgb="FF2E2E2E"/>
      <name val="Cambria"/>
    </font>
    <font>
      <color theme="1"/>
      <name val="Arial"/>
    </font>
    <font>
      <sz val="10.0"/>
      <color rgb="FF222222"/>
      <name val="Cambria"/>
    </font>
    <font>
      <sz val="10.0"/>
      <color rgb="FF1B1B1B"/>
      <name val="Cambria"/>
    </font>
    <font>
      <color theme="1"/>
      <name val="Cambria"/>
    </font>
    <font>
      <sz val="10.0"/>
      <color theme="1"/>
      <name val="Arial"/>
      <scheme val="minor"/>
    </font>
    <font>
      <u/>
      <sz val="11.0"/>
      <color rgb="FF1155CC"/>
      <name val="Cambria"/>
    </font>
    <font>
      <u/>
      <sz val="11.0"/>
      <color rgb="FF000000"/>
      <name val="&quot;Aptos Narrow&quot;"/>
    </font>
    <font>
      <u/>
      <sz val="11.0"/>
      <color rgb="FF000000"/>
      <name val="&quot;Aptos Narrow&quot;"/>
    </font>
    <font>
      <u/>
      <sz val="11.0"/>
      <color rgb="FF000000"/>
      <name val="&quot;Aptos Narrow&quot;"/>
    </font>
    <font>
      <u/>
      <sz val="11.0"/>
      <color rgb="FF000000"/>
      <name val="&quot;Aptos Narrow&quot;"/>
    </font>
    <font>
      <sz val="11.0"/>
      <color rgb="FFFFFFFF"/>
      <name val="&quot;Aptos Narrow&quot;"/>
    </font>
    <font>
      <u/>
      <sz val="11.0"/>
      <color rgb="FF000000"/>
      <name val="&quot;Aptos Narrow&quot;"/>
    </font>
    <font>
      <u/>
      <sz val="11.0"/>
      <color rgb="FF000000"/>
      <name val="&quot;Aptos Narrow&quot;"/>
    </font>
    <font>
      <b/>
      <sz val="11.0"/>
      <color theme="0"/>
      <name val="&quot;Aptos Narrow&quot;"/>
    </font>
  </fonts>
  <fills count="18">
    <fill>
      <patternFill patternType="none"/>
    </fill>
    <fill>
      <patternFill patternType="lightGray"/>
    </fill>
    <fill>
      <patternFill patternType="solid">
        <fgColor rgb="FFE6B8AF"/>
        <bgColor rgb="FFE6B8AF"/>
      </patternFill>
    </fill>
    <fill>
      <patternFill patternType="solid">
        <fgColor rgb="FF6AA84F"/>
        <bgColor rgb="FF6AA84F"/>
      </patternFill>
    </fill>
    <fill>
      <patternFill patternType="solid">
        <fgColor rgb="FFFFE599"/>
        <bgColor rgb="FFFFE599"/>
      </patternFill>
    </fill>
    <fill>
      <patternFill patternType="solid">
        <fgColor rgb="FFEA9999"/>
        <bgColor rgb="FFEA9999"/>
      </patternFill>
    </fill>
    <fill>
      <patternFill patternType="solid">
        <fgColor rgb="FFFFFFFF"/>
        <bgColor rgb="FFFFFFFF"/>
      </patternFill>
    </fill>
    <fill>
      <patternFill patternType="solid">
        <fgColor rgb="FFFF00FF"/>
        <bgColor rgb="FFFF00FF"/>
      </patternFill>
    </fill>
    <fill>
      <patternFill patternType="solid">
        <fgColor theme="7"/>
        <bgColor theme="7"/>
      </patternFill>
    </fill>
    <fill>
      <patternFill patternType="solid">
        <fgColor rgb="FF1F4E78"/>
        <bgColor rgb="FF1F4E78"/>
      </patternFill>
    </fill>
    <fill>
      <patternFill patternType="solid">
        <fgColor rgb="FFC0E6F5"/>
        <bgColor rgb="FFC0E6F5"/>
      </patternFill>
    </fill>
    <fill>
      <patternFill patternType="solid">
        <fgColor rgb="FF38761D"/>
        <bgColor rgb="FF38761D"/>
      </patternFill>
    </fill>
    <fill>
      <patternFill patternType="solid">
        <fgColor rgb="FFFF0000"/>
        <bgColor rgb="FFFF0000"/>
      </patternFill>
    </fill>
    <fill>
      <patternFill patternType="solid">
        <fgColor rgb="FF674EA7"/>
        <bgColor rgb="FF674EA7"/>
      </patternFill>
    </fill>
    <fill>
      <patternFill patternType="solid">
        <fgColor theme="5"/>
        <bgColor theme="5"/>
      </patternFill>
    </fill>
    <fill>
      <patternFill patternType="solid">
        <fgColor rgb="FFC9DAF8"/>
        <bgColor rgb="FFC9DAF8"/>
      </patternFill>
    </fill>
    <fill>
      <patternFill patternType="solid">
        <fgColor theme="1"/>
        <bgColor theme="1"/>
      </patternFill>
    </fill>
    <fill>
      <patternFill patternType="solid">
        <fgColor rgb="FF1155CC"/>
        <bgColor rgb="FF1155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readingOrder="0" vertical="bottom"/>
    </xf>
    <xf borderId="0" fillId="0" fontId="2" numFmtId="0" xfId="0" applyAlignment="1" applyFont="1">
      <alignment readingOrder="0" shrinkToFit="0" vertical="bottom" wrapText="0"/>
    </xf>
    <xf borderId="0" fillId="0" fontId="3" numFmtId="0" xfId="0" applyAlignment="1" applyFont="1">
      <alignment readingOrder="0"/>
    </xf>
    <xf borderId="0" fillId="0" fontId="3" numFmtId="0" xfId="0" applyFont="1"/>
    <xf borderId="0" fillId="2" fontId="4" numFmtId="0" xfId="0" applyAlignment="1" applyFill="1" applyFont="1">
      <alignment horizontal="right" readingOrder="0" shrinkToFit="0" vertical="bottom" wrapText="0"/>
    </xf>
    <xf borderId="0" fillId="2" fontId="4" numFmtId="0" xfId="0" applyAlignment="1" applyFont="1">
      <alignment readingOrder="0" shrinkToFit="0" vertical="bottom" wrapText="1"/>
    </xf>
    <xf borderId="0" fillId="2" fontId="5" numFmtId="0" xfId="0" applyAlignment="1" applyFont="1">
      <alignment readingOrder="0" shrinkToFit="0" vertical="bottom" wrapText="0"/>
    </xf>
    <xf borderId="0" fillId="2" fontId="4" numFmtId="0" xfId="0" applyAlignment="1" applyFont="1">
      <alignment readingOrder="0" vertical="bottom"/>
    </xf>
    <xf borderId="0" fillId="2" fontId="6" numFmtId="0" xfId="0" applyAlignment="1" applyFont="1">
      <alignment readingOrder="0" shrinkToFit="0" vertical="bottom" wrapText="0"/>
    </xf>
    <xf borderId="0" fillId="2" fontId="4" numFmtId="0" xfId="0" applyAlignment="1" applyFont="1">
      <alignment readingOrder="0" shrinkToFit="0" vertical="bottom" wrapText="0"/>
    </xf>
    <xf borderId="0" fillId="2" fontId="7" numFmtId="0" xfId="0" applyAlignment="1" applyFont="1">
      <alignment readingOrder="0"/>
    </xf>
    <xf borderId="0" fillId="2" fontId="7" numFmtId="0" xfId="0" applyFont="1"/>
    <xf borderId="0" fillId="2" fontId="8" numFmtId="0" xfId="0" applyAlignment="1" applyFont="1">
      <alignment readingOrder="0" shrinkToFit="0" vertical="bottom" wrapText="0"/>
    </xf>
    <xf borderId="0" fillId="2" fontId="9" numFmtId="0" xfId="0" applyAlignment="1" applyFont="1">
      <alignment readingOrder="0" shrinkToFit="0" vertical="bottom" wrapText="0"/>
    </xf>
    <xf borderId="0" fillId="3" fontId="10" numFmtId="0" xfId="0" applyAlignment="1" applyFill="1" applyFont="1">
      <alignment readingOrder="0" shrinkToFit="0" vertical="bottom" wrapText="0"/>
    </xf>
    <xf borderId="0" fillId="3" fontId="4" numFmtId="0" xfId="0" applyAlignment="1" applyFont="1">
      <alignment readingOrder="0" shrinkToFit="0" vertical="bottom" wrapText="0"/>
    </xf>
    <xf borderId="0" fillId="3" fontId="5" numFmtId="0" xfId="0" applyAlignment="1" applyFont="1">
      <alignment readingOrder="0" shrinkToFit="0" vertical="bottom" wrapText="0"/>
    </xf>
    <xf borderId="0" fillId="3" fontId="7" numFmtId="0" xfId="0" applyAlignment="1" applyFont="1">
      <alignment readingOrder="0"/>
    </xf>
    <xf borderId="0" fillId="3" fontId="7" numFmtId="0" xfId="0" applyFont="1"/>
    <xf borderId="0" fillId="3" fontId="11" numFmtId="0" xfId="0" applyAlignment="1" applyFont="1">
      <alignment readingOrder="0" shrinkToFit="0" vertical="bottom" wrapText="0"/>
    </xf>
    <xf borderId="0" fillId="4" fontId="4" numFmtId="0" xfId="0" applyAlignment="1" applyFill="1" applyFont="1">
      <alignment horizontal="right" readingOrder="0" shrinkToFit="0" vertical="bottom" wrapText="0"/>
    </xf>
    <xf borderId="0" fillId="4" fontId="4" numFmtId="0" xfId="0" applyAlignment="1" applyFont="1">
      <alignment readingOrder="0" shrinkToFit="0" vertical="bottom" wrapText="1"/>
    </xf>
    <xf borderId="0" fillId="4" fontId="5" numFmtId="0" xfId="0" applyAlignment="1" applyFont="1">
      <alignment readingOrder="0" shrinkToFit="0" vertical="bottom" wrapText="0"/>
    </xf>
    <xf borderId="0" fillId="4" fontId="4" numFmtId="0" xfId="0" applyAlignment="1" applyFont="1">
      <alignment readingOrder="0" vertical="bottom"/>
    </xf>
    <xf borderId="0" fillId="4" fontId="4" numFmtId="0" xfId="0" applyAlignment="1" applyFont="1">
      <alignment shrinkToFit="0" vertical="bottom" wrapText="0"/>
    </xf>
    <xf borderId="0" fillId="4" fontId="4" numFmtId="0" xfId="0" applyAlignment="1" applyFont="1">
      <alignment readingOrder="0" shrinkToFit="0" vertical="bottom" wrapText="0"/>
    </xf>
    <xf borderId="0" fillId="4" fontId="7" numFmtId="0" xfId="0" applyAlignment="1" applyFont="1">
      <alignment readingOrder="0"/>
    </xf>
    <xf borderId="0" fillId="4" fontId="7" numFmtId="0" xfId="0" applyFont="1"/>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1"/>
    </xf>
    <xf borderId="0" fillId="5" fontId="4" numFmtId="0" xfId="0" applyAlignment="1" applyFill="1" applyFont="1">
      <alignment readingOrder="0" shrinkToFit="0" vertical="bottom" wrapText="0"/>
    </xf>
    <xf borderId="0" fillId="5" fontId="4" numFmtId="0" xfId="0" applyAlignment="1" applyFont="1">
      <alignment readingOrder="0" vertical="bottom"/>
    </xf>
    <xf borderId="0" fillId="5" fontId="5" numFmtId="0" xfId="0" applyAlignment="1" applyFont="1">
      <alignment readingOrder="0" shrinkToFit="0" vertical="bottom" wrapText="0"/>
    </xf>
    <xf borderId="0" fillId="5" fontId="7" numFmtId="0" xfId="0" applyAlignment="1" applyFont="1">
      <alignment readingOrder="0"/>
    </xf>
    <xf borderId="0" fillId="5" fontId="7" numFmtId="0" xfId="0" applyFont="1"/>
    <xf borderId="0" fillId="5" fontId="4" numFmtId="0" xfId="0" applyAlignment="1" applyFont="1">
      <alignment shrinkToFit="0" vertical="bottom" wrapText="0"/>
    </xf>
    <xf borderId="0" fillId="0" fontId="7" numFmtId="0" xfId="0" applyAlignment="1" applyFont="1">
      <alignment shrinkToFit="0" wrapText="1"/>
    </xf>
    <xf borderId="0" fillId="0" fontId="7" numFmtId="0" xfId="0" applyFont="1"/>
    <xf borderId="0" fillId="0" fontId="12" numFmtId="0" xfId="0" applyAlignment="1" applyFont="1">
      <alignment readingOrder="0"/>
    </xf>
    <xf borderId="0" fillId="0" fontId="12" numFmtId="0" xfId="0" applyAlignment="1" applyFont="1">
      <alignment shrinkToFit="0" wrapText="1"/>
    </xf>
    <xf borderId="0" fillId="0" fontId="7" numFmtId="0" xfId="0" applyAlignment="1" applyFont="1">
      <alignment readingOrder="0"/>
    </xf>
    <xf borderId="0" fillId="2" fontId="1" numFmtId="0" xfId="0" applyAlignment="1" applyFont="1">
      <alignment readingOrder="0" shrinkToFit="0" vertical="bottom" wrapText="0"/>
    </xf>
    <xf borderId="0" fillId="2" fontId="1" numFmtId="0" xfId="0" applyAlignment="1" applyFont="1">
      <alignment readingOrder="0" shrinkToFit="0" vertical="bottom" wrapText="1"/>
    </xf>
    <xf borderId="0" fillId="2" fontId="2" numFmtId="0" xfId="0" applyAlignment="1" applyFont="1">
      <alignment readingOrder="0" shrinkToFit="0" vertical="bottom" wrapText="0"/>
    </xf>
    <xf borderId="0" fillId="2" fontId="3" numFmtId="0" xfId="0" applyAlignment="1" applyFont="1">
      <alignment readingOrder="0" shrinkToFit="0" wrapText="1"/>
    </xf>
    <xf borderId="0" fillId="2" fontId="13" numFmtId="0" xfId="0" applyAlignment="1" applyFont="1">
      <alignment readingOrder="0"/>
    </xf>
    <xf borderId="0" fillId="2" fontId="13" numFmtId="0" xfId="0" applyAlignment="1" applyFont="1">
      <alignment readingOrder="0" shrinkToFit="0" wrapText="1"/>
    </xf>
    <xf borderId="0" fillId="6" fontId="14" numFmtId="0" xfId="0" applyAlignment="1" applyFill="1" applyFont="1">
      <alignment readingOrder="0"/>
    </xf>
    <xf borderId="0" fillId="2" fontId="3" numFmtId="0" xfId="0" applyAlignment="1" applyFont="1">
      <alignment readingOrder="0"/>
    </xf>
    <xf borderId="0" fillId="7" fontId="4" numFmtId="0" xfId="0" applyAlignment="1" applyFill="1" applyFont="1">
      <alignment horizontal="right" readingOrder="0" shrinkToFit="0" vertical="bottom" wrapText="0"/>
    </xf>
    <xf borderId="0" fillId="7" fontId="5" numFmtId="0" xfId="0" applyAlignment="1" applyFont="1">
      <alignment readingOrder="0" shrinkToFit="0" vertical="bottom" wrapText="1"/>
    </xf>
    <xf borderId="0" fillId="7" fontId="4" numFmtId="0" xfId="0" applyAlignment="1" applyFont="1">
      <alignment readingOrder="0" shrinkToFit="0" vertical="bottom" wrapText="1"/>
    </xf>
    <xf borderId="0" fillId="7" fontId="15" numFmtId="0" xfId="0" applyAlignment="1" applyFont="1">
      <alignment readingOrder="0" shrinkToFit="0" vertical="bottom" wrapText="1"/>
    </xf>
    <xf borderId="0" fillId="7" fontId="5" numFmtId="0" xfId="0" applyAlignment="1" applyFont="1">
      <alignment readingOrder="0" shrinkToFit="0" vertical="bottom" wrapText="0"/>
    </xf>
    <xf borderId="0" fillId="7" fontId="4" numFmtId="0" xfId="0" applyAlignment="1" applyFont="1">
      <alignment readingOrder="0" shrinkToFit="0" vertical="bottom" wrapText="0"/>
    </xf>
    <xf borderId="0" fillId="7" fontId="7" numFmtId="0" xfId="0" applyAlignment="1" applyFont="1">
      <alignment readingOrder="0" shrinkToFit="0" wrapText="1"/>
    </xf>
    <xf borderId="0" fillId="7" fontId="16" numFmtId="0" xfId="0" applyAlignment="1" applyFont="1">
      <alignment readingOrder="0"/>
    </xf>
    <xf borderId="0" fillId="7" fontId="16" numFmtId="0" xfId="0" applyAlignment="1" applyFont="1">
      <alignment readingOrder="0" shrinkToFit="0" wrapText="1"/>
    </xf>
    <xf borderId="0" fillId="7" fontId="16" numFmtId="0" xfId="0" applyAlignment="1" applyFont="1">
      <alignment readingOrder="0" shrinkToFit="0" wrapText="1"/>
    </xf>
    <xf borderId="0" fillId="7" fontId="7" numFmtId="0" xfId="0" applyAlignment="1" applyFont="1">
      <alignment shrinkToFit="0" wrapText="1"/>
    </xf>
    <xf borderId="0" fillId="7" fontId="7" numFmtId="0" xfId="0" applyFont="1"/>
    <xf borderId="0" fillId="3" fontId="4" numFmtId="0" xfId="0" applyAlignment="1" applyFont="1">
      <alignment horizontal="right" readingOrder="0" shrinkToFit="0" vertical="bottom" wrapText="0"/>
    </xf>
    <xf borderId="0" fillId="3" fontId="4" numFmtId="0" xfId="0" applyAlignment="1" applyFont="1">
      <alignment readingOrder="0" shrinkToFit="0" vertical="bottom" wrapText="1"/>
    </xf>
    <xf borderId="0" fillId="3" fontId="17" numFmtId="0" xfId="0" applyAlignment="1" applyFont="1">
      <alignment readingOrder="0" shrinkToFit="0" vertical="bottom" wrapText="1"/>
    </xf>
    <xf borderId="0" fillId="3" fontId="7" numFmtId="0" xfId="0" applyAlignment="1" applyFont="1">
      <alignment readingOrder="0" shrinkToFit="0" wrapText="1"/>
    </xf>
    <xf borderId="0" fillId="3" fontId="16" numFmtId="0" xfId="0" applyAlignment="1" applyFont="1">
      <alignment readingOrder="0"/>
    </xf>
    <xf borderId="0" fillId="3" fontId="16" numFmtId="0" xfId="0" applyAlignment="1" applyFont="1">
      <alignment readingOrder="0"/>
    </xf>
    <xf borderId="0" fillId="3" fontId="16" numFmtId="0" xfId="0" applyAlignment="1" applyFont="1">
      <alignment readingOrder="0" shrinkToFit="0" wrapText="1"/>
    </xf>
    <xf borderId="0" fillId="3" fontId="16" numFmtId="0" xfId="0" applyAlignment="1" applyFont="1">
      <alignment readingOrder="0" shrinkToFit="0" wrapText="1"/>
    </xf>
    <xf borderId="0" fillId="3" fontId="7" numFmtId="0" xfId="0" applyAlignment="1" applyFont="1">
      <alignment shrinkToFit="0" wrapText="1"/>
    </xf>
    <xf borderId="0" fillId="3" fontId="18" numFmtId="0" xfId="0" applyAlignment="1" applyFont="1">
      <alignment readingOrder="0"/>
    </xf>
    <xf borderId="0" fillId="3" fontId="19" numFmtId="0" xfId="0" applyAlignment="1" applyFont="1">
      <alignment readingOrder="0" shrinkToFit="0" wrapText="1"/>
    </xf>
    <xf borderId="0" fillId="3" fontId="16" numFmtId="0" xfId="0" applyAlignment="1" applyFont="1">
      <alignment readingOrder="0" shrinkToFit="0" wrapText="1"/>
    </xf>
    <xf borderId="0" fillId="3" fontId="20" numFmtId="0" xfId="0" applyAlignment="1" applyFont="1">
      <alignment readingOrder="0"/>
    </xf>
    <xf borderId="0" fillId="7" fontId="21" numFmtId="0" xfId="0" applyAlignment="1" applyFont="1">
      <alignment readingOrder="0" shrinkToFit="0" vertical="bottom" wrapText="1"/>
    </xf>
    <xf borderId="0" fillId="7" fontId="16" numFmtId="0" xfId="0" applyAlignment="1" applyFont="1">
      <alignment readingOrder="0"/>
    </xf>
    <xf borderId="0" fillId="7" fontId="16" numFmtId="0" xfId="0" applyAlignment="1" applyFont="1">
      <alignment shrinkToFit="0" wrapText="1"/>
    </xf>
    <xf borderId="0" fillId="3" fontId="5" numFmtId="0" xfId="0" applyAlignment="1" applyFont="1">
      <alignment readingOrder="0" shrinkToFit="0" vertical="bottom" wrapText="1"/>
    </xf>
    <xf borderId="0" fillId="3" fontId="22" numFmtId="0" xfId="0" applyAlignment="1" applyFont="1">
      <alignment readingOrder="0" shrinkToFit="0" vertical="bottom" wrapText="1"/>
    </xf>
    <xf borderId="0" fillId="7" fontId="7" numFmtId="0" xfId="0" applyAlignment="1" applyFont="1">
      <alignment readingOrder="0"/>
    </xf>
    <xf borderId="0" fillId="7" fontId="23" numFmtId="0" xfId="0" applyAlignment="1" applyFont="1">
      <alignment readingOrder="0" shrinkToFit="0" wrapText="1"/>
    </xf>
    <xf borderId="0" fillId="7" fontId="23" numFmtId="0" xfId="0" applyAlignment="1" applyFont="1">
      <alignment readingOrder="0"/>
    </xf>
    <xf borderId="0" fillId="7" fontId="18" numFmtId="0" xfId="0" applyAlignment="1" applyFont="1">
      <alignment readingOrder="0"/>
    </xf>
    <xf borderId="0" fillId="7" fontId="18" numFmtId="0" xfId="0" applyAlignment="1" applyFont="1">
      <alignment readingOrder="0" shrinkToFit="0" wrapText="1"/>
    </xf>
    <xf borderId="0" fillId="8" fontId="4" numFmtId="0" xfId="0" applyAlignment="1" applyFill="1" applyFont="1">
      <alignment horizontal="right" readingOrder="0" shrinkToFit="0" vertical="bottom" wrapText="0"/>
    </xf>
    <xf borderId="0" fillId="8" fontId="5" numFmtId="0" xfId="0" applyAlignment="1" applyFont="1">
      <alignment readingOrder="0" shrinkToFit="0" vertical="bottom" wrapText="1"/>
    </xf>
    <xf borderId="0" fillId="8" fontId="4" numFmtId="0" xfId="0" applyAlignment="1" applyFont="1">
      <alignment readingOrder="0" shrinkToFit="0" vertical="bottom" wrapText="1"/>
    </xf>
    <xf borderId="0" fillId="8" fontId="24" numFmtId="0" xfId="0" applyAlignment="1" applyFont="1">
      <alignment readingOrder="0" shrinkToFit="0" vertical="bottom" wrapText="1"/>
    </xf>
    <xf borderId="0" fillId="8" fontId="4" numFmtId="0" xfId="0" applyAlignment="1" applyFont="1">
      <alignment readingOrder="0" shrinkToFit="0" vertical="bottom" wrapText="0"/>
    </xf>
    <xf borderId="0" fillId="8" fontId="5" numFmtId="0" xfId="0" applyAlignment="1" applyFont="1">
      <alignment readingOrder="0" shrinkToFit="0" vertical="bottom" wrapText="0"/>
    </xf>
    <xf borderId="0" fillId="8" fontId="7" numFmtId="0" xfId="0" applyAlignment="1" applyFont="1">
      <alignment readingOrder="0" shrinkToFit="0" wrapText="1"/>
    </xf>
    <xf borderId="0" fillId="8" fontId="16" numFmtId="0" xfId="0" applyAlignment="1" applyFont="1">
      <alignment readingOrder="0"/>
    </xf>
    <xf borderId="0" fillId="8" fontId="16" numFmtId="0" xfId="0" applyAlignment="1" applyFont="1">
      <alignment readingOrder="0"/>
    </xf>
    <xf borderId="0" fillId="8" fontId="16" numFmtId="0" xfId="0" applyAlignment="1" applyFont="1">
      <alignment readingOrder="0" shrinkToFit="0" wrapText="1"/>
    </xf>
    <xf borderId="0" fillId="8" fontId="16" numFmtId="0" xfId="0" applyAlignment="1" applyFont="1">
      <alignment readingOrder="0" shrinkToFit="0" wrapText="1"/>
    </xf>
    <xf borderId="0" fillId="8" fontId="16" numFmtId="0" xfId="0" applyAlignment="1" applyFont="1">
      <alignment shrinkToFit="0" wrapText="1"/>
    </xf>
    <xf borderId="0" fillId="8" fontId="7" numFmtId="0" xfId="0" applyAlignment="1" applyFont="1">
      <alignment shrinkToFit="0" wrapText="1"/>
    </xf>
    <xf borderId="0" fillId="8" fontId="25" numFmtId="0" xfId="0" applyAlignment="1" applyFont="1">
      <alignment readingOrder="0"/>
    </xf>
    <xf borderId="0" fillId="8" fontId="7" numFmtId="0" xfId="0" applyFont="1"/>
    <xf borderId="0" fillId="8" fontId="26" numFmtId="0" xfId="0" applyAlignment="1" applyFont="1">
      <alignment readingOrder="0" shrinkToFit="0" wrapText="1"/>
    </xf>
    <xf borderId="0" fillId="8" fontId="25" numFmtId="0" xfId="0" applyAlignment="1" applyFont="1">
      <alignment readingOrder="0" shrinkToFit="0" wrapText="1"/>
    </xf>
    <xf borderId="0" fillId="8" fontId="7" numFmtId="0" xfId="0" applyAlignment="1" applyFont="1">
      <alignment readingOrder="0"/>
    </xf>
    <xf borderId="0" fillId="8" fontId="27" numFmtId="0" xfId="0" applyAlignment="1" applyFont="1">
      <alignment readingOrder="0" shrinkToFit="0" wrapText="1"/>
    </xf>
    <xf borderId="0" fillId="8" fontId="16" numFmtId="0" xfId="0" applyFont="1"/>
    <xf borderId="0" fillId="7" fontId="16" numFmtId="0" xfId="0" applyFont="1"/>
    <xf borderId="0" fillId="8" fontId="18" numFmtId="0" xfId="0" applyAlignment="1" applyFont="1">
      <alignment readingOrder="0"/>
    </xf>
    <xf borderId="0" fillId="8" fontId="28" numFmtId="0" xfId="0" applyAlignment="1" applyFont="1">
      <alignment readingOrder="0" shrinkToFit="0" vertical="bottom" wrapText="1"/>
    </xf>
    <xf borderId="0" fillId="8" fontId="29" numFmtId="0" xfId="0" applyAlignment="1" applyFont="1">
      <alignment readingOrder="0" shrinkToFit="0" wrapText="1"/>
    </xf>
    <xf borderId="0" fillId="8" fontId="30" numFmtId="0" xfId="0" applyAlignment="1" applyFont="1">
      <alignment readingOrder="0"/>
    </xf>
    <xf borderId="0" fillId="8" fontId="31" numFmtId="0" xfId="0" applyAlignment="1" applyFont="1">
      <alignment readingOrder="0"/>
    </xf>
    <xf borderId="0" fillId="6" fontId="31" numFmtId="0" xfId="0" applyAlignment="1" applyFont="1">
      <alignment readingOrder="0" shrinkToFit="0" wrapText="1"/>
    </xf>
    <xf borderId="0" fillId="8" fontId="16" numFmtId="164" xfId="0" applyAlignment="1" applyFont="1" applyNumberFormat="1">
      <alignment readingOrder="0" shrinkToFit="0" wrapText="1"/>
    </xf>
    <xf borderId="0" fillId="8" fontId="29" numFmtId="0" xfId="0" applyAlignment="1" applyFont="1">
      <alignment readingOrder="0"/>
    </xf>
    <xf borderId="0" fillId="8" fontId="32" numFmtId="0" xfId="0" applyAlignment="1" applyFont="1">
      <alignment readingOrder="0"/>
    </xf>
    <xf borderId="0" fillId="8" fontId="33" numFmtId="0" xfId="0" applyAlignment="1" applyFont="1">
      <alignment readingOrder="0"/>
    </xf>
    <xf borderId="0" fillId="8" fontId="33" numFmtId="0" xfId="0" applyAlignment="1" applyFont="1">
      <alignment readingOrder="0" shrinkToFit="0" wrapText="1"/>
    </xf>
    <xf borderId="0" fillId="7" fontId="33" numFmtId="0" xfId="0" applyAlignment="1" applyFont="1">
      <alignment readingOrder="0" shrinkToFit="0" wrapText="1"/>
    </xf>
    <xf borderId="0" fillId="6" fontId="7" numFmtId="0" xfId="0" applyFont="1"/>
    <xf borderId="0" fillId="6" fontId="7" numFmtId="0" xfId="0" applyAlignment="1" applyFont="1">
      <alignment shrinkToFit="0" wrapText="1"/>
    </xf>
    <xf borderId="1" fillId="9" fontId="34" numFmtId="0" xfId="0" applyAlignment="1" applyBorder="1" applyFill="1" applyFont="1">
      <alignment horizontal="center" vertical="top"/>
    </xf>
    <xf borderId="1" fillId="9" fontId="35" numFmtId="0" xfId="0" applyAlignment="1" applyBorder="1" applyFont="1">
      <alignment vertical="top"/>
    </xf>
    <xf borderId="1" fillId="9" fontId="34" numFmtId="0" xfId="0" applyAlignment="1" applyBorder="1" applyFont="1">
      <alignment horizontal="center" shrinkToFit="0" vertical="top" wrapText="1"/>
    </xf>
    <xf borderId="1" fillId="8" fontId="36" numFmtId="0" xfId="0" applyAlignment="1" applyBorder="1" applyFont="1">
      <alignment readingOrder="0" shrinkToFit="0" wrapText="1"/>
    </xf>
    <xf borderId="1" fillId="8" fontId="36" numFmtId="0" xfId="0" applyAlignment="1" applyBorder="1" applyFont="1">
      <alignment readingOrder="0"/>
    </xf>
    <xf borderId="1" fillId="10" fontId="37" numFmtId="0" xfId="0" applyAlignment="1" applyBorder="1" applyFill="1" applyFont="1">
      <alignment vertical="top"/>
    </xf>
    <xf borderId="1" fillId="10" fontId="37" numFmtId="0" xfId="0" applyAlignment="1" applyBorder="1" applyFont="1">
      <alignment vertical="bottom"/>
    </xf>
    <xf borderId="1" fillId="10" fontId="37" numFmtId="0" xfId="0" applyAlignment="1" applyBorder="1" applyFont="1">
      <alignment horizontal="right" vertical="top"/>
    </xf>
    <xf borderId="1" fillId="10" fontId="37" numFmtId="0" xfId="0" applyAlignment="1" applyBorder="1" applyFont="1">
      <alignment shrinkToFit="0" vertical="top" wrapText="1"/>
    </xf>
    <xf borderId="1" fillId="10" fontId="38" numFmtId="0" xfId="0" applyAlignment="1" applyBorder="1" applyFont="1">
      <alignment shrinkToFit="0" vertical="top" wrapText="1"/>
    </xf>
    <xf borderId="1" fillId="10" fontId="37" numFmtId="0" xfId="0" applyAlignment="1" applyBorder="1" applyFont="1">
      <alignment vertical="top"/>
    </xf>
    <xf borderId="1" fillId="10" fontId="39" numFmtId="0" xfId="0" applyAlignment="1" applyBorder="1" applyFont="1">
      <alignment vertical="top"/>
    </xf>
    <xf borderId="1" fillId="10" fontId="37" numFmtId="0" xfId="0" applyAlignment="1" applyBorder="1" applyFont="1">
      <alignment shrinkToFit="0" vertical="top" wrapText="1"/>
    </xf>
    <xf borderId="1" fillId="8" fontId="40" numFmtId="0" xfId="0" applyAlignment="1" applyBorder="1" applyFont="1">
      <alignment readingOrder="0" shrinkToFit="0" wrapText="1"/>
    </xf>
    <xf borderId="1" fillId="8" fontId="41" numFmtId="0" xfId="0" applyAlignment="1" applyBorder="1" applyFont="1">
      <alignment readingOrder="0"/>
    </xf>
    <xf borderId="1" fillId="8" fontId="40" numFmtId="0" xfId="0" applyAlignment="1" applyBorder="1" applyFont="1">
      <alignment readingOrder="0"/>
    </xf>
    <xf borderId="1" fillId="6" fontId="37" numFmtId="0" xfId="0" applyAlignment="1" applyBorder="1" applyFont="1">
      <alignment vertical="top"/>
    </xf>
    <xf borderId="1" fillId="0" fontId="37" numFmtId="0" xfId="0" applyAlignment="1" applyBorder="1" applyFont="1">
      <alignment vertical="bottom"/>
    </xf>
    <xf borderId="1" fillId="6" fontId="37" numFmtId="0" xfId="0" applyAlignment="1" applyBorder="1" applyFont="1">
      <alignment horizontal="right" vertical="top"/>
    </xf>
    <xf borderId="1" fillId="6" fontId="37" numFmtId="0" xfId="0" applyAlignment="1" applyBorder="1" applyFont="1">
      <alignment shrinkToFit="0" vertical="top" wrapText="1"/>
    </xf>
    <xf borderId="1" fillId="0" fontId="42" numFmtId="0" xfId="0" applyAlignment="1" applyBorder="1" applyFont="1">
      <alignment shrinkToFit="0" vertical="top" wrapText="1"/>
    </xf>
    <xf borderId="1" fillId="6" fontId="37" numFmtId="0" xfId="0" applyAlignment="1" applyBorder="1" applyFont="1">
      <alignment vertical="top"/>
    </xf>
    <xf borderId="1" fillId="8" fontId="43" numFmtId="0" xfId="0" applyAlignment="1" applyBorder="1" applyFont="1">
      <alignment readingOrder="0" shrinkToFit="0" wrapText="1"/>
    </xf>
    <xf borderId="1" fillId="8" fontId="44" numFmtId="0" xfId="0" applyAlignment="1" applyBorder="1" applyFont="1">
      <alignment readingOrder="0" shrinkToFit="0" wrapText="1"/>
    </xf>
    <xf borderId="1" fillId="0" fontId="37" numFmtId="0" xfId="0" applyAlignment="1" applyBorder="1" applyFont="1">
      <alignment vertical="top"/>
    </xf>
    <xf borderId="1" fillId="0" fontId="37" numFmtId="0" xfId="0" applyAlignment="1" applyBorder="1" applyFont="1">
      <alignment horizontal="right" vertical="top"/>
    </xf>
    <xf borderId="1" fillId="0" fontId="37" numFmtId="0" xfId="0" applyAlignment="1" applyBorder="1" applyFont="1">
      <alignment shrinkToFit="0" vertical="top" wrapText="1"/>
    </xf>
    <xf borderId="1" fillId="0" fontId="37" numFmtId="0" xfId="0" applyAlignment="1" applyBorder="1" applyFont="1">
      <alignment vertical="top"/>
    </xf>
    <xf borderId="1" fillId="0" fontId="37" numFmtId="0" xfId="0" applyAlignment="1" applyBorder="1" applyFont="1">
      <alignment shrinkToFit="0" vertical="top" wrapText="1"/>
    </xf>
    <xf borderId="1" fillId="8" fontId="45" numFmtId="0" xfId="0" applyAlignment="1" applyBorder="1" applyFont="1">
      <alignment readingOrder="0" shrinkToFit="0" wrapText="1"/>
    </xf>
    <xf borderId="1" fillId="8" fontId="40" numFmtId="0" xfId="0" applyAlignment="1" applyBorder="1" applyFont="1">
      <alignment shrinkToFit="0" wrapText="1"/>
    </xf>
    <xf borderId="1" fillId="8" fontId="40" numFmtId="0" xfId="0" applyBorder="1" applyFont="1"/>
    <xf borderId="1" fillId="0" fontId="46" numFmtId="0" xfId="0" applyAlignment="1" applyBorder="1" applyFont="1">
      <alignment vertical="top"/>
    </xf>
    <xf borderId="1" fillId="10" fontId="46" numFmtId="0" xfId="0" applyAlignment="1" applyBorder="1" applyFont="1">
      <alignment vertical="top"/>
    </xf>
    <xf borderId="1" fillId="10" fontId="46" numFmtId="0" xfId="0" applyAlignment="1" applyBorder="1" applyFont="1">
      <alignment vertical="top"/>
    </xf>
    <xf borderId="1" fillId="8" fontId="47" numFmtId="0" xfId="0" applyAlignment="1" applyBorder="1" applyFont="1">
      <alignment readingOrder="0" shrinkToFit="0" wrapText="1"/>
    </xf>
    <xf borderId="1" fillId="10" fontId="37" numFmtId="165" xfId="0" applyAlignment="1" applyBorder="1" applyFont="1" applyNumberFormat="1">
      <alignment horizontal="right" vertical="top"/>
    </xf>
    <xf borderId="1" fillId="8" fontId="40" numFmtId="164" xfId="0" applyAlignment="1" applyBorder="1" applyFont="1" applyNumberFormat="1">
      <alignment readingOrder="0" shrinkToFit="0" wrapText="1"/>
    </xf>
    <xf borderId="1" fillId="8" fontId="47" numFmtId="0" xfId="0" applyAlignment="1" applyBorder="1" applyFont="1">
      <alignment readingOrder="0"/>
    </xf>
    <xf borderId="1" fillId="8" fontId="48" numFmtId="0" xfId="0" applyAlignment="1" applyBorder="1" applyFont="1">
      <alignment readingOrder="0"/>
    </xf>
    <xf borderId="1" fillId="0" fontId="46" numFmtId="0" xfId="0" applyAlignment="1" applyBorder="1" applyFont="1">
      <alignment vertical="top"/>
    </xf>
    <xf borderId="1" fillId="0" fontId="49" numFmtId="0" xfId="0" applyAlignment="1" applyBorder="1" applyFont="1">
      <alignment vertical="bottom"/>
    </xf>
    <xf borderId="1" fillId="0" fontId="49" numFmtId="0" xfId="0" applyAlignment="1" applyBorder="1" applyFont="1">
      <alignment horizontal="right" vertical="bottom"/>
    </xf>
    <xf borderId="1" fillId="0" fontId="49" numFmtId="0" xfId="0" applyAlignment="1" applyBorder="1" applyFont="1">
      <alignment shrinkToFit="0" vertical="bottom" wrapText="1"/>
    </xf>
    <xf borderId="1" fillId="0" fontId="49" numFmtId="0" xfId="0" applyAlignment="1" applyBorder="1" applyFont="1">
      <alignment vertical="bottom"/>
    </xf>
    <xf borderId="1" fillId="0" fontId="49" numFmtId="0" xfId="0" applyAlignment="1" applyBorder="1" applyFont="1">
      <alignment shrinkToFit="0" vertical="bottom" wrapText="1"/>
    </xf>
    <xf borderId="0" fillId="3" fontId="16" numFmtId="0" xfId="0" applyFont="1"/>
    <xf borderId="0" fillId="3" fontId="16" numFmtId="0" xfId="0" applyAlignment="1" applyFont="1">
      <alignment shrinkToFit="0" wrapText="1"/>
    </xf>
    <xf borderId="0" fillId="6" fontId="50" numFmtId="0" xfId="0" applyAlignment="1" applyFont="1">
      <alignment shrinkToFit="0" wrapText="1"/>
    </xf>
    <xf borderId="0" fillId="6" fontId="50" numFmtId="0" xfId="0" applyFont="1"/>
    <xf borderId="0" fillId="11" fontId="16" numFmtId="0" xfId="0" applyFill="1" applyFont="1"/>
    <xf borderId="0" fillId="11" fontId="16" numFmtId="0" xfId="0" applyAlignment="1" applyFont="1">
      <alignment shrinkToFit="0" wrapText="1"/>
    </xf>
    <xf borderId="1" fillId="0" fontId="37" numFmtId="0" xfId="0" applyAlignment="1" applyBorder="1" applyFont="1">
      <alignment horizontal="right" vertical="bottom"/>
    </xf>
    <xf borderId="1" fillId="0" fontId="37" numFmtId="0" xfId="0" applyAlignment="1" applyBorder="1" applyFont="1">
      <alignment shrinkToFit="0" vertical="bottom" wrapText="1"/>
    </xf>
    <xf borderId="1" fillId="0" fontId="51" numFmtId="0" xfId="0" applyAlignment="1" applyBorder="1" applyFont="1">
      <alignment shrinkToFit="0" vertical="bottom" wrapText="1"/>
    </xf>
    <xf borderId="1" fillId="0" fontId="37" numFmtId="0" xfId="0" applyAlignment="1" applyBorder="1" applyFont="1">
      <alignment vertical="bottom"/>
    </xf>
    <xf borderId="0" fillId="2" fontId="16" numFmtId="0" xfId="0" applyAlignment="1" applyFont="1">
      <alignment readingOrder="0"/>
    </xf>
    <xf borderId="0" fillId="2" fontId="16" numFmtId="0" xfId="0" applyAlignment="1" applyFont="1">
      <alignment readingOrder="0" shrinkToFit="0" wrapText="1"/>
    </xf>
    <xf borderId="1" fillId="10" fontId="37" numFmtId="0" xfId="0" applyAlignment="1" applyBorder="1" applyFont="1">
      <alignment horizontal="right" vertical="bottom"/>
    </xf>
    <xf borderId="1" fillId="10" fontId="37" numFmtId="0" xfId="0" applyAlignment="1" applyBorder="1" applyFont="1">
      <alignment shrinkToFit="0" vertical="bottom" wrapText="1"/>
    </xf>
    <xf borderId="1" fillId="10" fontId="37" numFmtId="0" xfId="0" applyAlignment="1" applyBorder="1" applyFont="1">
      <alignment vertical="bottom"/>
    </xf>
    <xf borderId="1" fillId="6" fontId="37" numFmtId="0" xfId="0" applyAlignment="1" applyBorder="1" applyFont="1">
      <alignment vertical="bottom"/>
    </xf>
    <xf borderId="1" fillId="6" fontId="37" numFmtId="0" xfId="0" applyAlignment="1" applyBorder="1" applyFont="1">
      <alignment horizontal="right" vertical="bottom"/>
    </xf>
    <xf borderId="1" fillId="6" fontId="37" numFmtId="0" xfId="0" applyAlignment="1" applyBorder="1" applyFont="1">
      <alignment shrinkToFit="0" vertical="bottom" wrapText="1"/>
    </xf>
    <xf borderId="0" fillId="8" fontId="50" numFmtId="0" xfId="0" applyAlignment="1" applyFont="1">
      <alignment shrinkToFit="0" wrapText="1"/>
    </xf>
    <xf borderId="1" fillId="6" fontId="2" numFmtId="0" xfId="0" applyAlignment="1" applyBorder="1" applyFont="1">
      <alignment readingOrder="0" shrinkToFit="0" vertical="bottom" wrapText="0"/>
    </xf>
    <xf borderId="1" fillId="6" fontId="1" numFmtId="0" xfId="0" applyAlignment="1" applyBorder="1" applyFont="1">
      <alignment readingOrder="0" shrinkToFit="0" vertical="bottom" wrapText="1"/>
    </xf>
    <xf borderId="1" fillId="6" fontId="1" numFmtId="0" xfId="0" applyAlignment="1" applyBorder="1" applyFont="1">
      <alignment readingOrder="0" vertical="bottom"/>
    </xf>
    <xf borderId="1" fillId="6" fontId="1" numFmtId="0" xfId="0" applyAlignment="1" applyBorder="1" applyFont="1">
      <alignment readingOrder="0" shrinkToFit="0" vertical="bottom" wrapText="0"/>
    </xf>
    <xf borderId="1" fillId="0" fontId="7" numFmtId="0" xfId="0" applyAlignment="1" applyBorder="1" applyFont="1">
      <alignment readingOrder="0"/>
    </xf>
    <xf borderId="1" fillId="0" fontId="7" numFmtId="0" xfId="0" applyAlignment="1" applyBorder="1" applyFont="1">
      <alignment readingOrder="0" shrinkToFit="0" wrapText="1"/>
    </xf>
    <xf borderId="1" fillId="12" fontId="5" numFmtId="0" xfId="0" applyAlignment="1" applyBorder="1" applyFill="1" applyFont="1">
      <alignment horizontal="right" readingOrder="0" shrinkToFit="0" vertical="bottom" wrapText="0"/>
    </xf>
    <xf borderId="1" fillId="12" fontId="4" numFmtId="0" xfId="0" applyAlignment="1" applyBorder="1" applyFont="1">
      <alignment horizontal="right" readingOrder="0" shrinkToFit="0" vertical="bottom" wrapText="0"/>
    </xf>
    <xf borderId="1" fillId="12" fontId="5" numFmtId="0" xfId="0" applyAlignment="1" applyBorder="1" applyFont="1">
      <alignment readingOrder="0" shrinkToFit="0" vertical="bottom" wrapText="1"/>
    </xf>
    <xf borderId="1" fillId="12" fontId="4" numFmtId="0" xfId="0" applyAlignment="1" applyBorder="1" applyFont="1">
      <alignment readingOrder="0" vertical="bottom"/>
    </xf>
    <xf borderId="1" fillId="12" fontId="5" numFmtId="0" xfId="0" applyAlignment="1" applyBorder="1" applyFont="1">
      <alignment readingOrder="0" shrinkToFit="0" vertical="bottom" wrapText="0"/>
    </xf>
    <xf borderId="1" fillId="12" fontId="4" numFmtId="0" xfId="0" applyAlignment="1" applyBorder="1" applyFont="1">
      <alignment readingOrder="0" shrinkToFit="0" vertical="bottom" wrapText="0"/>
    </xf>
    <xf borderId="1" fillId="12" fontId="7" numFmtId="0" xfId="0" applyAlignment="1" applyBorder="1" applyFont="1">
      <alignment readingOrder="0"/>
    </xf>
    <xf borderId="1" fillId="12" fontId="7" numFmtId="0" xfId="0" applyAlignment="1" applyBorder="1" applyFont="1">
      <alignment readingOrder="0" shrinkToFit="0" wrapText="1"/>
    </xf>
    <xf borderId="1" fillId="12" fontId="7" numFmtId="0" xfId="0" applyBorder="1" applyFont="1"/>
    <xf borderId="1" fillId="12" fontId="7" numFmtId="0" xfId="0" applyAlignment="1" applyBorder="1" applyFont="1">
      <alignment shrinkToFit="0" wrapText="1"/>
    </xf>
    <xf borderId="1" fillId="6" fontId="5" numFmtId="0" xfId="0" applyAlignment="1" applyBorder="1" applyFont="1">
      <alignment horizontal="right" readingOrder="0" shrinkToFit="0" vertical="bottom" wrapText="0"/>
    </xf>
    <xf borderId="1" fillId="6" fontId="4" numFmtId="0" xfId="0" applyAlignment="1" applyBorder="1" applyFont="1">
      <alignment horizontal="right" readingOrder="0" shrinkToFit="0" vertical="bottom" wrapText="0"/>
    </xf>
    <xf borderId="1" fillId="6" fontId="5" numFmtId="0" xfId="0" applyAlignment="1" applyBorder="1" applyFont="1">
      <alignment readingOrder="0" shrinkToFit="0" vertical="bottom" wrapText="1"/>
    </xf>
    <xf borderId="1" fillId="6" fontId="4" numFmtId="0" xfId="0" applyAlignment="1" applyBorder="1" applyFont="1">
      <alignment readingOrder="0" vertical="bottom"/>
    </xf>
    <xf borderId="1" fillId="6" fontId="4" numFmtId="0" xfId="0" applyAlignment="1" applyBorder="1" applyFont="1">
      <alignment readingOrder="0" shrinkToFit="0" vertical="bottom" wrapText="0"/>
    </xf>
    <xf borderId="1" fillId="6" fontId="5" numFmtId="0" xfId="0" applyAlignment="1" applyBorder="1" applyFont="1">
      <alignment readingOrder="0" shrinkToFit="0" vertical="bottom" wrapText="0"/>
    </xf>
    <xf borderId="1" fillId="0" fontId="7" numFmtId="166" xfId="0" applyAlignment="1" applyBorder="1" applyFont="1" applyNumberFormat="1">
      <alignment readingOrder="0"/>
    </xf>
    <xf borderId="1" fillId="0" fontId="7" numFmtId="166" xfId="0" applyAlignment="1" applyBorder="1" applyFont="1" applyNumberFormat="1">
      <alignment readingOrder="0" shrinkToFit="0" wrapText="1"/>
    </xf>
    <xf borderId="1" fillId="0" fontId="7" numFmtId="0" xfId="0" applyBorder="1" applyFont="1"/>
    <xf borderId="1" fillId="13" fontId="5" numFmtId="0" xfId="0" applyAlignment="1" applyBorder="1" applyFill="1" applyFont="1">
      <alignment horizontal="right" readingOrder="0" shrinkToFit="0" vertical="bottom" wrapText="0"/>
    </xf>
    <xf borderId="1" fillId="13" fontId="4" numFmtId="0" xfId="0" applyAlignment="1" applyBorder="1" applyFont="1">
      <alignment horizontal="right" readingOrder="0" shrinkToFit="0" vertical="bottom" wrapText="0"/>
    </xf>
    <xf borderId="1" fillId="13" fontId="5" numFmtId="0" xfId="0" applyAlignment="1" applyBorder="1" applyFont="1">
      <alignment readingOrder="0" shrinkToFit="0" vertical="bottom" wrapText="1"/>
    </xf>
    <xf borderId="1" fillId="13" fontId="4" numFmtId="0" xfId="0" applyAlignment="1" applyBorder="1" applyFont="1">
      <alignment readingOrder="0" vertical="bottom"/>
    </xf>
    <xf borderId="1" fillId="13" fontId="4" numFmtId="0" xfId="0" applyAlignment="1" applyBorder="1" applyFont="1">
      <alignment readingOrder="0" shrinkToFit="0" vertical="bottom" wrapText="0"/>
    </xf>
    <xf borderId="1" fillId="13" fontId="5" numFmtId="0" xfId="0" applyAlignment="1" applyBorder="1" applyFont="1">
      <alignment readingOrder="0" shrinkToFit="0" vertical="bottom" wrapText="0"/>
    </xf>
    <xf borderId="1" fillId="13" fontId="7" numFmtId="0" xfId="0" applyAlignment="1" applyBorder="1" applyFont="1">
      <alignment readingOrder="0"/>
    </xf>
    <xf borderId="1" fillId="13" fontId="7" numFmtId="0" xfId="0" applyAlignment="1" applyBorder="1" applyFont="1">
      <alignment readingOrder="0" shrinkToFit="0" wrapText="1"/>
    </xf>
    <xf borderId="1" fillId="13" fontId="7" numFmtId="166" xfId="0" applyAlignment="1" applyBorder="1" applyFont="1" applyNumberFormat="1">
      <alignment readingOrder="0"/>
    </xf>
    <xf borderId="1" fillId="14" fontId="5" numFmtId="0" xfId="0" applyAlignment="1" applyBorder="1" applyFill="1" applyFont="1">
      <alignment horizontal="right" readingOrder="0" shrinkToFit="0" vertical="bottom" wrapText="0"/>
    </xf>
    <xf borderId="1" fillId="14" fontId="4" numFmtId="0" xfId="0" applyAlignment="1" applyBorder="1" applyFont="1">
      <alignment horizontal="right" readingOrder="0" shrinkToFit="0" vertical="bottom" wrapText="0"/>
    </xf>
    <xf borderId="1" fillId="14" fontId="5" numFmtId="0" xfId="0" applyAlignment="1" applyBorder="1" applyFont="1">
      <alignment readingOrder="0" shrinkToFit="0" vertical="bottom" wrapText="1"/>
    </xf>
    <xf borderId="1" fillId="14" fontId="4" numFmtId="0" xfId="0" applyAlignment="1" applyBorder="1" applyFont="1">
      <alignment readingOrder="0" vertical="bottom"/>
    </xf>
    <xf borderId="1" fillId="14" fontId="4" numFmtId="0" xfId="0" applyAlignment="1" applyBorder="1" applyFont="1">
      <alignment readingOrder="0" shrinkToFit="0" vertical="bottom" wrapText="0"/>
    </xf>
    <xf borderId="1" fillId="14" fontId="5" numFmtId="0" xfId="0" applyAlignment="1" applyBorder="1" applyFont="1">
      <alignment readingOrder="0" shrinkToFit="0" vertical="bottom" wrapText="0"/>
    </xf>
    <xf borderId="1" fillId="14" fontId="7" numFmtId="0" xfId="0" applyAlignment="1" applyBorder="1" applyFont="1">
      <alignment readingOrder="0"/>
    </xf>
    <xf borderId="1" fillId="14" fontId="7" numFmtId="0" xfId="0" applyAlignment="1" applyBorder="1" applyFont="1">
      <alignment readingOrder="0" shrinkToFit="0" wrapText="1"/>
    </xf>
    <xf borderId="1" fillId="14" fontId="7" numFmtId="166" xfId="0" applyAlignment="1" applyBorder="1" applyFont="1" applyNumberFormat="1">
      <alignment readingOrder="0"/>
    </xf>
    <xf borderId="1" fillId="14" fontId="4" numFmtId="0" xfId="0" applyAlignment="1" applyBorder="1" applyFont="1">
      <alignment shrinkToFit="0" vertical="bottom" wrapText="0"/>
    </xf>
    <xf borderId="1" fillId="14" fontId="7" numFmtId="0" xfId="0" applyAlignment="1" applyBorder="1" applyFont="1">
      <alignment shrinkToFit="0" wrapText="1"/>
    </xf>
    <xf borderId="1" fillId="14" fontId="7" numFmtId="0" xfId="0" applyBorder="1" applyFont="1"/>
    <xf borderId="1" fillId="15" fontId="5" numFmtId="0" xfId="0" applyAlignment="1" applyBorder="1" applyFill="1" applyFont="1">
      <alignment horizontal="right" readingOrder="0" shrinkToFit="0" vertical="bottom" wrapText="0"/>
    </xf>
    <xf borderId="1" fillId="15" fontId="4" numFmtId="0" xfId="0" applyAlignment="1" applyBorder="1" applyFont="1">
      <alignment horizontal="right" readingOrder="0" shrinkToFit="0" vertical="bottom" wrapText="0"/>
    </xf>
    <xf borderId="1" fillId="15" fontId="5" numFmtId="0" xfId="0" applyAlignment="1" applyBorder="1" applyFont="1">
      <alignment readingOrder="0" shrinkToFit="0" vertical="bottom" wrapText="1"/>
    </xf>
    <xf borderId="1" fillId="15" fontId="4" numFmtId="0" xfId="0" applyAlignment="1" applyBorder="1" applyFont="1">
      <alignment readingOrder="0" vertical="bottom"/>
    </xf>
    <xf borderId="1" fillId="15" fontId="52" numFmtId="0" xfId="0" applyAlignment="1" applyBorder="1" applyFont="1">
      <alignment readingOrder="0" shrinkToFit="0" vertical="bottom" wrapText="0"/>
    </xf>
    <xf borderId="1" fillId="15" fontId="4" numFmtId="0" xfId="0" applyAlignment="1" applyBorder="1" applyFont="1">
      <alignment readingOrder="0" shrinkToFit="0" vertical="bottom" wrapText="0"/>
    </xf>
    <xf borderId="1" fillId="15" fontId="5" numFmtId="0" xfId="0" applyAlignment="1" applyBorder="1" applyFont="1">
      <alignment readingOrder="0" shrinkToFit="0" vertical="bottom" wrapText="0"/>
    </xf>
    <xf borderId="1" fillId="15" fontId="16" numFmtId="0" xfId="0" applyAlignment="1" applyBorder="1" applyFont="1">
      <alignment readingOrder="0"/>
    </xf>
    <xf borderId="1" fillId="15" fontId="16" numFmtId="0" xfId="0" applyAlignment="1" applyBorder="1" applyFont="1">
      <alignment shrinkToFit="0" wrapText="1"/>
    </xf>
    <xf borderId="1" fillId="15" fontId="16" numFmtId="0" xfId="0" applyAlignment="1" applyBorder="1" applyFont="1">
      <alignment readingOrder="0" shrinkToFit="0" wrapText="1"/>
    </xf>
    <xf borderId="1" fillId="15" fontId="16" numFmtId="167" xfId="0" applyAlignment="1" applyBorder="1" applyFont="1" applyNumberFormat="1">
      <alignment readingOrder="0"/>
    </xf>
    <xf borderId="1" fillId="15" fontId="16" numFmtId="167" xfId="0" applyAlignment="1" applyBorder="1" applyFont="1" applyNumberFormat="1">
      <alignment readingOrder="0" shrinkToFit="0" wrapText="1"/>
    </xf>
    <xf borderId="1" fillId="12" fontId="53" numFmtId="0" xfId="0" applyAlignment="1" applyBorder="1" applyFont="1">
      <alignment readingOrder="0" shrinkToFit="0" vertical="bottom" wrapText="0"/>
    </xf>
    <xf borderId="1" fillId="12" fontId="16" numFmtId="0" xfId="0" applyAlignment="1" applyBorder="1" applyFont="1">
      <alignment readingOrder="0"/>
    </xf>
    <xf borderId="1" fillId="12" fontId="16" numFmtId="0" xfId="0" applyAlignment="1" applyBorder="1" applyFont="1">
      <alignment readingOrder="0" shrinkToFit="0" wrapText="1"/>
    </xf>
    <xf borderId="1" fillId="12" fontId="16" numFmtId="166" xfId="0" applyAlignment="1" applyBorder="1" applyFont="1" applyNumberFormat="1">
      <alignment readingOrder="0"/>
    </xf>
    <xf borderId="1" fillId="12" fontId="16" numFmtId="0" xfId="0" applyAlignment="1" applyBorder="1" applyFont="1">
      <alignment readingOrder="0" shrinkToFit="0" wrapText="1"/>
    </xf>
    <xf borderId="1" fillId="3" fontId="4" numFmtId="0" xfId="0" applyAlignment="1" applyBorder="1" applyFont="1">
      <alignment horizontal="right" readingOrder="0" shrinkToFit="0" vertical="bottom" wrapText="0"/>
    </xf>
    <xf borderId="1" fillId="2" fontId="5" numFmtId="0" xfId="0" applyAlignment="1" applyBorder="1" applyFont="1">
      <alignment readingOrder="0" shrinkToFit="0" vertical="bottom" wrapText="1"/>
    </xf>
    <xf borderId="1" fillId="2" fontId="4" numFmtId="0" xfId="0" applyAlignment="1" applyBorder="1" applyFont="1">
      <alignment readingOrder="0" vertical="bottom"/>
    </xf>
    <xf borderId="1" fillId="2" fontId="54" numFmtId="0" xfId="0" applyAlignment="1" applyBorder="1" applyFont="1">
      <alignment readingOrder="0" shrinkToFit="0" vertical="bottom" wrapText="0"/>
    </xf>
    <xf borderId="1" fillId="2" fontId="4" numFmtId="0" xfId="0" applyAlignment="1" applyBorder="1" applyFont="1">
      <alignment readingOrder="0" shrinkToFit="0" vertical="bottom" wrapText="0"/>
    </xf>
    <xf borderId="1" fillId="2" fontId="5" numFmtId="0" xfId="0" applyAlignment="1" applyBorder="1" applyFont="1">
      <alignment readingOrder="0" shrinkToFit="0" vertical="bottom" wrapText="0"/>
    </xf>
    <xf borderId="1" fillId="2" fontId="16" numFmtId="0" xfId="0" applyAlignment="1" applyBorder="1" applyFont="1">
      <alignment readingOrder="0"/>
    </xf>
    <xf borderId="1" fillId="2" fontId="7" numFmtId="0" xfId="0" applyAlignment="1" applyBorder="1" applyFont="1">
      <alignment readingOrder="0" shrinkToFit="0" wrapText="1"/>
    </xf>
    <xf borderId="1" fillId="2" fontId="16" numFmtId="0" xfId="0" applyAlignment="1" applyBorder="1" applyFont="1">
      <alignment readingOrder="0" shrinkToFit="0" wrapText="1"/>
    </xf>
    <xf borderId="1" fillId="2" fontId="16" numFmtId="168" xfId="0" applyAlignment="1" applyBorder="1" applyFont="1" applyNumberFormat="1">
      <alignment readingOrder="0"/>
    </xf>
    <xf borderId="1" fillId="2" fontId="16" numFmtId="0" xfId="0" applyAlignment="1" applyBorder="1" applyFont="1">
      <alignment readingOrder="0"/>
    </xf>
    <xf borderId="1" fillId="2" fontId="7" numFmtId="0" xfId="0" applyAlignment="1" applyBorder="1" applyFont="1">
      <alignment shrinkToFit="0" wrapText="1"/>
    </xf>
    <xf borderId="1" fillId="2" fontId="16" numFmtId="0" xfId="0" applyAlignment="1" applyBorder="1" applyFont="1">
      <alignment readingOrder="0" shrinkToFit="0" wrapText="1"/>
    </xf>
    <xf borderId="1" fillId="2" fontId="16" numFmtId="166" xfId="0" applyAlignment="1" applyBorder="1" applyFont="1" applyNumberFormat="1">
      <alignment readingOrder="0"/>
    </xf>
    <xf borderId="1" fillId="13" fontId="16" numFmtId="0" xfId="0" applyAlignment="1" applyBorder="1" applyFont="1">
      <alignment readingOrder="0"/>
    </xf>
    <xf borderId="1" fillId="13" fontId="16" numFmtId="0" xfId="0" applyAlignment="1" applyBorder="1" applyFont="1">
      <alignment readingOrder="0" shrinkToFit="0" wrapText="1"/>
    </xf>
    <xf borderId="1" fillId="13" fontId="16" numFmtId="0" xfId="0" applyAlignment="1" applyBorder="1" applyFont="1">
      <alignment shrinkToFit="0" wrapText="1"/>
    </xf>
    <xf borderId="1" fillId="14" fontId="16" numFmtId="0" xfId="0" applyAlignment="1" applyBorder="1" applyFont="1">
      <alignment readingOrder="0"/>
    </xf>
    <xf borderId="1" fillId="14" fontId="16" numFmtId="0" xfId="0" applyAlignment="1" applyBorder="1" applyFont="1">
      <alignment readingOrder="0" shrinkToFit="0" wrapText="1"/>
    </xf>
    <xf borderId="1" fillId="14" fontId="55" numFmtId="0" xfId="0" applyAlignment="1" applyBorder="1" applyFont="1">
      <alignment readingOrder="0" shrinkToFit="0" vertical="bottom" wrapText="0"/>
    </xf>
    <xf borderId="1" fillId="14" fontId="16" numFmtId="166" xfId="0" applyAlignment="1" applyBorder="1" applyFont="1" applyNumberFormat="1">
      <alignment readingOrder="0"/>
    </xf>
    <xf borderId="1" fillId="12" fontId="16" numFmtId="0" xfId="0" applyAlignment="1" applyBorder="1" applyFont="1">
      <alignment readingOrder="0"/>
    </xf>
    <xf borderId="1" fillId="3" fontId="5" numFmtId="0" xfId="0" applyAlignment="1" applyBorder="1" applyFont="1">
      <alignment readingOrder="0" shrinkToFit="0" vertical="bottom" wrapText="1"/>
    </xf>
    <xf borderId="1" fillId="6" fontId="16" numFmtId="0" xfId="0" applyAlignment="1" applyBorder="1" applyFont="1">
      <alignment readingOrder="0"/>
    </xf>
    <xf borderId="1" fillId="6" fontId="7" numFmtId="0" xfId="0" applyAlignment="1" applyBorder="1" applyFont="1">
      <alignment shrinkToFit="0" wrapText="1"/>
    </xf>
    <xf borderId="1" fillId="6" fontId="16" numFmtId="0" xfId="0" applyAlignment="1" applyBorder="1" applyFont="1">
      <alignment readingOrder="0" shrinkToFit="0" wrapText="1"/>
    </xf>
    <xf borderId="1" fillId="3" fontId="5" numFmtId="0" xfId="0" applyAlignment="1" applyBorder="1" applyFont="1">
      <alignment readingOrder="0" vertical="bottom"/>
    </xf>
    <xf borderId="1" fillId="3" fontId="4" numFmtId="0" xfId="0" applyAlignment="1" applyBorder="1" applyFont="1">
      <alignment shrinkToFit="0" vertical="bottom" wrapText="0"/>
    </xf>
    <xf borderId="1" fillId="3" fontId="5" numFmtId="0" xfId="0" applyAlignment="1" applyBorder="1" applyFont="1">
      <alignment readingOrder="0" shrinkToFit="0" vertical="bottom" wrapText="0"/>
    </xf>
    <xf borderId="1" fillId="3" fontId="4" numFmtId="0" xfId="0" applyAlignment="1" applyBorder="1" applyFont="1">
      <alignment readingOrder="0" shrinkToFit="0" vertical="bottom" wrapText="0"/>
    </xf>
    <xf borderId="1" fillId="3" fontId="16" numFmtId="0" xfId="0" applyAlignment="1" applyBorder="1" applyFont="1">
      <alignment readingOrder="0"/>
    </xf>
    <xf borderId="1" fillId="3" fontId="16" numFmtId="0" xfId="0" applyBorder="1" applyFont="1"/>
    <xf borderId="1" fillId="3" fontId="16" numFmtId="0" xfId="0" applyAlignment="1" applyBorder="1" applyFont="1">
      <alignment readingOrder="0" shrinkToFit="0" wrapText="1"/>
    </xf>
    <xf borderId="1" fillId="3" fontId="50" numFmtId="0" xfId="0" applyAlignment="1" applyBorder="1" applyFont="1">
      <alignment readingOrder="0"/>
    </xf>
    <xf borderId="1" fillId="3" fontId="7" numFmtId="0" xfId="0" applyAlignment="1" applyBorder="1" applyFont="1">
      <alignment readingOrder="0" shrinkToFit="0" wrapText="1"/>
    </xf>
    <xf borderId="1" fillId="0" fontId="7" numFmtId="0" xfId="0" applyAlignment="1" applyBorder="1" applyFont="1">
      <alignment shrinkToFit="0" wrapText="1"/>
    </xf>
    <xf borderId="1" fillId="16" fontId="56" numFmtId="0" xfId="0" applyAlignment="1" applyBorder="1" applyFill="1" applyFont="1">
      <alignment readingOrder="0" shrinkToFit="0" vertical="bottom" wrapText="0"/>
    </xf>
    <xf borderId="1" fillId="0" fontId="4" numFmtId="0" xfId="0" applyAlignment="1" applyBorder="1" applyFont="1">
      <alignment readingOrder="0" shrinkToFit="0" vertical="bottom" wrapText="0"/>
    </xf>
    <xf borderId="1" fillId="0" fontId="4" numFmtId="0" xfId="0" applyAlignment="1" applyBorder="1" applyFont="1">
      <alignment horizontal="right" readingOrder="0" shrinkToFit="0" vertical="bottom" wrapText="0"/>
    </xf>
    <xf borderId="1" fillId="0" fontId="5" numFmtId="0" xfId="0" applyAlignment="1" applyBorder="1" applyFont="1">
      <alignment readingOrder="0" shrinkToFit="0" vertical="bottom" wrapText="0"/>
    </xf>
    <xf borderId="1" fillId="10" fontId="4" numFmtId="0" xfId="0" applyAlignment="1" applyBorder="1" applyFont="1">
      <alignment readingOrder="0" shrinkToFit="0" vertical="bottom" wrapText="0"/>
    </xf>
    <xf borderId="1" fillId="10" fontId="4" numFmtId="0" xfId="0" applyAlignment="1" applyBorder="1" applyFont="1">
      <alignment horizontal="right" readingOrder="0" shrinkToFit="0" vertical="bottom" wrapText="0"/>
    </xf>
    <xf borderId="1" fillId="10" fontId="57" numFmtId="0" xfId="0" applyAlignment="1" applyBorder="1" applyFont="1">
      <alignment readingOrder="0" shrinkToFit="0" vertical="bottom" wrapText="0"/>
    </xf>
    <xf borderId="1" fillId="0" fontId="58" numFmtId="0" xfId="0" applyAlignment="1" applyBorder="1" applyFont="1">
      <alignment readingOrder="0" shrinkToFit="0" vertical="bottom" wrapText="0"/>
    </xf>
    <xf borderId="0" fillId="0" fontId="4" numFmtId="0" xfId="0" applyAlignment="1" applyFont="1">
      <alignment readingOrder="0" shrinkToFit="0" vertical="bottom" wrapText="0"/>
    </xf>
    <xf borderId="1" fillId="17" fontId="59" numFmtId="0" xfId="0" applyAlignment="1" applyBorder="1" applyFill="1" applyFont="1">
      <alignment readingOrder="0" shrinkToFit="0" vertical="bottom" wrapText="0"/>
    </xf>
    <xf borderId="1" fillId="0" fontId="4" numFmtId="0" xfId="0" applyAlignment="1" applyBorder="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16/j.lungcan.2021.09.004" TargetMode="External"/><Relationship Id="rId190" Type="http://schemas.openxmlformats.org/officeDocument/2006/relationships/hyperlink" Target="https://doi.org/10.1016/j.patter.2021.100372" TargetMode="External"/><Relationship Id="rId42" Type="http://schemas.openxmlformats.org/officeDocument/2006/relationships/hyperlink" Target="https://doi.org/10.1016/j.immuni.2023.09.002" TargetMode="External"/><Relationship Id="rId41" Type="http://schemas.openxmlformats.org/officeDocument/2006/relationships/hyperlink" Target="https://doi.org/10.1016/j.ejca.2025.115393" TargetMode="External"/><Relationship Id="rId44" Type="http://schemas.openxmlformats.org/officeDocument/2006/relationships/hyperlink" Target="https://doi.org/10.1016/j.ymthe.2023.10.021" TargetMode="External"/><Relationship Id="rId194" Type="http://schemas.openxmlformats.org/officeDocument/2006/relationships/hyperlink" Target="https://doi.org/10.1016/j.xcrm.2025.102217" TargetMode="External"/><Relationship Id="rId43" Type="http://schemas.openxmlformats.org/officeDocument/2006/relationships/hyperlink" Target="https://doi.org/10.1016/j.jtcvs.2020.03.166" TargetMode="External"/><Relationship Id="rId193" Type="http://schemas.openxmlformats.org/officeDocument/2006/relationships/hyperlink" Target="https://doi.org/10.1016/j.ymthe.2022.05.003" TargetMode="External"/><Relationship Id="rId46" Type="http://schemas.openxmlformats.org/officeDocument/2006/relationships/hyperlink" Target="https://doi.org/10.1016/j.xcrm.2024.101489" TargetMode="External"/><Relationship Id="rId192" Type="http://schemas.openxmlformats.org/officeDocument/2006/relationships/hyperlink" Target="https://doi.org/10.1016/j.oraloncology.2020.104900" TargetMode="External"/><Relationship Id="rId45" Type="http://schemas.openxmlformats.org/officeDocument/2006/relationships/hyperlink" Target="https://doi.org/10.1016/j.medici.2015.08.002" TargetMode="External"/><Relationship Id="rId191" Type="http://schemas.openxmlformats.org/officeDocument/2006/relationships/hyperlink" Target="https://doi.org/10.1016/j.toxrep.2025.102036" TargetMode="External"/><Relationship Id="rId48" Type="http://schemas.openxmlformats.org/officeDocument/2006/relationships/hyperlink" Target="https://doi.org/10.1016/j.heliyon.2024.e24404" TargetMode="External"/><Relationship Id="rId187" Type="http://schemas.openxmlformats.org/officeDocument/2006/relationships/hyperlink" Target="https://doi.org/10.1016/j.mcpro.2023.100569" TargetMode="External"/><Relationship Id="rId47" Type="http://schemas.openxmlformats.org/officeDocument/2006/relationships/hyperlink" Target="https://doi.org/10.1016/j.biopha.2023.115827" TargetMode="External"/><Relationship Id="rId186" Type="http://schemas.openxmlformats.org/officeDocument/2006/relationships/hyperlink" Target="https://doi.org/10.1016/j.heliyon.2023.e13048" TargetMode="External"/><Relationship Id="rId185" Type="http://schemas.openxmlformats.org/officeDocument/2006/relationships/hyperlink" Target="https://doi.org/10.1016/j.ccell.2023.11.010" TargetMode="External"/><Relationship Id="rId49" Type="http://schemas.openxmlformats.org/officeDocument/2006/relationships/hyperlink" Target="https://doi.org/10.1016/j.ccell.2025.05.014" TargetMode="External"/><Relationship Id="rId184" Type="http://schemas.openxmlformats.org/officeDocument/2006/relationships/hyperlink" Target="https://doi.org/10.1016/j.mcpro.2024.100877" TargetMode="External"/><Relationship Id="rId189" Type="http://schemas.openxmlformats.org/officeDocument/2006/relationships/hyperlink" Target="https://doi.org/10.1038/s41379-018-0039-1" TargetMode="External"/><Relationship Id="rId188" Type="http://schemas.openxmlformats.org/officeDocument/2006/relationships/hyperlink" Target="https://doi.org/10.1016/j.crmeth.2021.100084" TargetMode="External"/><Relationship Id="rId31" Type="http://schemas.openxmlformats.org/officeDocument/2006/relationships/hyperlink" Target="https://doi.org/10.1016/j.ccell.2022.08.003" TargetMode="External"/><Relationship Id="rId30" Type="http://schemas.openxmlformats.org/officeDocument/2006/relationships/hyperlink" Target="https://doi.org/10.1016/j.ccell.2021.10.009" TargetMode="External"/><Relationship Id="rId33" Type="http://schemas.openxmlformats.org/officeDocument/2006/relationships/hyperlink" Target="https://doi.org/10.1093/annonc/mdx687" TargetMode="External"/><Relationship Id="rId183" Type="http://schemas.openxmlformats.org/officeDocument/2006/relationships/hyperlink" Target="https://doi.org/10.1016/j.immuni.2024.10.013" TargetMode="External"/><Relationship Id="rId32" Type="http://schemas.openxmlformats.org/officeDocument/2006/relationships/hyperlink" Target="https://doi.org/10.1016/j.heliyon.2021.e07916" TargetMode="External"/><Relationship Id="rId182" Type="http://schemas.openxmlformats.org/officeDocument/2006/relationships/hyperlink" Target="https://doi.org/10.1016/j.ebiom.2022.104125" TargetMode="External"/><Relationship Id="rId35" Type="http://schemas.openxmlformats.org/officeDocument/2006/relationships/hyperlink" Target="https://doi.org/10.1016/j.ccell.2025.06.012" TargetMode="External"/><Relationship Id="rId181" Type="http://schemas.openxmlformats.org/officeDocument/2006/relationships/hyperlink" Target="https://doi.org/10.1016/j.molimm.2022.08.011" TargetMode="External"/><Relationship Id="rId34" Type="http://schemas.openxmlformats.org/officeDocument/2006/relationships/hyperlink" Target="https://doi.org/10.1016/j.xcrm.2023.101145" TargetMode="External"/><Relationship Id="rId180" Type="http://schemas.openxmlformats.org/officeDocument/2006/relationships/hyperlink" Target="https://doi.org/10.1016/j.clon.2024.10.033" TargetMode="External"/><Relationship Id="rId37" Type="http://schemas.openxmlformats.org/officeDocument/2006/relationships/hyperlink" Target="https://doi.org/10.1016/S1470-2045(17)30516-8" TargetMode="External"/><Relationship Id="rId176" Type="http://schemas.openxmlformats.org/officeDocument/2006/relationships/hyperlink" Target="https://doi.org/10.1016/j.adcanc.2025.100159" TargetMode="External"/><Relationship Id="rId36" Type="http://schemas.openxmlformats.org/officeDocument/2006/relationships/hyperlink" Target="https://doi.org/10.1016/j.omto.2021.02.006" TargetMode="External"/><Relationship Id="rId175" Type="http://schemas.openxmlformats.org/officeDocument/2006/relationships/hyperlink" Target="https://doi.org/10.1016/j.tranon.2021.101337" TargetMode="External"/><Relationship Id="rId39" Type="http://schemas.openxmlformats.org/officeDocument/2006/relationships/hyperlink" Target="https://doi.org/10.1016/j.esmoop.2021.100348" TargetMode="External"/><Relationship Id="rId174" Type="http://schemas.openxmlformats.org/officeDocument/2006/relationships/hyperlink" Target="https://doi.org/10.1016/j.isci.2022.103883" TargetMode="External"/><Relationship Id="rId38" Type="http://schemas.openxmlformats.org/officeDocument/2006/relationships/hyperlink" Target="https://doi.org/10.1016/j.cell.2025.03.018" TargetMode="External"/><Relationship Id="rId173" Type="http://schemas.openxmlformats.org/officeDocument/2006/relationships/hyperlink" Target="https://doi.org/10.1016/j.isci.2024.111569" TargetMode="External"/><Relationship Id="rId179" Type="http://schemas.openxmlformats.org/officeDocument/2006/relationships/hyperlink" Target="https://doi.org/10.1016/j.onano.2023.100134" TargetMode="External"/><Relationship Id="rId178" Type="http://schemas.openxmlformats.org/officeDocument/2006/relationships/hyperlink" Target="https://doi.org/10.1182/blood-2017-02-768762" TargetMode="External"/><Relationship Id="rId177" Type="http://schemas.openxmlformats.org/officeDocument/2006/relationships/hyperlink" Target="https://doi.org/10.1016/j.ijrobp.2020.04.023" TargetMode="External"/><Relationship Id="rId20" Type="http://schemas.openxmlformats.org/officeDocument/2006/relationships/hyperlink" Target="https://doi.org/10.1016/j.isci.2020.101238" TargetMode="External"/><Relationship Id="rId22" Type="http://schemas.openxmlformats.org/officeDocument/2006/relationships/hyperlink" Target="https://doi.org/10.1016/j.mcpro.2022.100410" TargetMode="External"/><Relationship Id="rId21" Type="http://schemas.openxmlformats.org/officeDocument/2006/relationships/hyperlink" Target="https://doi.org/10.1016/j.ccell.2025.06.011" TargetMode="External"/><Relationship Id="rId24" Type="http://schemas.openxmlformats.org/officeDocument/2006/relationships/hyperlink" Target="https://doi.org/10.1016/j.ccell.2022.03.005" TargetMode="External"/><Relationship Id="rId23" Type="http://schemas.openxmlformats.org/officeDocument/2006/relationships/hyperlink" Target="https://doi.org/10.1016/j.cell.2020.09.001" TargetMode="External"/><Relationship Id="rId26" Type="http://schemas.openxmlformats.org/officeDocument/2006/relationships/hyperlink" Target="https://doi.org/10.1016/j.crmeth.2022.100388" TargetMode="External"/><Relationship Id="rId25" Type="http://schemas.openxmlformats.org/officeDocument/2006/relationships/hyperlink" Target="https://doi.org/10.1016/j.cell.2021.05.038" TargetMode="External"/><Relationship Id="rId28" Type="http://schemas.openxmlformats.org/officeDocument/2006/relationships/hyperlink" Target="https://doi.org/10.1016/j.ccell.2023.03.019" TargetMode="External"/><Relationship Id="rId27" Type="http://schemas.openxmlformats.org/officeDocument/2006/relationships/hyperlink" Target="https://doi.org/10.1016/j.xcrm.2023.101092" TargetMode="External"/><Relationship Id="rId29" Type="http://schemas.openxmlformats.org/officeDocument/2006/relationships/hyperlink" Target="https://doi.org/10.1016/j.omtm.2025.101517" TargetMode="External"/><Relationship Id="rId11" Type="http://schemas.openxmlformats.org/officeDocument/2006/relationships/hyperlink" Target="https://doi.org/10.1016/j.crmeth.2025.101049" TargetMode="External"/><Relationship Id="rId10" Type="http://schemas.openxmlformats.org/officeDocument/2006/relationships/hyperlink" Target="https://doi.org/10.1016/j.jcyt.2021.08.005" TargetMode="External"/><Relationship Id="rId13" Type="http://schemas.openxmlformats.org/officeDocument/2006/relationships/hyperlink" Target="https://doi.org/10.1016/j.xcrm.2024.101615" TargetMode="External"/><Relationship Id="rId12" Type="http://schemas.openxmlformats.org/officeDocument/2006/relationships/hyperlink" Target="https://doi.org/10.1016/j.xcrm.2024.101516" TargetMode="External"/><Relationship Id="rId15" Type="http://schemas.openxmlformats.org/officeDocument/2006/relationships/hyperlink" Target="https://doi.org/10.1016/j.ejcb.2022.151284" TargetMode="External"/><Relationship Id="rId198" Type="http://schemas.openxmlformats.org/officeDocument/2006/relationships/hyperlink" Target="https://doi.org/10.1016/j.canlet.2025.217935" TargetMode="External"/><Relationship Id="rId14" Type="http://schemas.openxmlformats.org/officeDocument/2006/relationships/hyperlink" Target="https://doi.org/10.1016/j.ccell.2023.12.013" TargetMode="External"/><Relationship Id="rId197" Type="http://schemas.openxmlformats.org/officeDocument/2006/relationships/hyperlink" Target="https://doi.org/10.1016/j.jbior.2022.100940" TargetMode="External"/><Relationship Id="rId17" Type="http://schemas.openxmlformats.org/officeDocument/2006/relationships/hyperlink" Target="https://doi.org/10.1016/j.mtbio.2024.101281" TargetMode="External"/><Relationship Id="rId196" Type="http://schemas.openxmlformats.org/officeDocument/2006/relationships/hyperlink" Target="https://doi.org/10.1016/j.esmoop.2023.101207" TargetMode="External"/><Relationship Id="rId16" Type="http://schemas.openxmlformats.org/officeDocument/2006/relationships/hyperlink" Target="https://doi.org/10.1016/j.xcrm.2024.101806" TargetMode="External"/><Relationship Id="rId195" Type="http://schemas.openxmlformats.org/officeDocument/2006/relationships/hyperlink" Target="https://doi.org/10.1016/j.tranon.2018.01.011" TargetMode="External"/><Relationship Id="rId19" Type="http://schemas.openxmlformats.org/officeDocument/2006/relationships/hyperlink" Target="https://doi.org/10.1016/j.rechem.2025.102218" TargetMode="External"/><Relationship Id="rId18" Type="http://schemas.openxmlformats.org/officeDocument/2006/relationships/hyperlink" Target="https://doi.org/10.1016/j.annonc.2020.04.004" TargetMode="External"/><Relationship Id="rId199" Type="http://schemas.openxmlformats.org/officeDocument/2006/relationships/hyperlink" Target="https://doi.org/10.1016/j.cell.2019.08.032" TargetMode="External"/><Relationship Id="rId84" Type="http://schemas.openxmlformats.org/officeDocument/2006/relationships/hyperlink" Target="https://doi.org/10.1016/j.annonc.2022.03.013" TargetMode="External"/><Relationship Id="rId83" Type="http://schemas.openxmlformats.org/officeDocument/2006/relationships/hyperlink" Target="https://doi.org/10.1016/j.mtbio.2024.101136" TargetMode="External"/><Relationship Id="rId86" Type="http://schemas.openxmlformats.org/officeDocument/2006/relationships/hyperlink" Target="https://doi.org/10.1016/j.xcrm.2023.101390" TargetMode="External"/><Relationship Id="rId85" Type="http://schemas.openxmlformats.org/officeDocument/2006/relationships/hyperlink" Target="https://doi.org/10.1016/j.xcrm.2024.101412" TargetMode="External"/><Relationship Id="rId88" Type="http://schemas.openxmlformats.org/officeDocument/2006/relationships/hyperlink" Target="https://doi.org/10.1016/j.ejca.2023.05.007" TargetMode="External"/><Relationship Id="rId150" Type="http://schemas.openxmlformats.org/officeDocument/2006/relationships/hyperlink" Target="https://doi.org/10.1016/j.tranon.2021.101184" TargetMode="External"/><Relationship Id="rId87" Type="http://schemas.openxmlformats.org/officeDocument/2006/relationships/hyperlink" Target="https://doi.org/10.1182/blood.2025028597" TargetMode="External"/><Relationship Id="rId89" Type="http://schemas.openxmlformats.org/officeDocument/2006/relationships/hyperlink" Target="https://doi.org/10.1016/j.heliyon.2024.e39491" TargetMode="External"/><Relationship Id="rId80" Type="http://schemas.openxmlformats.org/officeDocument/2006/relationships/hyperlink" Target="https://doi.org/10.1016/j.imlet.2019.02.004" TargetMode="External"/><Relationship Id="rId82" Type="http://schemas.openxmlformats.org/officeDocument/2006/relationships/hyperlink" Target="https://doi.org/10.1016/j.cej.2025.169906" TargetMode="External"/><Relationship Id="rId81" Type="http://schemas.openxmlformats.org/officeDocument/2006/relationships/hyperlink" Target="https://doi.org/10.1016/j.iotech.2025.101062" TargetMode="External"/><Relationship Id="rId1" Type="http://schemas.openxmlformats.org/officeDocument/2006/relationships/hyperlink" Target="https://doi.org/10.1016/j.omton.2024.200766" TargetMode="External"/><Relationship Id="rId2" Type="http://schemas.openxmlformats.org/officeDocument/2006/relationships/hyperlink" Target="https://doi.org/10.1016/j.cell.2020.09.015" TargetMode="External"/><Relationship Id="rId3" Type="http://schemas.openxmlformats.org/officeDocument/2006/relationships/hyperlink" Target="https://doi.org/10.1016/j.omto.2021.04.005" TargetMode="External"/><Relationship Id="rId149" Type="http://schemas.openxmlformats.org/officeDocument/2006/relationships/hyperlink" Target="https://doi.org/10.1016/j.celrep.2022.110916" TargetMode="External"/><Relationship Id="rId4" Type="http://schemas.openxmlformats.org/officeDocument/2006/relationships/hyperlink" Target="https://doi.org/10.1016/j.jpha.2023.04.012" TargetMode="External"/><Relationship Id="rId148" Type="http://schemas.openxmlformats.org/officeDocument/2006/relationships/hyperlink" Target="https://doi.org/10.1016/j.gendis.2023.04.027" TargetMode="External"/><Relationship Id="rId9" Type="http://schemas.openxmlformats.org/officeDocument/2006/relationships/hyperlink" Target="https://doi.org/10.1016/j.esmoop.2025.105844" TargetMode="External"/><Relationship Id="rId143" Type="http://schemas.openxmlformats.org/officeDocument/2006/relationships/hyperlink" Target="https://doi.org/10.1016/j.mehy.2019.109545" TargetMode="External"/><Relationship Id="rId142" Type="http://schemas.openxmlformats.org/officeDocument/2006/relationships/hyperlink" Target="https://doi.org/10.1016/j.crmeth.2021.100080" TargetMode="External"/><Relationship Id="rId141" Type="http://schemas.openxmlformats.org/officeDocument/2006/relationships/hyperlink" Target="https://doi.org/10.1016/j.heliyon.2024.e28005" TargetMode="External"/><Relationship Id="rId140" Type="http://schemas.openxmlformats.org/officeDocument/2006/relationships/hyperlink" Target="https://doi.org/10.1016/j.annonc.2025.05.530" TargetMode="External"/><Relationship Id="rId5" Type="http://schemas.openxmlformats.org/officeDocument/2006/relationships/hyperlink" Target="https://doi.org/10.1016/j.isci.2023.108731" TargetMode="External"/><Relationship Id="rId147" Type="http://schemas.openxmlformats.org/officeDocument/2006/relationships/hyperlink" Target="https://doi.org/10.1016/j.celrep.2025.116606" TargetMode="External"/><Relationship Id="rId6" Type="http://schemas.openxmlformats.org/officeDocument/2006/relationships/hyperlink" Target="https://doi.org/10.1016/j.omtm.2020.05.020" TargetMode="External"/><Relationship Id="rId146" Type="http://schemas.openxmlformats.org/officeDocument/2006/relationships/hyperlink" Target="https://doi.org/10.1016/j.crphar.2022.100152" TargetMode="External"/><Relationship Id="rId7" Type="http://schemas.openxmlformats.org/officeDocument/2006/relationships/hyperlink" Target="https://doi.org/10.1016/j.matdes.2022.110720" TargetMode="External"/><Relationship Id="rId145" Type="http://schemas.openxmlformats.org/officeDocument/2006/relationships/hyperlink" Target="https://doi.org/10.1016/j.xcrm.2022.100705" TargetMode="External"/><Relationship Id="rId8" Type="http://schemas.openxmlformats.org/officeDocument/2006/relationships/hyperlink" Target="https://doi.org/10.1016/j.ccell.2018.03.018" TargetMode="External"/><Relationship Id="rId144" Type="http://schemas.openxmlformats.org/officeDocument/2006/relationships/hyperlink" Target="https://doi.org/10.1016/j.mcpro.2022.100220" TargetMode="External"/><Relationship Id="rId73" Type="http://schemas.openxmlformats.org/officeDocument/2006/relationships/hyperlink" Target="https://doi.org/10.1016/j.cell.2021.11.007" TargetMode="External"/><Relationship Id="rId72" Type="http://schemas.openxmlformats.org/officeDocument/2006/relationships/hyperlink" Target="https://doi.org/10.1016/j.ymthe.2020.05.018" TargetMode="External"/><Relationship Id="rId75" Type="http://schemas.openxmlformats.org/officeDocument/2006/relationships/hyperlink" Target="https://doi.org/10.1016/j.jmoldx.2021.08.010" TargetMode="External"/><Relationship Id="rId74" Type="http://schemas.openxmlformats.org/officeDocument/2006/relationships/hyperlink" Target="https://doi.org/10.1016/j.xcrm.2025.102196" TargetMode="External"/><Relationship Id="rId77" Type="http://schemas.openxmlformats.org/officeDocument/2006/relationships/hyperlink" Target="https://doi.org/10.1016/j.tranon.2020.100942" TargetMode="External"/><Relationship Id="rId76" Type="http://schemas.openxmlformats.org/officeDocument/2006/relationships/hyperlink" Target="https://doi.org/10.1016/j.isci.2023.106288" TargetMode="External"/><Relationship Id="rId79" Type="http://schemas.openxmlformats.org/officeDocument/2006/relationships/hyperlink" Target="https://doi.org/10.1016/j.ymthe.2020.11.001" TargetMode="External"/><Relationship Id="rId78" Type="http://schemas.openxmlformats.org/officeDocument/2006/relationships/hyperlink" Target="https://doi.org/10.1016/j.csbj.2022.06.051" TargetMode="External"/><Relationship Id="rId71" Type="http://schemas.openxmlformats.org/officeDocument/2006/relationships/hyperlink" Target="https://doi.org/10.1016/j.xcrm.2023.101151" TargetMode="External"/><Relationship Id="rId70" Type="http://schemas.openxmlformats.org/officeDocument/2006/relationships/hyperlink" Target="https://doi.org/10.1016/j.cell.2020.08.053" TargetMode="External"/><Relationship Id="rId139" Type="http://schemas.openxmlformats.org/officeDocument/2006/relationships/hyperlink" Target="https://doi.org/10.1016/j.xcrm.2022.100896" TargetMode="External"/><Relationship Id="rId138" Type="http://schemas.openxmlformats.org/officeDocument/2006/relationships/hyperlink" Target="https://doi.org/10.1016/j.ccell.2023.03.016" TargetMode="External"/><Relationship Id="rId137" Type="http://schemas.openxmlformats.org/officeDocument/2006/relationships/hyperlink" Target="https://doi.org/10.1016/j.xcrm.2020.100127" TargetMode="External"/><Relationship Id="rId132" Type="http://schemas.openxmlformats.org/officeDocument/2006/relationships/hyperlink" Target="https://doi.org/10.1016/j.jhepr.2024.101164" TargetMode="External"/><Relationship Id="rId253" Type="http://schemas.openxmlformats.org/officeDocument/2006/relationships/hyperlink" Target="https://doi.org/10.1016/j.str.2024.02.007" TargetMode="External"/><Relationship Id="rId131" Type="http://schemas.openxmlformats.org/officeDocument/2006/relationships/hyperlink" Target="https://doi.org/10.1016/j.ccell.2024.10.007" TargetMode="External"/><Relationship Id="rId252" Type="http://schemas.openxmlformats.org/officeDocument/2006/relationships/hyperlink" Target="https://doi.org/10.1182/blood-2018-10-879015" TargetMode="External"/><Relationship Id="rId130" Type="http://schemas.openxmlformats.org/officeDocument/2006/relationships/hyperlink" Target="https://doi.org/10.1016/j.xcrm.2024.101818" TargetMode="External"/><Relationship Id="rId251" Type="http://schemas.openxmlformats.org/officeDocument/2006/relationships/hyperlink" Target="https://doi.org/10.1016/j.omto.2016.12.004" TargetMode="External"/><Relationship Id="rId250" Type="http://schemas.openxmlformats.org/officeDocument/2006/relationships/hyperlink" Target="https://doi.org/10.1016/j.ccell.2023.09.006" TargetMode="External"/><Relationship Id="rId136" Type="http://schemas.openxmlformats.org/officeDocument/2006/relationships/hyperlink" Target="https://doi.org/10.1016/j.bcp.2024.116036" TargetMode="External"/><Relationship Id="rId257" Type="http://schemas.openxmlformats.org/officeDocument/2006/relationships/drawing" Target="../drawings/drawing1.xml"/><Relationship Id="rId135" Type="http://schemas.openxmlformats.org/officeDocument/2006/relationships/hyperlink" Target="https://doi.org/10.1016/j.neo.2022.100808" TargetMode="External"/><Relationship Id="rId256" Type="http://schemas.openxmlformats.org/officeDocument/2006/relationships/hyperlink" Target="https://doi.org/10.1016/j.immuni.2025.10.001" TargetMode="External"/><Relationship Id="rId134" Type="http://schemas.openxmlformats.org/officeDocument/2006/relationships/hyperlink" Target="https://doi.org/10.1016/j.xcrm.2022.100620" TargetMode="External"/><Relationship Id="rId255" Type="http://schemas.openxmlformats.org/officeDocument/2006/relationships/hyperlink" Target="https://doi.org/10.1016/j.jcmgh.2021.06.023" TargetMode="External"/><Relationship Id="rId133" Type="http://schemas.openxmlformats.org/officeDocument/2006/relationships/hyperlink" Target="https://doi.org/10.1016/j.crmeth.2022.100167" TargetMode="External"/><Relationship Id="rId254" Type="http://schemas.openxmlformats.org/officeDocument/2006/relationships/hyperlink" Target="https://doi.org/10.1182/blood-2010-06-288498" TargetMode="External"/><Relationship Id="rId62" Type="http://schemas.openxmlformats.org/officeDocument/2006/relationships/hyperlink" Target="https://doi.org/10.1016/j.jtho.2019.02.008" TargetMode="External"/><Relationship Id="rId61" Type="http://schemas.openxmlformats.org/officeDocument/2006/relationships/hyperlink" Target="https://doi.org/10.6061/clinics/2018/e429s" TargetMode="External"/><Relationship Id="rId64" Type="http://schemas.openxmlformats.org/officeDocument/2006/relationships/hyperlink" Target="https://doi.org/10.1016/j.ccell.2022.03.012" TargetMode="External"/><Relationship Id="rId63" Type="http://schemas.openxmlformats.org/officeDocument/2006/relationships/hyperlink" Target="https://doi.org/10.1016/j.bioactmat.2022.11.014" TargetMode="External"/><Relationship Id="rId66" Type="http://schemas.openxmlformats.org/officeDocument/2006/relationships/hyperlink" Target="https://doi.org/10.1016/j.isci.2023.106616" TargetMode="External"/><Relationship Id="rId172" Type="http://schemas.openxmlformats.org/officeDocument/2006/relationships/hyperlink" Target="https://doi.org/10.1016/j.celrep.2020.107550" TargetMode="External"/><Relationship Id="rId65" Type="http://schemas.openxmlformats.org/officeDocument/2006/relationships/hyperlink" Target="https://doi.org/10.1093/annonc/mdx444" TargetMode="External"/><Relationship Id="rId171" Type="http://schemas.openxmlformats.org/officeDocument/2006/relationships/hyperlink" Target="https://doi.org/10.1016/j.medj.2023.04.003" TargetMode="External"/><Relationship Id="rId68" Type="http://schemas.openxmlformats.org/officeDocument/2006/relationships/hyperlink" Target="https://doi.org/10.1016/j.iotech.2024.101030" TargetMode="External"/><Relationship Id="rId170" Type="http://schemas.openxmlformats.org/officeDocument/2006/relationships/hyperlink" Target="https://doi.org/10.1016/j.jmoldx.2021.04.008" TargetMode="External"/><Relationship Id="rId67" Type="http://schemas.openxmlformats.org/officeDocument/2006/relationships/hyperlink" Target="https://doi.org/10.1016/j.jtho.2015.11.006" TargetMode="External"/><Relationship Id="rId60" Type="http://schemas.openxmlformats.org/officeDocument/2006/relationships/hyperlink" Target="https://doi.org/10.1016/j.bbrep.2018.11.002" TargetMode="External"/><Relationship Id="rId165" Type="http://schemas.openxmlformats.org/officeDocument/2006/relationships/hyperlink" Target="https://doi.org/10.1016/j.isci.2023.106330" TargetMode="External"/><Relationship Id="rId69" Type="http://schemas.openxmlformats.org/officeDocument/2006/relationships/hyperlink" Target="https://doi.org/10.1016/j.heliyon.2023.e13811" TargetMode="External"/><Relationship Id="rId164" Type="http://schemas.openxmlformats.org/officeDocument/2006/relationships/hyperlink" Target="https://doi.org/10.1016/j.heliyon.2024.e33304" TargetMode="External"/><Relationship Id="rId163" Type="http://schemas.openxmlformats.org/officeDocument/2006/relationships/hyperlink" Target="https://doi.org/10.1016/j.clbc.2021.03.007" TargetMode="External"/><Relationship Id="rId162" Type="http://schemas.openxmlformats.org/officeDocument/2006/relationships/hyperlink" Target="https://doi.org/10.1530/ERC-23-0110" TargetMode="External"/><Relationship Id="rId169" Type="http://schemas.openxmlformats.org/officeDocument/2006/relationships/hyperlink" Target="https://doi.org/10.1016/j.heliyon.2024.e24397" TargetMode="External"/><Relationship Id="rId168" Type="http://schemas.openxmlformats.org/officeDocument/2006/relationships/hyperlink" Target="https://doi.org/10.1016/j.cell.2023.12.004" TargetMode="External"/><Relationship Id="rId167" Type="http://schemas.openxmlformats.org/officeDocument/2006/relationships/hyperlink" Target="https://doi.org/10.1016/j.celrep.2024.113877" TargetMode="External"/><Relationship Id="rId166" Type="http://schemas.openxmlformats.org/officeDocument/2006/relationships/hyperlink" Target="https://doi.org/10.1016/j.isci.2022.105392" TargetMode="External"/><Relationship Id="rId51" Type="http://schemas.openxmlformats.org/officeDocument/2006/relationships/hyperlink" Target="https://doi.org/10.1016/j.tranon.2023.101793" TargetMode="External"/><Relationship Id="rId50" Type="http://schemas.openxmlformats.org/officeDocument/2006/relationships/hyperlink" Target="https://doi.org/10.1097/JTO.0b013e3182725fe0" TargetMode="External"/><Relationship Id="rId53" Type="http://schemas.openxmlformats.org/officeDocument/2006/relationships/hyperlink" Target="https://doi.org/10.1016/j.omtn.2025.102623" TargetMode="External"/><Relationship Id="rId52" Type="http://schemas.openxmlformats.org/officeDocument/2006/relationships/hyperlink" Target="https://doi.org/10.1016/j.neo.2025.101200" TargetMode="External"/><Relationship Id="rId55" Type="http://schemas.openxmlformats.org/officeDocument/2006/relationships/hyperlink" Target="https://doi.org/10.1016/j.jmoldx.2022.02.004" TargetMode="External"/><Relationship Id="rId161" Type="http://schemas.openxmlformats.org/officeDocument/2006/relationships/hyperlink" Target="https://doi.org/10.1016/j.crmeth.2023.100596" TargetMode="External"/><Relationship Id="rId54" Type="http://schemas.openxmlformats.org/officeDocument/2006/relationships/hyperlink" Target="https://doi.org/10.1016/j.imu.2023.101169" TargetMode="External"/><Relationship Id="rId160" Type="http://schemas.openxmlformats.org/officeDocument/2006/relationships/hyperlink" Target="https://doi.org/10.1016/j.ccell.2020.02.008" TargetMode="External"/><Relationship Id="rId57" Type="http://schemas.openxmlformats.org/officeDocument/2006/relationships/hyperlink" Target="https://doi.org/10.1016/j.ccell.2018.07.001" TargetMode="External"/><Relationship Id="rId56" Type="http://schemas.openxmlformats.org/officeDocument/2006/relationships/hyperlink" Target="https://doi.org/10.1021/acs.jproteome.4c00773" TargetMode="External"/><Relationship Id="rId159" Type="http://schemas.openxmlformats.org/officeDocument/2006/relationships/hyperlink" Target="https://doi.org/10.1016/j.isci.2020.101386" TargetMode="External"/><Relationship Id="rId59" Type="http://schemas.openxmlformats.org/officeDocument/2006/relationships/hyperlink" Target="https://doi.org/10.1016/j.jtho.2023.06.012" TargetMode="External"/><Relationship Id="rId154" Type="http://schemas.openxmlformats.org/officeDocument/2006/relationships/hyperlink" Target="https://doi.org/10.6061/clinics/2018/e510s" TargetMode="External"/><Relationship Id="rId58" Type="http://schemas.openxmlformats.org/officeDocument/2006/relationships/hyperlink" Target="https://doi.org/10.1016/j.cell.2021.01.002" TargetMode="External"/><Relationship Id="rId153" Type="http://schemas.openxmlformats.org/officeDocument/2006/relationships/hyperlink" Target="https://doi.org/10.1016/j.cell.2016.02.065" TargetMode="External"/><Relationship Id="rId152" Type="http://schemas.openxmlformats.org/officeDocument/2006/relationships/hyperlink" Target="https://doi.org/10.1016/j.talanta.2025.127709" TargetMode="External"/><Relationship Id="rId151" Type="http://schemas.openxmlformats.org/officeDocument/2006/relationships/hyperlink" Target="https://doi.org/10.1016/j.ccell.2021.10.001" TargetMode="External"/><Relationship Id="rId158" Type="http://schemas.openxmlformats.org/officeDocument/2006/relationships/hyperlink" Target="https://doi.org/10.1016/j.rechem.2025.102554" TargetMode="External"/><Relationship Id="rId157" Type="http://schemas.openxmlformats.org/officeDocument/2006/relationships/hyperlink" Target="https://doi.org/10.1016/j.cell.2017.09.007" TargetMode="External"/><Relationship Id="rId156" Type="http://schemas.openxmlformats.org/officeDocument/2006/relationships/hyperlink" Target="https://doi.org/10.1016/j.xcrm.2020.100139" TargetMode="External"/><Relationship Id="rId155" Type="http://schemas.openxmlformats.org/officeDocument/2006/relationships/hyperlink" Target="https://doi.org/10.1016/j.isci.2022.104702" TargetMode="External"/><Relationship Id="rId107" Type="http://schemas.openxmlformats.org/officeDocument/2006/relationships/hyperlink" Target="https://doi.org/10.1016/j.adro.2022.100936" TargetMode="External"/><Relationship Id="rId228" Type="http://schemas.openxmlformats.org/officeDocument/2006/relationships/hyperlink" Target="https://doi.org/10.1016/j.jare.2025.09.014" TargetMode="External"/><Relationship Id="rId106" Type="http://schemas.openxmlformats.org/officeDocument/2006/relationships/hyperlink" Target="https://doi.org/10.1016/j.neo.2022.100818" TargetMode="External"/><Relationship Id="rId227" Type="http://schemas.openxmlformats.org/officeDocument/2006/relationships/hyperlink" Target="https://doi.org/10.1016/j.celrep.2021.109844" TargetMode="External"/><Relationship Id="rId105" Type="http://schemas.openxmlformats.org/officeDocument/2006/relationships/hyperlink" Target="https://doi.org/10.1016/j.cell.2018.09.018" TargetMode="External"/><Relationship Id="rId226" Type="http://schemas.openxmlformats.org/officeDocument/2006/relationships/hyperlink" Target="https://doi.org/10.1016/j.xgen.2022.100165" TargetMode="External"/><Relationship Id="rId104" Type="http://schemas.openxmlformats.org/officeDocument/2006/relationships/hyperlink" Target="https://doi.org/10.1016/j.ccell.2023.08.013" TargetMode="External"/><Relationship Id="rId225" Type="http://schemas.openxmlformats.org/officeDocument/2006/relationships/hyperlink" Target="https://doi.org/10.1016/j.immuni.2022.03.008" TargetMode="External"/><Relationship Id="rId109" Type="http://schemas.openxmlformats.org/officeDocument/2006/relationships/hyperlink" Target="https://doi.org/10.1016/j.cell.2024.02.005" TargetMode="External"/><Relationship Id="rId108" Type="http://schemas.openxmlformats.org/officeDocument/2006/relationships/hyperlink" Target="https://doi.org/10.1016/j.xcrm.2023.101177" TargetMode="External"/><Relationship Id="rId229" Type="http://schemas.openxmlformats.org/officeDocument/2006/relationships/hyperlink" Target="https://doi.org/10.1016/j.ccell.2017.09.004" TargetMode="External"/><Relationship Id="rId220" Type="http://schemas.openxmlformats.org/officeDocument/2006/relationships/hyperlink" Target="https://doi.org/10.1016/j.immuni.2015.08.006" TargetMode="External"/><Relationship Id="rId103" Type="http://schemas.openxmlformats.org/officeDocument/2006/relationships/hyperlink" Target="https://doi.org/10.1016/j.canlet.2021.03.009" TargetMode="External"/><Relationship Id="rId224" Type="http://schemas.openxmlformats.org/officeDocument/2006/relationships/hyperlink" Target="https://doi.org/10.1016/j.cell.2020.06.013" TargetMode="External"/><Relationship Id="rId102" Type="http://schemas.openxmlformats.org/officeDocument/2006/relationships/hyperlink" Target="https://doi.org/10.1016/j.neo.2023.100942" TargetMode="External"/><Relationship Id="rId223" Type="http://schemas.openxmlformats.org/officeDocument/2006/relationships/hyperlink" Target="https://doi.org/10.1016/j.celrep.2023.112040" TargetMode="External"/><Relationship Id="rId101" Type="http://schemas.openxmlformats.org/officeDocument/2006/relationships/hyperlink" Target="https://doi.org/10.1016/j.toxrep.2025.102033" TargetMode="External"/><Relationship Id="rId222" Type="http://schemas.openxmlformats.org/officeDocument/2006/relationships/hyperlink" Target="https://doi.org/10.1016/j.cell.2024.03.039" TargetMode="External"/><Relationship Id="rId100" Type="http://schemas.openxmlformats.org/officeDocument/2006/relationships/hyperlink" Target="https://doi.org/10.1016/j.omtm.2025.101493" TargetMode="External"/><Relationship Id="rId221" Type="http://schemas.openxmlformats.org/officeDocument/2006/relationships/hyperlink" Target="https://doi.org/10.1016/j.isci.2020.101938" TargetMode="External"/><Relationship Id="rId217" Type="http://schemas.openxmlformats.org/officeDocument/2006/relationships/hyperlink" Target="https://doi.org/10.1016/j.immuni.2022.03.007" TargetMode="External"/><Relationship Id="rId216" Type="http://schemas.openxmlformats.org/officeDocument/2006/relationships/hyperlink" Target="https://doi.org/10.1016/j.cell.2024.12.014" TargetMode="External"/><Relationship Id="rId215" Type="http://schemas.openxmlformats.org/officeDocument/2006/relationships/hyperlink" Target="https://doi.org/10.1016/j.celrep.2025.116190" TargetMode="External"/><Relationship Id="rId214" Type="http://schemas.openxmlformats.org/officeDocument/2006/relationships/hyperlink" Target="https://doi.org/10.1016/j.jtbi.2025.112231" TargetMode="External"/><Relationship Id="rId219" Type="http://schemas.openxmlformats.org/officeDocument/2006/relationships/hyperlink" Target="https://doi.org/10.1016/j.cell.2020.05.043" TargetMode="External"/><Relationship Id="rId218" Type="http://schemas.openxmlformats.org/officeDocument/2006/relationships/hyperlink" Target="https://doi.org/10.1182/blood.2023022882" TargetMode="External"/><Relationship Id="rId213" Type="http://schemas.openxmlformats.org/officeDocument/2006/relationships/hyperlink" Target="https://doi.org/10.1016/j.isci.2024.108880" TargetMode="External"/><Relationship Id="rId212" Type="http://schemas.openxmlformats.org/officeDocument/2006/relationships/hyperlink" Target="https://doi.org/10.1016/j.cell.2018.11.021" TargetMode="External"/><Relationship Id="rId211" Type="http://schemas.openxmlformats.org/officeDocument/2006/relationships/hyperlink" Target="https://doi.org/10.1016/j.ccell.2022.08.005" TargetMode="External"/><Relationship Id="rId210" Type="http://schemas.openxmlformats.org/officeDocument/2006/relationships/hyperlink" Target="https://doi.org/10.1016/j.apsb.2024.04.009" TargetMode="External"/><Relationship Id="rId129" Type="http://schemas.openxmlformats.org/officeDocument/2006/relationships/hyperlink" Target="https://doi.org/10.1016/j.micinf.2021.104804" TargetMode="External"/><Relationship Id="rId128" Type="http://schemas.openxmlformats.org/officeDocument/2006/relationships/hyperlink" Target="https://doi.org/10.1016/j.ctarc.2024.100858" TargetMode="External"/><Relationship Id="rId249" Type="http://schemas.openxmlformats.org/officeDocument/2006/relationships/hyperlink" Target="https://doi.org/10.1016/j.ccell.2018.02.010" TargetMode="External"/><Relationship Id="rId127" Type="http://schemas.openxmlformats.org/officeDocument/2006/relationships/hyperlink" Target="https://doi.org/10.1016/j.ajpath.2022.06.015" TargetMode="External"/><Relationship Id="rId248" Type="http://schemas.openxmlformats.org/officeDocument/2006/relationships/hyperlink" Target="https://doi.org/10.1016/j.immuni.2018.03.018" TargetMode="External"/><Relationship Id="rId126" Type="http://schemas.openxmlformats.org/officeDocument/2006/relationships/hyperlink" Target="https://doi.org/10.1016/j.ijsu.2022.106680" TargetMode="External"/><Relationship Id="rId247" Type="http://schemas.openxmlformats.org/officeDocument/2006/relationships/hyperlink" Target="https://doi.org/10.1016/j.cell.2019.10.028" TargetMode="External"/><Relationship Id="rId121" Type="http://schemas.openxmlformats.org/officeDocument/2006/relationships/hyperlink" Target="https://doi.org/10.1016/j.ymthe.2022.06.010" TargetMode="External"/><Relationship Id="rId242" Type="http://schemas.openxmlformats.org/officeDocument/2006/relationships/hyperlink" Target="https://doi.org/10.1016/j.cell.2021.07.016" TargetMode="External"/><Relationship Id="rId120" Type="http://schemas.openxmlformats.org/officeDocument/2006/relationships/hyperlink" Target="https://doi.org/10.1016/j.onano.2023.100124" TargetMode="External"/><Relationship Id="rId241" Type="http://schemas.openxmlformats.org/officeDocument/2006/relationships/hyperlink" Target="https://doi.org/10.1016/j.celrep.2023.112879" TargetMode="External"/><Relationship Id="rId240" Type="http://schemas.openxmlformats.org/officeDocument/2006/relationships/hyperlink" Target="https://doi.org/10.1016/j.omto.2023.09.001" TargetMode="External"/><Relationship Id="rId125" Type="http://schemas.openxmlformats.org/officeDocument/2006/relationships/hyperlink" Target="https://doi.org/10.1016/j.esmoop.2025.104494" TargetMode="External"/><Relationship Id="rId246" Type="http://schemas.openxmlformats.org/officeDocument/2006/relationships/hyperlink" Target="https://doi.org/10.1016/j.redox.2023.102904" TargetMode="External"/><Relationship Id="rId124" Type="http://schemas.openxmlformats.org/officeDocument/2006/relationships/hyperlink" Target="https://doi.org/10.1016/j.omton.2025.201098" TargetMode="External"/><Relationship Id="rId245" Type="http://schemas.openxmlformats.org/officeDocument/2006/relationships/hyperlink" Target="https://doi.org/10.1016/j.ccell.2017.07.006" TargetMode="External"/><Relationship Id="rId123" Type="http://schemas.openxmlformats.org/officeDocument/2006/relationships/hyperlink" Target="https://doi.org/10.1016/j.ccell.2022.09.001" TargetMode="External"/><Relationship Id="rId244" Type="http://schemas.openxmlformats.org/officeDocument/2006/relationships/hyperlink" Target="https://doi.org/10.1016/j.celrep.2023.112944" TargetMode="External"/><Relationship Id="rId122" Type="http://schemas.openxmlformats.org/officeDocument/2006/relationships/hyperlink" Target="https://doi.org/10.1016/j.tranon.2022.101358" TargetMode="External"/><Relationship Id="rId243" Type="http://schemas.openxmlformats.org/officeDocument/2006/relationships/hyperlink" Target="https://doi.org/10.1016/j.mcpro.2024.100830" TargetMode="External"/><Relationship Id="rId95" Type="http://schemas.openxmlformats.org/officeDocument/2006/relationships/hyperlink" Target="https://doi.org/10.1016/j.ccell.2023.03.009" TargetMode="External"/><Relationship Id="rId94" Type="http://schemas.openxmlformats.org/officeDocument/2006/relationships/hyperlink" Target="https://doi.org/10.1016/j.immuni.2021.02.014" TargetMode="External"/><Relationship Id="rId97" Type="http://schemas.openxmlformats.org/officeDocument/2006/relationships/hyperlink" Target="https://doi.org/10.1016/j.eclinm.2025.103369" TargetMode="External"/><Relationship Id="rId96" Type="http://schemas.openxmlformats.org/officeDocument/2006/relationships/hyperlink" Target="https://doi.org/10.1016/j.ccell.2024.08.013" TargetMode="External"/><Relationship Id="rId99" Type="http://schemas.openxmlformats.org/officeDocument/2006/relationships/hyperlink" Target="https://doi.org/10.1016/j.heliyon.2023.e12873" TargetMode="External"/><Relationship Id="rId98" Type="http://schemas.openxmlformats.org/officeDocument/2006/relationships/hyperlink" Target="https://doi.org/10.1016/j.immuni.2022.12.001" TargetMode="External"/><Relationship Id="rId91" Type="http://schemas.openxmlformats.org/officeDocument/2006/relationships/hyperlink" Target="https://doi.org/10.1016/j.wneu.2024.01.039" TargetMode="External"/><Relationship Id="rId90" Type="http://schemas.openxmlformats.org/officeDocument/2006/relationships/hyperlink" Target="https://doi.org/10.1016/j.cell.2017.10.001" TargetMode="External"/><Relationship Id="rId93" Type="http://schemas.openxmlformats.org/officeDocument/2006/relationships/hyperlink" Target="https://doi.org/10.1016/j.annonc.2021.02.006" TargetMode="External"/><Relationship Id="rId92" Type="http://schemas.openxmlformats.org/officeDocument/2006/relationships/hyperlink" Target="https://doi.org/10.1016/j.str.2021.10.008" TargetMode="External"/><Relationship Id="rId118" Type="http://schemas.openxmlformats.org/officeDocument/2006/relationships/hyperlink" Target="https://doi.org/10.1016/j.clon.2019.07.003" TargetMode="External"/><Relationship Id="rId239" Type="http://schemas.openxmlformats.org/officeDocument/2006/relationships/hyperlink" Target="https://doi.org/10.1016/j.cell.2020.06.012" TargetMode="External"/><Relationship Id="rId117" Type="http://schemas.openxmlformats.org/officeDocument/2006/relationships/hyperlink" Target="https://doi.org/10.1016/j.medj.2022.07.009" TargetMode="External"/><Relationship Id="rId238" Type="http://schemas.openxmlformats.org/officeDocument/2006/relationships/hyperlink" Target="https://doi.org/10.1016/j.ccell.2020.05.020" TargetMode="External"/><Relationship Id="rId116" Type="http://schemas.openxmlformats.org/officeDocument/2006/relationships/hyperlink" Target="https://doi.org/10.1016/j.heliyon.2024.e37998" TargetMode="External"/><Relationship Id="rId237" Type="http://schemas.openxmlformats.org/officeDocument/2006/relationships/hyperlink" Target="https://doi.org/10.1016/j.ccell.2020.01.011" TargetMode="External"/><Relationship Id="rId115" Type="http://schemas.openxmlformats.org/officeDocument/2006/relationships/hyperlink" Target="https://doi.org/10.1016/j.semcancer.2021.03.032" TargetMode="External"/><Relationship Id="rId236" Type="http://schemas.openxmlformats.org/officeDocument/2006/relationships/hyperlink" Target="https://doi.org/10.1016/j.celrep.2022.111201" TargetMode="External"/><Relationship Id="rId119" Type="http://schemas.openxmlformats.org/officeDocument/2006/relationships/hyperlink" Target="https://doi.org/10.1016/j.jbior.2025.101132" TargetMode="External"/><Relationship Id="rId110" Type="http://schemas.openxmlformats.org/officeDocument/2006/relationships/hyperlink" Target="https://doi.org/10.1016/j.clinbiochem.2022.07.002" TargetMode="External"/><Relationship Id="rId231" Type="http://schemas.openxmlformats.org/officeDocument/2006/relationships/hyperlink" Target="https://doi.org/10.1016/j.ccell.2022.11.002" TargetMode="External"/><Relationship Id="rId230" Type="http://schemas.openxmlformats.org/officeDocument/2006/relationships/hyperlink" Target="https://doi.org/10.1016/j.ccell.2022.08.015" TargetMode="External"/><Relationship Id="rId114" Type="http://schemas.openxmlformats.org/officeDocument/2006/relationships/hyperlink" Target="https://doi.org/10.1093/annonc/mdy050" TargetMode="External"/><Relationship Id="rId235" Type="http://schemas.openxmlformats.org/officeDocument/2006/relationships/hyperlink" Target="https://doi.org/10.1016/j.celrep.2024.114306" TargetMode="External"/><Relationship Id="rId113" Type="http://schemas.openxmlformats.org/officeDocument/2006/relationships/hyperlink" Target="https://doi.org/10.1016/j.cell.2020.05.017" TargetMode="External"/><Relationship Id="rId234" Type="http://schemas.openxmlformats.org/officeDocument/2006/relationships/hyperlink" Target="https://doi.org/10.1016/j.cell.2024.03.019" TargetMode="External"/><Relationship Id="rId112" Type="http://schemas.openxmlformats.org/officeDocument/2006/relationships/hyperlink" Target="https://doi.org/10.1016/j.cell.2019.07.019" TargetMode="External"/><Relationship Id="rId233" Type="http://schemas.openxmlformats.org/officeDocument/2006/relationships/hyperlink" Target="https://doi.org/10.1016/j.neo.2018.01.007" TargetMode="External"/><Relationship Id="rId111" Type="http://schemas.openxmlformats.org/officeDocument/2006/relationships/hyperlink" Target="https://doi.org/10.1016/j.biopha.2020.110753" TargetMode="External"/><Relationship Id="rId232" Type="http://schemas.openxmlformats.org/officeDocument/2006/relationships/hyperlink" Target="https://doi.org/10.1016/j.xcrm.2025.102322" TargetMode="External"/><Relationship Id="rId206" Type="http://schemas.openxmlformats.org/officeDocument/2006/relationships/hyperlink" Target="https://doi.org/10.1016/j.ymthe.2025.04.031" TargetMode="External"/><Relationship Id="rId205" Type="http://schemas.openxmlformats.org/officeDocument/2006/relationships/hyperlink" Target="https://doi.org/10.1016/j.cell.2024.10.016" TargetMode="External"/><Relationship Id="rId204" Type="http://schemas.openxmlformats.org/officeDocument/2006/relationships/hyperlink" Target="https://doi.org/10.1016/j.cmet.2022.04.003" TargetMode="External"/><Relationship Id="rId203" Type="http://schemas.openxmlformats.org/officeDocument/2006/relationships/hyperlink" Target="https://doi.org/10.1016/j.isci.2025.111842" TargetMode="External"/><Relationship Id="rId209" Type="http://schemas.openxmlformats.org/officeDocument/2006/relationships/hyperlink" Target="https://doi.org/10.1016/j.omton.2025.201027" TargetMode="External"/><Relationship Id="rId208" Type="http://schemas.openxmlformats.org/officeDocument/2006/relationships/hyperlink" Target="https://doi.org/10.1016/j.ccell.2020.08.007" TargetMode="External"/><Relationship Id="rId207" Type="http://schemas.openxmlformats.org/officeDocument/2006/relationships/hyperlink" Target="https://doi.org/10.1016/j.electacta.2025.146929" TargetMode="External"/><Relationship Id="rId202" Type="http://schemas.openxmlformats.org/officeDocument/2006/relationships/hyperlink" Target="https://doi.org/10.1016/j.ccell.2024.06.001" TargetMode="External"/><Relationship Id="rId201" Type="http://schemas.openxmlformats.org/officeDocument/2006/relationships/hyperlink" Target="https://doi.org/10.1016/j.ccell.2024.06.009" TargetMode="External"/><Relationship Id="rId200" Type="http://schemas.openxmlformats.org/officeDocument/2006/relationships/hyperlink" Target="https://doi.org/10.1016/j.ebiom.2024.105515" TargetMode="External"/></Relationships>
</file>

<file path=xl/worksheets/_rels/sheet2.xml.rels><?xml version="1.0" encoding="UTF-8" standalone="yes"?><Relationships xmlns="http://schemas.openxmlformats.org/package/2006/relationships"><Relationship Id="rId31" Type="http://schemas.openxmlformats.org/officeDocument/2006/relationships/hyperlink" Target="https://doi.org/10.1016/j.immuni.2022.12.001" TargetMode="External"/><Relationship Id="rId30" Type="http://schemas.openxmlformats.org/officeDocument/2006/relationships/hyperlink" Target="https://doi.org/10.1016/j.ccell.2024.08.013" TargetMode="External"/><Relationship Id="rId33" Type="http://schemas.openxmlformats.org/officeDocument/2006/relationships/hyperlink" Target="https://doi.org/10.1016/j.isci.2020.101386" TargetMode="External"/><Relationship Id="rId32" Type="http://schemas.openxmlformats.org/officeDocument/2006/relationships/hyperlink" Target="https://doi.org/10.1016/j.cell.2019.07.019" TargetMode="External"/><Relationship Id="rId35" Type="http://schemas.openxmlformats.org/officeDocument/2006/relationships/hyperlink" Target="https://doi.org/10.1016/j.crmeth.2023.100596" TargetMode="External"/><Relationship Id="rId34" Type="http://schemas.openxmlformats.org/officeDocument/2006/relationships/hyperlink" Target="https://doi.org/10.1016/j.ccell.2020.02.008" TargetMode="External"/><Relationship Id="rId37" Type="http://schemas.openxmlformats.org/officeDocument/2006/relationships/hyperlink" Target="https://doi.org/10.1016/j.ccell.2023.09.006" TargetMode="External"/><Relationship Id="rId36" Type="http://schemas.openxmlformats.org/officeDocument/2006/relationships/hyperlink" Target="https://doi.org/10.1016/j.crmeth.2021.100084" TargetMode="External"/><Relationship Id="rId38" Type="http://schemas.openxmlformats.org/officeDocument/2006/relationships/drawing" Target="../drawings/drawing2.xml"/><Relationship Id="rId20" Type="http://schemas.openxmlformats.org/officeDocument/2006/relationships/hyperlink" Target="https://doi.org/10.1016/j.jtho.2015.11.006" TargetMode="External"/><Relationship Id="rId22" Type="http://schemas.openxmlformats.org/officeDocument/2006/relationships/hyperlink" Target="https://doi.org/10.1016/j.cell.2021.11.007" TargetMode="External"/><Relationship Id="rId21" Type="http://schemas.openxmlformats.org/officeDocument/2006/relationships/hyperlink" Target="https://doi.org/10.1016/j.iotech.2024.101030" TargetMode="External"/><Relationship Id="rId24" Type="http://schemas.openxmlformats.org/officeDocument/2006/relationships/hyperlink" Target="https://doi.org/10.1016/j.isci.2023.106288" TargetMode="External"/><Relationship Id="rId23" Type="http://schemas.openxmlformats.org/officeDocument/2006/relationships/hyperlink" Target="https://doi.org/10.1016/j.jmoldx.2021.08.010" TargetMode="External"/><Relationship Id="rId26" Type="http://schemas.openxmlformats.org/officeDocument/2006/relationships/hyperlink" Target="https://doi.org/10.1016/j.cell.2017.10.001" TargetMode="External"/><Relationship Id="rId25" Type="http://schemas.openxmlformats.org/officeDocument/2006/relationships/hyperlink" Target="https://doi.org/10.1016/j.annonc.2022.03.013" TargetMode="External"/><Relationship Id="rId28" Type="http://schemas.openxmlformats.org/officeDocument/2006/relationships/hyperlink" Target="https://doi.org/10.1016/j.immuni.2021.02.014" TargetMode="External"/><Relationship Id="rId27" Type="http://schemas.openxmlformats.org/officeDocument/2006/relationships/hyperlink" Target="https://doi.org/10.1016/j.annonc.2021.02.006" TargetMode="External"/><Relationship Id="rId29" Type="http://schemas.openxmlformats.org/officeDocument/2006/relationships/hyperlink" Target="https://doi.org/10.1016/j.ccell.2023.03.009" TargetMode="External"/><Relationship Id="rId11" Type="http://schemas.openxmlformats.org/officeDocument/2006/relationships/hyperlink" Target="https://doi.org/10.1016/j.immuni.2023.09.002" TargetMode="External"/><Relationship Id="rId10" Type="http://schemas.openxmlformats.org/officeDocument/2006/relationships/hyperlink" Target="https://doi.org/10.1016/S1470-2045(17)30516-8" TargetMode="External"/><Relationship Id="rId13" Type="http://schemas.openxmlformats.org/officeDocument/2006/relationships/hyperlink" Target="https://doi.org/10.1016/j.jmoldx.2022.02.004" TargetMode="External"/><Relationship Id="rId12" Type="http://schemas.openxmlformats.org/officeDocument/2006/relationships/hyperlink" Target="https://doi.org/10.1016/j.xcrm.2024.101489" TargetMode="External"/><Relationship Id="rId15" Type="http://schemas.openxmlformats.org/officeDocument/2006/relationships/hyperlink" Target="https://doi.org/10.1016/j.ccell.2018.07.001" TargetMode="External"/><Relationship Id="rId14" Type="http://schemas.openxmlformats.org/officeDocument/2006/relationships/hyperlink" Target="https://www.jmdjournal.org/article/S1525-1578(22)00072-1/fulltext" TargetMode="External"/><Relationship Id="rId17" Type="http://schemas.openxmlformats.org/officeDocument/2006/relationships/hyperlink" Target="https://doi.org/10.1016/j.jtho.2023.06.012" TargetMode="External"/><Relationship Id="rId16" Type="http://schemas.openxmlformats.org/officeDocument/2006/relationships/hyperlink" Target="https://doi.org/10.1016/j.cell.2021.01.002" TargetMode="External"/><Relationship Id="rId19" Type="http://schemas.openxmlformats.org/officeDocument/2006/relationships/hyperlink" Target="https://doi.org/10.1016/j.isci.2023.106616" TargetMode="External"/><Relationship Id="rId18" Type="http://schemas.openxmlformats.org/officeDocument/2006/relationships/hyperlink" Target="https://doi.org/10.1016/j.ccell.2022.03.012" TargetMode="External"/><Relationship Id="rId1" Type="http://schemas.openxmlformats.org/officeDocument/2006/relationships/hyperlink" Target="https://doi.org/10.1016/j.cell.2020.09.015" TargetMode="External"/><Relationship Id="rId2" Type="http://schemas.openxmlformats.org/officeDocument/2006/relationships/hyperlink" Target="https://doi.org/10.1016/j.ccell.2018.03.018" TargetMode="External"/><Relationship Id="rId3" Type="http://schemas.openxmlformats.org/officeDocument/2006/relationships/hyperlink" Target="https://github.com/hammerlab/varcode)" TargetMode="External"/><Relationship Id="rId4" Type="http://schemas.openxmlformats.org/officeDocument/2006/relationships/hyperlink" Target="https://doi.org/10.1016/j.jcyt.2021.08.005" TargetMode="External"/><Relationship Id="rId9" Type="http://schemas.openxmlformats.org/officeDocument/2006/relationships/hyperlink" Target="https://doi.org/10.1016/j.ccell.2025.06.012" TargetMode="External"/><Relationship Id="rId5" Type="http://schemas.openxmlformats.org/officeDocument/2006/relationships/hyperlink" Target="https://doi.org/10.1016/j.ccell.2023.12.013" TargetMode="External"/><Relationship Id="rId6" Type="http://schemas.openxmlformats.org/officeDocument/2006/relationships/hyperlink" Target="https://doi.org/10.1016/j.omtm.2025.101517" TargetMode="External"/><Relationship Id="rId7" Type="http://schemas.openxmlformats.org/officeDocument/2006/relationships/hyperlink" Target="https://doi.org/10.1093/annonc/mdx687" TargetMode="External"/><Relationship Id="rId8" Type="http://schemas.openxmlformats.org/officeDocument/2006/relationships/hyperlink" Target="https://doi.org/10.1016/j.xcrm.2023.101145"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oi.org/10.1016/j.isci.2020.101386" TargetMode="External"/><Relationship Id="rId10" Type="http://schemas.openxmlformats.org/officeDocument/2006/relationships/hyperlink" Target="https://doi.org/10.1016/j.ccell.2024.08.013" TargetMode="External"/><Relationship Id="rId13" Type="http://schemas.openxmlformats.org/officeDocument/2006/relationships/hyperlink" Target="https://doi.org/10.1007/s00262-024-03906-z" TargetMode="External"/><Relationship Id="rId12" Type="http://schemas.openxmlformats.org/officeDocument/2006/relationships/hyperlink" Target="https://doi.org/10.1136/jitc-2021-002531" TargetMode="External"/><Relationship Id="rId14" Type="http://schemas.openxmlformats.org/officeDocument/2006/relationships/drawing" Target="../drawings/drawing3.xml"/><Relationship Id="rId1" Type="http://schemas.openxmlformats.org/officeDocument/2006/relationships/hyperlink" Target="https://doi.org/10.1016/j.ccell.2018.03.018" TargetMode="External"/><Relationship Id="rId2" Type="http://schemas.openxmlformats.org/officeDocument/2006/relationships/hyperlink" Target="https://github.com/hammerlab/varcode)" TargetMode="External"/><Relationship Id="rId3" Type="http://schemas.openxmlformats.org/officeDocument/2006/relationships/hyperlink" Target="https://doi.org/10.1016/S1470-2045(17)30516-8" TargetMode="External"/><Relationship Id="rId4" Type="http://schemas.openxmlformats.org/officeDocument/2006/relationships/hyperlink" Target="https://doi.org/10.1016/j.jmoldx.2022.02.004" TargetMode="External"/><Relationship Id="rId9" Type="http://schemas.openxmlformats.org/officeDocument/2006/relationships/hyperlink" Target="https://doi.org/10.1016/j.iotech.2024.101030" TargetMode="External"/><Relationship Id="rId5" Type="http://schemas.openxmlformats.org/officeDocument/2006/relationships/hyperlink" Target="https://www.jmdjournal.org/article/S1525-1578(22)00072-1/fulltext" TargetMode="External"/><Relationship Id="rId6" Type="http://schemas.openxmlformats.org/officeDocument/2006/relationships/hyperlink" Target="https://doi.org/10.1016/j.ccell.2018.07.001" TargetMode="External"/><Relationship Id="rId7" Type="http://schemas.openxmlformats.org/officeDocument/2006/relationships/hyperlink" Target="https://doi.org/10.1016/j.ccell.2022.03.012" TargetMode="External"/><Relationship Id="rId8" Type="http://schemas.openxmlformats.org/officeDocument/2006/relationships/hyperlink" Target="https://doi.org/10.1016/j.jtho.2015.11.00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16/j.cell.2020.08.053" TargetMode="External"/><Relationship Id="rId2" Type="http://schemas.openxmlformats.org/officeDocument/2006/relationships/hyperlink" Target="https://doi.org/10.1016/j.xcrm.2025.102196" TargetMode="External"/><Relationship Id="rId3" Type="http://schemas.openxmlformats.org/officeDocument/2006/relationships/hyperlink" Target="https://doi.org/10.1016/j.xcrm.2024.101516" TargetMode="External"/><Relationship Id="rId4" Type="http://schemas.openxmlformats.org/officeDocument/2006/relationships/hyperlink" Target="https://doi.org/10.1016/j.ccell.2022.08.003" TargetMode="External"/><Relationship Id="rId5" Type="http://schemas.openxmlformats.org/officeDocument/2006/relationships/hyperlink" Target="https://doi.org/10.1016/j.xcrm.2024.101516" TargetMode="External"/><Relationship Id="rId6" Type="http://schemas.openxmlformats.org/officeDocument/2006/relationships/hyperlink" Target="https://doi.org/10.1016/j.ccell.2022.08.003"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016/j.xcrm.2024.101516" TargetMode="External"/><Relationship Id="rId2" Type="http://schemas.openxmlformats.org/officeDocument/2006/relationships/hyperlink" Target="https://doi.org/10.1016/j.ccell.2022.08.003"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doi.org/10.1136/jitc-2021-002531" TargetMode="External"/><Relationship Id="rId10" Type="http://schemas.openxmlformats.org/officeDocument/2006/relationships/hyperlink" Target="https://doi.org/10.1016/j.xcrm.2024.101516" TargetMode="External"/><Relationship Id="rId13" Type="http://schemas.openxmlformats.org/officeDocument/2006/relationships/drawing" Target="../drawings/drawing6.xml"/><Relationship Id="rId12" Type="http://schemas.openxmlformats.org/officeDocument/2006/relationships/hyperlink" Target="https://doi.org/10.1007/s00262-024-03906-z" TargetMode="External"/><Relationship Id="rId1" Type="http://schemas.openxmlformats.org/officeDocument/2006/relationships/hyperlink" Target="https://doi.org/10.1016/j.ccell.2018.03.018" TargetMode="External"/><Relationship Id="rId2" Type="http://schemas.openxmlformats.org/officeDocument/2006/relationships/hyperlink" Target="https://doi.org/10.1016/S1470-2045(17)30516-8" TargetMode="External"/><Relationship Id="rId3" Type="http://schemas.openxmlformats.org/officeDocument/2006/relationships/hyperlink" Target="https://doi.org/10.1016/j.jmoldx.2022.02.004" TargetMode="External"/><Relationship Id="rId4" Type="http://schemas.openxmlformats.org/officeDocument/2006/relationships/hyperlink" Target="https://doi.org/10.1016/j.ccell.2018.07.001" TargetMode="External"/><Relationship Id="rId9" Type="http://schemas.openxmlformats.org/officeDocument/2006/relationships/hyperlink" Target="https://doi.org/10.1016/j.isci.2020.101386" TargetMode="External"/><Relationship Id="rId5" Type="http://schemas.openxmlformats.org/officeDocument/2006/relationships/hyperlink" Target="https://doi.org/10.1016/j.ccell.2022.03.012" TargetMode="External"/><Relationship Id="rId6" Type="http://schemas.openxmlformats.org/officeDocument/2006/relationships/hyperlink" Target="https://doi.org/10.1016/j.jtho.2015.11.006" TargetMode="External"/><Relationship Id="rId7" Type="http://schemas.openxmlformats.org/officeDocument/2006/relationships/hyperlink" Target="https://doi.org/10.1016/j.iotech.2024.101030" TargetMode="External"/><Relationship Id="rId8" Type="http://schemas.openxmlformats.org/officeDocument/2006/relationships/hyperlink" Target="https://doi.org/10.1016/j.ccell.2024.08.0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13.88"/>
    <col customWidth="1" min="3" max="3" width="176.25"/>
    <col customWidth="1" min="4" max="4" width="27.0"/>
    <col customWidth="1" min="5" max="5" width="13.88"/>
    <col customWidth="1" hidden="1" min="6" max="6" width="139.38"/>
    <col customWidth="1" hidden="1" min="7" max="7" width="14.13"/>
    <col customWidth="1" min="8" max="8" width="15.38"/>
    <col customWidth="1" min="9" max="9" width="14.25"/>
    <col customWidth="1" hidden="1" min="10" max="10" width="23.5"/>
    <col customWidth="1" hidden="1" min="11" max="11" width="18.63"/>
    <col customWidth="1" hidden="1" min="12" max="12" width="18.13"/>
    <col customWidth="1" min="13" max="13" width="332.38"/>
  </cols>
  <sheetData>
    <row r="1">
      <c r="A1" s="1" t="s">
        <v>0</v>
      </c>
      <c r="B1" s="2" t="s">
        <v>1</v>
      </c>
      <c r="C1" s="1" t="s">
        <v>2</v>
      </c>
      <c r="D1" s="3" t="s">
        <v>3</v>
      </c>
      <c r="E1" s="1" t="s">
        <v>4</v>
      </c>
      <c r="F1" s="1" t="s">
        <v>5</v>
      </c>
      <c r="G1" s="1" t="s">
        <v>6</v>
      </c>
      <c r="H1" s="4" t="s">
        <v>7</v>
      </c>
      <c r="I1" s="5" t="s">
        <v>8</v>
      </c>
      <c r="J1" s="5" t="s">
        <v>9</v>
      </c>
      <c r="K1" s="5" t="s">
        <v>10</v>
      </c>
      <c r="L1" s="5" t="s">
        <v>11</v>
      </c>
      <c r="M1" s="5" t="s">
        <v>12</v>
      </c>
      <c r="N1" s="6"/>
      <c r="O1" s="6"/>
      <c r="P1" s="6"/>
      <c r="Q1" s="6"/>
      <c r="R1" s="6"/>
      <c r="S1" s="6"/>
      <c r="T1" s="6"/>
      <c r="U1" s="6"/>
      <c r="V1" s="6"/>
      <c r="W1" s="6"/>
      <c r="X1" s="6"/>
      <c r="Y1" s="6"/>
      <c r="Z1" s="6"/>
    </row>
    <row r="2">
      <c r="A2" s="7">
        <v>2024.0</v>
      </c>
      <c r="B2" s="8" t="s">
        <v>13</v>
      </c>
      <c r="C2" s="9" t="s">
        <v>14</v>
      </c>
      <c r="D2" s="10" t="s">
        <v>15</v>
      </c>
      <c r="E2" s="11" t="s">
        <v>16</v>
      </c>
      <c r="F2" s="9" t="s">
        <v>17</v>
      </c>
      <c r="G2" s="12" t="s">
        <v>18</v>
      </c>
      <c r="H2" s="9" t="s">
        <v>19</v>
      </c>
      <c r="I2" s="13" t="s">
        <v>20</v>
      </c>
      <c r="J2" s="14"/>
      <c r="K2" s="14"/>
      <c r="L2" s="14"/>
      <c r="M2" s="13" t="s">
        <v>21</v>
      </c>
      <c r="N2" s="14"/>
      <c r="O2" s="14"/>
      <c r="P2" s="14"/>
      <c r="Q2" s="14"/>
    </row>
    <row r="3" ht="15.75" customHeight="1">
      <c r="A3" s="7">
        <v>2020.0</v>
      </c>
      <c r="B3" s="8" t="s">
        <v>22</v>
      </c>
      <c r="C3" s="9" t="s">
        <v>23</v>
      </c>
      <c r="D3" s="10" t="s">
        <v>24</v>
      </c>
      <c r="E3" s="11" t="s">
        <v>25</v>
      </c>
      <c r="F3" s="9" t="s">
        <v>26</v>
      </c>
      <c r="G3" s="12" t="s">
        <v>18</v>
      </c>
      <c r="H3" s="9" t="s">
        <v>19</v>
      </c>
      <c r="I3" s="13" t="s">
        <v>27</v>
      </c>
      <c r="J3" s="14"/>
      <c r="K3" s="14"/>
      <c r="L3" s="14"/>
      <c r="M3" s="14"/>
      <c r="N3" s="14"/>
      <c r="O3" s="14"/>
      <c r="P3" s="14"/>
      <c r="Q3" s="14"/>
    </row>
    <row r="4">
      <c r="A4" s="7">
        <v>2021.0</v>
      </c>
      <c r="B4" s="8" t="s">
        <v>28</v>
      </c>
      <c r="C4" s="9" t="s">
        <v>29</v>
      </c>
      <c r="D4" s="10" t="s">
        <v>30</v>
      </c>
      <c r="E4" s="11" t="s">
        <v>31</v>
      </c>
      <c r="F4" s="9" t="s">
        <v>32</v>
      </c>
      <c r="G4" s="12" t="s">
        <v>18</v>
      </c>
      <c r="H4" s="9" t="s">
        <v>19</v>
      </c>
      <c r="I4" s="13" t="s">
        <v>27</v>
      </c>
      <c r="J4" s="14"/>
      <c r="K4" s="14"/>
      <c r="L4" s="14"/>
      <c r="M4" s="13"/>
      <c r="N4" s="13"/>
      <c r="O4" s="14"/>
      <c r="P4" s="14"/>
      <c r="Q4" s="14"/>
    </row>
    <row r="5">
      <c r="A5" s="7">
        <v>2023.0</v>
      </c>
      <c r="B5" s="8" t="s">
        <v>33</v>
      </c>
      <c r="C5" s="12" t="s">
        <v>34</v>
      </c>
      <c r="D5" s="10" t="s">
        <v>35</v>
      </c>
      <c r="E5" s="11" t="s">
        <v>36</v>
      </c>
      <c r="F5" s="12" t="s">
        <v>37</v>
      </c>
      <c r="G5" s="12" t="s">
        <v>18</v>
      </c>
      <c r="H5" s="9" t="s">
        <v>19</v>
      </c>
      <c r="I5" s="13" t="s">
        <v>20</v>
      </c>
      <c r="J5" s="14"/>
      <c r="K5" s="14"/>
      <c r="L5" s="14"/>
      <c r="M5" s="13" t="s">
        <v>38</v>
      </c>
      <c r="N5" s="14"/>
      <c r="O5" s="14"/>
      <c r="P5" s="14"/>
      <c r="Q5" s="14"/>
    </row>
    <row r="6">
      <c r="A6" s="7">
        <v>2024.0</v>
      </c>
      <c r="B6" s="8" t="s">
        <v>39</v>
      </c>
      <c r="C6" s="12" t="s">
        <v>40</v>
      </c>
      <c r="D6" s="10" t="s">
        <v>41</v>
      </c>
      <c r="E6" s="11" t="s">
        <v>42</v>
      </c>
      <c r="F6" s="9" t="s">
        <v>43</v>
      </c>
      <c r="G6" s="12" t="s">
        <v>18</v>
      </c>
      <c r="H6" s="9" t="s">
        <v>19</v>
      </c>
      <c r="I6" s="13" t="s">
        <v>20</v>
      </c>
      <c r="J6" s="14"/>
      <c r="K6" s="14"/>
      <c r="L6" s="14"/>
      <c r="M6" s="13" t="s">
        <v>44</v>
      </c>
      <c r="N6" s="14"/>
      <c r="O6" s="14"/>
      <c r="P6" s="14"/>
      <c r="Q6" s="14"/>
    </row>
    <row r="7">
      <c r="A7" s="7">
        <v>2020.0</v>
      </c>
      <c r="B7" s="8" t="s">
        <v>45</v>
      </c>
      <c r="C7" s="12" t="s">
        <v>46</v>
      </c>
      <c r="D7" s="10" t="s">
        <v>47</v>
      </c>
      <c r="E7" s="11" t="s">
        <v>48</v>
      </c>
      <c r="F7" s="9" t="s">
        <v>49</v>
      </c>
      <c r="G7" s="12" t="s">
        <v>18</v>
      </c>
      <c r="H7" s="9" t="s">
        <v>19</v>
      </c>
      <c r="I7" s="13" t="s">
        <v>20</v>
      </c>
      <c r="J7" s="14"/>
      <c r="K7" s="14"/>
      <c r="L7" s="14"/>
      <c r="M7" s="13" t="s">
        <v>50</v>
      </c>
      <c r="N7" s="14"/>
      <c r="O7" s="14"/>
      <c r="P7" s="14"/>
      <c r="Q7" s="14"/>
    </row>
    <row r="8">
      <c r="A8" s="7">
        <v>2022.0</v>
      </c>
      <c r="B8" s="8" t="s">
        <v>51</v>
      </c>
      <c r="C8" s="9" t="s">
        <v>52</v>
      </c>
      <c r="D8" s="10" t="s">
        <v>53</v>
      </c>
      <c r="E8" s="11" t="s">
        <v>54</v>
      </c>
      <c r="F8" s="9" t="s">
        <v>55</v>
      </c>
      <c r="G8" s="12" t="s">
        <v>18</v>
      </c>
      <c r="H8" s="9" t="s">
        <v>19</v>
      </c>
      <c r="I8" s="13" t="s">
        <v>20</v>
      </c>
      <c r="J8" s="14"/>
      <c r="K8" s="14"/>
      <c r="L8" s="14"/>
      <c r="M8" s="13" t="s">
        <v>56</v>
      </c>
      <c r="N8" s="14"/>
      <c r="O8" s="14"/>
      <c r="P8" s="14"/>
      <c r="Q8" s="14"/>
    </row>
    <row r="9" ht="14.25" customHeight="1">
      <c r="A9" s="7">
        <v>2018.0</v>
      </c>
      <c r="B9" s="8" t="s">
        <v>57</v>
      </c>
      <c r="C9" s="12" t="s">
        <v>58</v>
      </c>
      <c r="D9" s="10" t="s">
        <v>59</v>
      </c>
      <c r="E9" s="11" t="s">
        <v>60</v>
      </c>
      <c r="F9" s="12" t="s">
        <v>61</v>
      </c>
      <c r="G9" s="12" t="s">
        <v>18</v>
      </c>
      <c r="H9" s="9" t="s">
        <v>19</v>
      </c>
      <c r="I9" s="13" t="s">
        <v>27</v>
      </c>
      <c r="J9" s="14"/>
      <c r="K9" s="14"/>
      <c r="L9" s="14"/>
      <c r="M9" s="14"/>
      <c r="N9" s="14"/>
      <c r="O9" s="14"/>
      <c r="P9" s="14"/>
      <c r="Q9" s="14"/>
    </row>
    <row r="10" ht="13.5" customHeight="1">
      <c r="A10" s="7">
        <v>2025.0</v>
      </c>
      <c r="B10" s="8" t="s">
        <v>62</v>
      </c>
      <c r="C10" s="12" t="s">
        <v>63</v>
      </c>
      <c r="D10" s="10" t="s">
        <v>64</v>
      </c>
      <c r="E10" s="11" t="s">
        <v>65</v>
      </c>
      <c r="F10" s="9" t="s">
        <v>66</v>
      </c>
      <c r="G10" s="12" t="s">
        <v>18</v>
      </c>
      <c r="H10" s="9" t="s">
        <v>67</v>
      </c>
      <c r="I10" s="13" t="s">
        <v>20</v>
      </c>
      <c r="J10" s="14"/>
      <c r="K10" s="14"/>
      <c r="L10" s="14"/>
      <c r="M10" s="13" t="s">
        <v>68</v>
      </c>
      <c r="N10" s="14"/>
      <c r="O10" s="14"/>
      <c r="P10" s="14"/>
      <c r="Q10" s="14"/>
    </row>
    <row r="11" ht="17.25" customHeight="1">
      <c r="A11" s="7">
        <v>2022.0</v>
      </c>
      <c r="B11" s="8" t="s">
        <v>69</v>
      </c>
      <c r="C11" s="12" t="s">
        <v>70</v>
      </c>
      <c r="D11" s="10" t="s">
        <v>71</v>
      </c>
      <c r="E11" s="11" t="s">
        <v>72</v>
      </c>
      <c r="F11" s="12" t="s">
        <v>73</v>
      </c>
      <c r="G11" s="12" t="s">
        <v>18</v>
      </c>
      <c r="H11" s="9" t="s">
        <v>19</v>
      </c>
      <c r="I11" s="13" t="s">
        <v>27</v>
      </c>
      <c r="J11" s="14"/>
      <c r="K11" s="14"/>
      <c r="L11" s="14"/>
      <c r="M11" s="14"/>
      <c r="N11" s="14"/>
      <c r="O11" s="14"/>
      <c r="P11" s="14"/>
      <c r="Q11" s="14"/>
    </row>
    <row r="12">
      <c r="A12" s="7">
        <v>2025.0</v>
      </c>
      <c r="B12" s="8" t="s">
        <v>74</v>
      </c>
      <c r="C12" s="12" t="s">
        <v>75</v>
      </c>
      <c r="D12" s="10" t="s">
        <v>76</v>
      </c>
      <c r="E12" s="11" t="s">
        <v>77</v>
      </c>
      <c r="F12" s="12" t="s">
        <v>78</v>
      </c>
      <c r="G12" s="12" t="s">
        <v>18</v>
      </c>
      <c r="H12" s="9" t="s">
        <v>19</v>
      </c>
      <c r="I12" s="13" t="s">
        <v>27</v>
      </c>
      <c r="J12" s="14"/>
      <c r="K12" s="14"/>
      <c r="L12" s="14"/>
      <c r="M12" s="13"/>
      <c r="N12" s="14"/>
      <c r="O12" s="14"/>
      <c r="P12" s="14"/>
      <c r="Q12" s="14"/>
    </row>
    <row r="13" ht="16.5" customHeight="1">
      <c r="A13" s="7">
        <v>2024.0</v>
      </c>
      <c r="B13" s="8" t="s">
        <v>79</v>
      </c>
      <c r="C13" s="12" t="s">
        <v>80</v>
      </c>
      <c r="D13" s="10" t="s">
        <v>81</v>
      </c>
      <c r="E13" s="11" t="s">
        <v>82</v>
      </c>
      <c r="F13" s="12" t="s">
        <v>83</v>
      </c>
      <c r="G13" s="12" t="s">
        <v>18</v>
      </c>
      <c r="H13" s="9" t="s">
        <v>19</v>
      </c>
      <c r="I13" s="13" t="s">
        <v>27</v>
      </c>
      <c r="J13" s="14"/>
      <c r="K13" s="14"/>
      <c r="L13" s="14"/>
      <c r="M13" s="13"/>
      <c r="N13" s="14"/>
      <c r="O13" s="14"/>
      <c r="P13" s="14"/>
      <c r="Q13" s="14"/>
    </row>
    <row r="14" ht="20.25" customHeight="1">
      <c r="A14" s="7">
        <v>2024.0</v>
      </c>
      <c r="B14" s="8" t="s">
        <v>84</v>
      </c>
      <c r="C14" s="9" t="s">
        <v>85</v>
      </c>
      <c r="D14" s="10" t="s">
        <v>81</v>
      </c>
      <c r="E14" s="11" t="s">
        <v>86</v>
      </c>
      <c r="F14" s="9" t="s">
        <v>87</v>
      </c>
      <c r="G14" s="12" t="s">
        <v>18</v>
      </c>
      <c r="H14" s="9" t="s">
        <v>19</v>
      </c>
      <c r="I14" s="13" t="s">
        <v>20</v>
      </c>
      <c r="J14" s="14"/>
      <c r="K14" s="14"/>
      <c r="L14" s="14"/>
      <c r="M14" s="13" t="s">
        <v>88</v>
      </c>
      <c r="N14" s="14"/>
      <c r="O14" s="14"/>
      <c r="P14" s="14"/>
      <c r="Q14" s="14"/>
    </row>
    <row r="15" ht="19.5" customHeight="1">
      <c r="A15" s="7">
        <v>2024.0</v>
      </c>
      <c r="B15" s="8" t="s">
        <v>89</v>
      </c>
      <c r="C15" s="9" t="s">
        <v>90</v>
      </c>
      <c r="D15" s="10" t="s">
        <v>59</v>
      </c>
      <c r="E15" s="11" t="s">
        <v>91</v>
      </c>
      <c r="F15" s="9" t="s">
        <v>92</v>
      </c>
      <c r="G15" s="12" t="s">
        <v>18</v>
      </c>
      <c r="H15" s="9" t="s">
        <v>19</v>
      </c>
      <c r="I15" s="13" t="s">
        <v>27</v>
      </c>
      <c r="J15" s="14"/>
      <c r="K15" s="14"/>
      <c r="L15" s="14"/>
      <c r="M15" s="14"/>
      <c r="N15" s="14"/>
      <c r="O15" s="14"/>
      <c r="P15" s="14"/>
      <c r="Q15" s="14"/>
    </row>
    <row r="16">
      <c r="A16" s="7">
        <v>2023.0</v>
      </c>
      <c r="B16" s="8" t="s">
        <v>93</v>
      </c>
      <c r="C16" s="12" t="s">
        <v>94</v>
      </c>
      <c r="D16" s="10" t="s">
        <v>95</v>
      </c>
      <c r="E16" s="11" t="s">
        <v>96</v>
      </c>
      <c r="F16" s="12" t="s">
        <v>97</v>
      </c>
      <c r="G16" s="12" t="s">
        <v>18</v>
      </c>
      <c r="H16" s="9" t="s">
        <v>19</v>
      </c>
      <c r="I16" s="13" t="s">
        <v>20</v>
      </c>
      <c r="J16" s="14"/>
      <c r="K16" s="14"/>
      <c r="L16" s="14"/>
      <c r="M16" s="13" t="s">
        <v>98</v>
      </c>
      <c r="N16" s="14"/>
      <c r="O16" s="14"/>
      <c r="P16" s="14"/>
      <c r="Q16" s="14"/>
    </row>
    <row r="17">
      <c r="A17" s="7">
        <v>2024.0</v>
      </c>
      <c r="B17" s="8" t="s">
        <v>99</v>
      </c>
      <c r="C17" s="12" t="s">
        <v>100</v>
      </c>
      <c r="D17" s="10" t="s">
        <v>81</v>
      </c>
      <c r="E17" s="11" t="s">
        <v>101</v>
      </c>
      <c r="F17" s="12" t="s">
        <v>102</v>
      </c>
      <c r="G17" s="12" t="s">
        <v>18</v>
      </c>
      <c r="H17" s="9" t="s">
        <v>19</v>
      </c>
      <c r="I17" s="13" t="s">
        <v>20</v>
      </c>
      <c r="J17" s="14"/>
      <c r="K17" s="14"/>
      <c r="L17" s="14"/>
      <c r="M17" s="13" t="s">
        <v>103</v>
      </c>
      <c r="N17" s="14"/>
      <c r="O17" s="14"/>
      <c r="P17" s="14"/>
      <c r="Q17" s="14"/>
    </row>
    <row r="18">
      <c r="A18" s="7">
        <v>2024.0</v>
      </c>
      <c r="B18" s="8" t="s">
        <v>104</v>
      </c>
      <c r="C18" s="12" t="s">
        <v>105</v>
      </c>
      <c r="D18" s="10" t="s">
        <v>106</v>
      </c>
      <c r="E18" s="11" t="s">
        <v>107</v>
      </c>
      <c r="F18" s="12" t="s">
        <v>108</v>
      </c>
      <c r="G18" s="12" t="s">
        <v>18</v>
      </c>
      <c r="H18" s="9" t="s">
        <v>19</v>
      </c>
      <c r="I18" s="13" t="s">
        <v>20</v>
      </c>
      <c r="J18" s="14"/>
      <c r="K18" s="14"/>
      <c r="L18" s="14"/>
      <c r="M18" s="13" t="s">
        <v>109</v>
      </c>
      <c r="N18" s="14"/>
      <c r="O18" s="14"/>
      <c r="P18" s="14"/>
      <c r="Q18" s="14"/>
    </row>
    <row r="19">
      <c r="A19" s="7">
        <v>2020.0</v>
      </c>
      <c r="B19" s="8" t="s">
        <v>110</v>
      </c>
      <c r="C19" s="12" t="s">
        <v>111</v>
      </c>
      <c r="D19" s="10" t="s">
        <v>112</v>
      </c>
      <c r="E19" s="11" t="s">
        <v>113</v>
      </c>
      <c r="F19" s="12" t="s">
        <v>114</v>
      </c>
      <c r="G19" s="12" t="s">
        <v>18</v>
      </c>
      <c r="H19" s="9" t="s">
        <v>19</v>
      </c>
      <c r="I19" s="13" t="s">
        <v>27</v>
      </c>
      <c r="J19" s="14"/>
      <c r="K19" s="14"/>
      <c r="L19" s="14"/>
      <c r="M19" s="14"/>
      <c r="N19" s="14"/>
      <c r="O19" s="14"/>
      <c r="P19" s="14"/>
      <c r="Q19" s="14"/>
    </row>
    <row r="20">
      <c r="A20" s="7">
        <v>2025.0</v>
      </c>
      <c r="B20" s="8" t="s">
        <v>115</v>
      </c>
      <c r="C20" s="12" t="s">
        <v>116</v>
      </c>
      <c r="D20" s="10" t="s">
        <v>117</v>
      </c>
      <c r="E20" s="11" t="s">
        <v>118</v>
      </c>
      <c r="F20" s="12" t="s">
        <v>119</v>
      </c>
      <c r="G20" s="12" t="s">
        <v>18</v>
      </c>
      <c r="H20" s="9" t="s">
        <v>19</v>
      </c>
      <c r="I20" s="13" t="s">
        <v>20</v>
      </c>
      <c r="J20" s="14"/>
      <c r="K20" s="14"/>
      <c r="L20" s="14"/>
      <c r="M20" s="13" t="s">
        <v>120</v>
      </c>
      <c r="N20" s="14"/>
      <c r="O20" s="14"/>
      <c r="P20" s="14"/>
      <c r="Q20" s="14"/>
    </row>
    <row r="21">
      <c r="A21" s="7">
        <v>2020.0</v>
      </c>
      <c r="B21" s="8" t="s">
        <v>121</v>
      </c>
      <c r="C21" s="12" t="s">
        <v>122</v>
      </c>
      <c r="D21" s="10" t="s">
        <v>41</v>
      </c>
      <c r="E21" s="11" t="s">
        <v>123</v>
      </c>
      <c r="F21" s="12" t="s">
        <v>124</v>
      </c>
      <c r="G21" s="12" t="s">
        <v>18</v>
      </c>
      <c r="H21" s="9" t="s">
        <v>19</v>
      </c>
      <c r="I21" s="13" t="s">
        <v>20</v>
      </c>
      <c r="J21" s="14"/>
      <c r="K21" s="14"/>
      <c r="L21" s="14"/>
      <c r="M21" s="13" t="s">
        <v>125</v>
      </c>
      <c r="N21" s="14"/>
      <c r="O21" s="14"/>
      <c r="P21" s="14"/>
      <c r="Q21" s="14"/>
    </row>
    <row r="22" ht="18.75" customHeight="1">
      <c r="A22" s="7">
        <v>2025.0</v>
      </c>
      <c r="B22" s="8" t="s">
        <v>126</v>
      </c>
      <c r="C22" s="12" t="s">
        <v>127</v>
      </c>
      <c r="D22" s="10" t="s">
        <v>59</v>
      </c>
      <c r="E22" s="11" t="s">
        <v>128</v>
      </c>
      <c r="F22" s="12" t="s">
        <v>129</v>
      </c>
      <c r="G22" s="12" t="s">
        <v>18</v>
      </c>
      <c r="H22" s="9" t="s">
        <v>19</v>
      </c>
      <c r="I22" s="13" t="s">
        <v>20</v>
      </c>
      <c r="J22" s="14"/>
      <c r="K22" s="14"/>
      <c r="L22" s="14"/>
      <c r="M22" s="13" t="s">
        <v>130</v>
      </c>
      <c r="N22" s="14"/>
      <c r="O22" s="14"/>
      <c r="P22" s="14"/>
      <c r="Q22" s="14"/>
    </row>
    <row r="23">
      <c r="A23" s="7">
        <v>2022.0</v>
      </c>
      <c r="B23" s="8" t="s">
        <v>131</v>
      </c>
      <c r="C23" s="12" t="s">
        <v>132</v>
      </c>
      <c r="D23" s="10" t="s">
        <v>133</v>
      </c>
      <c r="E23" s="11" t="s">
        <v>134</v>
      </c>
      <c r="F23" s="12" t="s">
        <v>135</v>
      </c>
      <c r="G23" s="12" t="s">
        <v>18</v>
      </c>
      <c r="H23" s="9" t="s">
        <v>19</v>
      </c>
      <c r="I23" s="13" t="s">
        <v>20</v>
      </c>
      <c r="J23" s="14"/>
      <c r="K23" s="14"/>
      <c r="L23" s="14"/>
      <c r="M23" s="13" t="s">
        <v>136</v>
      </c>
      <c r="N23" s="14"/>
      <c r="O23" s="14"/>
      <c r="P23" s="14"/>
      <c r="Q23" s="14"/>
    </row>
    <row r="24" ht="19.5" customHeight="1">
      <c r="A24" s="7">
        <v>2020.0</v>
      </c>
      <c r="B24" s="8" t="s">
        <v>137</v>
      </c>
      <c r="C24" s="12" t="s">
        <v>138</v>
      </c>
      <c r="D24" s="10" t="s">
        <v>24</v>
      </c>
      <c r="E24" s="11" t="s">
        <v>139</v>
      </c>
      <c r="F24" s="12" t="s">
        <v>140</v>
      </c>
      <c r="G24" s="12" t="s">
        <v>18</v>
      </c>
      <c r="H24" s="9" t="s">
        <v>19</v>
      </c>
      <c r="I24" s="13" t="s">
        <v>27</v>
      </c>
      <c r="J24" s="14"/>
      <c r="K24" s="14"/>
      <c r="L24" s="14"/>
      <c r="M24" s="14"/>
      <c r="N24" s="14"/>
      <c r="O24" s="14"/>
      <c r="P24" s="14"/>
      <c r="Q24" s="14"/>
    </row>
    <row r="25">
      <c r="A25" s="7">
        <v>2022.0</v>
      </c>
      <c r="B25" s="8" t="s">
        <v>141</v>
      </c>
      <c r="C25" s="12" t="s">
        <v>142</v>
      </c>
      <c r="D25" s="10" t="s">
        <v>59</v>
      </c>
      <c r="E25" s="11" t="s">
        <v>143</v>
      </c>
      <c r="F25" s="12" t="s">
        <v>144</v>
      </c>
      <c r="G25" s="12" t="s">
        <v>18</v>
      </c>
      <c r="H25" s="9" t="s">
        <v>19</v>
      </c>
      <c r="I25" s="13" t="s">
        <v>20</v>
      </c>
      <c r="J25" s="14"/>
      <c r="K25" s="14"/>
      <c r="L25" s="14"/>
      <c r="M25" s="13" t="s">
        <v>145</v>
      </c>
      <c r="N25" s="14"/>
      <c r="O25" s="14"/>
      <c r="P25" s="14"/>
      <c r="Q25" s="14"/>
    </row>
    <row r="26" ht="18.0" customHeight="1">
      <c r="A26" s="7">
        <v>2021.0</v>
      </c>
      <c r="B26" s="8" t="s">
        <v>146</v>
      </c>
      <c r="C26" s="12" t="s">
        <v>147</v>
      </c>
      <c r="D26" s="10" t="s">
        <v>24</v>
      </c>
      <c r="E26" s="11" t="s">
        <v>148</v>
      </c>
      <c r="F26" s="12" t="s">
        <v>149</v>
      </c>
      <c r="G26" s="12" t="s">
        <v>18</v>
      </c>
      <c r="H26" s="9" t="s">
        <v>19</v>
      </c>
      <c r="I26" s="13" t="s">
        <v>27</v>
      </c>
      <c r="J26" s="14"/>
      <c r="K26" s="14"/>
      <c r="L26" s="14"/>
      <c r="M26" s="13" t="s">
        <v>150</v>
      </c>
      <c r="N26" s="14"/>
      <c r="O26" s="14"/>
      <c r="P26" s="14"/>
      <c r="Q26" s="14"/>
    </row>
    <row r="27" ht="18.75" customHeight="1">
      <c r="A27" s="7">
        <v>2023.0</v>
      </c>
      <c r="B27" s="8" t="s">
        <v>151</v>
      </c>
      <c r="C27" s="12" t="s">
        <v>152</v>
      </c>
      <c r="D27" s="10" t="s">
        <v>76</v>
      </c>
      <c r="E27" s="11" t="s">
        <v>153</v>
      </c>
      <c r="F27" s="12" t="s">
        <v>154</v>
      </c>
      <c r="G27" s="12" t="s">
        <v>18</v>
      </c>
      <c r="H27" s="9" t="s">
        <v>19</v>
      </c>
      <c r="I27" s="13" t="s">
        <v>20</v>
      </c>
      <c r="J27" s="14"/>
      <c r="K27" s="14"/>
      <c r="L27" s="14"/>
      <c r="M27" s="13" t="s">
        <v>155</v>
      </c>
      <c r="N27" s="14"/>
      <c r="O27" s="14"/>
      <c r="P27" s="14"/>
      <c r="Q27" s="14"/>
    </row>
    <row r="28" ht="16.5" customHeight="1">
      <c r="A28" s="7">
        <v>2023.0</v>
      </c>
      <c r="B28" s="8" t="s">
        <v>156</v>
      </c>
      <c r="C28" s="12" t="s">
        <v>157</v>
      </c>
      <c r="D28" s="10" t="s">
        <v>81</v>
      </c>
      <c r="E28" s="11" t="s">
        <v>158</v>
      </c>
      <c r="F28" s="12" t="s">
        <v>159</v>
      </c>
      <c r="G28" s="12" t="s">
        <v>18</v>
      </c>
      <c r="H28" s="9" t="s">
        <v>19</v>
      </c>
      <c r="I28" s="13" t="s">
        <v>20</v>
      </c>
      <c r="J28" s="14"/>
      <c r="K28" s="14"/>
      <c r="L28" s="14"/>
      <c r="M28" s="13" t="s">
        <v>160</v>
      </c>
      <c r="N28" s="14"/>
      <c r="O28" s="14"/>
      <c r="P28" s="14"/>
      <c r="Q28" s="14"/>
    </row>
    <row r="29" ht="16.5" customHeight="1">
      <c r="A29" s="7">
        <v>2023.0</v>
      </c>
      <c r="B29" s="8" t="s">
        <v>161</v>
      </c>
      <c r="C29" s="12" t="s">
        <v>162</v>
      </c>
      <c r="D29" s="10" t="s">
        <v>59</v>
      </c>
      <c r="E29" s="11" t="s">
        <v>163</v>
      </c>
      <c r="F29" s="12" t="s">
        <v>164</v>
      </c>
      <c r="G29" s="12" t="s">
        <v>18</v>
      </c>
      <c r="H29" s="9" t="s">
        <v>19</v>
      </c>
      <c r="I29" s="13" t="s">
        <v>20</v>
      </c>
      <c r="J29" s="14"/>
      <c r="K29" s="14"/>
      <c r="L29" s="14"/>
      <c r="M29" s="13" t="s">
        <v>165</v>
      </c>
      <c r="N29" s="14"/>
      <c r="O29" s="14"/>
      <c r="P29" s="14"/>
      <c r="Q29" s="14"/>
    </row>
    <row r="30">
      <c r="A30" s="7">
        <v>2025.0</v>
      </c>
      <c r="B30" s="8" t="s">
        <v>166</v>
      </c>
      <c r="C30" s="12" t="s">
        <v>167</v>
      </c>
      <c r="D30" s="10" t="s">
        <v>168</v>
      </c>
      <c r="E30" s="11" t="s">
        <v>169</v>
      </c>
      <c r="F30" s="12" t="s">
        <v>170</v>
      </c>
      <c r="G30" s="12" t="s">
        <v>18</v>
      </c>
      <c r="H30" s="9" t="s">
        <v>19</v>
      </c>
      <c r="I30" s="13" t="s">
        <v>27</v>
      </c>
      <c r="J30" s="14"/>
      <c r="K30" s="14"/>
      <c r="L30" s="14"/>
      <c r="M30" s="13" t="s">
        <v>171</v>
      </c>
      <c r="N30" s="14"/>
      <c r="O30" s="14"/>
      <c r="P30" s="14"/>
      <c r="Q30" s="14"/>
    </row>
    <row r="31" ht="17.25" customHeight="1">
      <c r="A31" s="7">
        <v>2021.0</v>
      </c>
      <c r="B31" s="8" t="s">
        <v>172</v>
      </c>
      <c r="C31" s="12" t="s">
        <v>173</v>
      </c>
      <c r="D31" s="10" t="s">
        <v>59</v>
      </c>
      <c r="E31" s="11" t="s">
        <v>174</v>
      </c>
      <c r="F31" s="12" t="s">
        <v>175</v>
      </c>
      <c r="G31" s="12" t="s">
        <v>18</v>
      </c>
      <c r="H31" s="9" t="s">
        <v>19</v>
      </c>
      <c r="I31" s="13" t="s">
        <v>20</v>
      </c>
      <c r="J31" s="14"/>
      <c r="K31" s="14"/>
      <c r="L31" s="14"/>
      <c r="M31" s="13" t="s">
        <v>176</v>
      </c>
      <c r="N31" s="14"/>
      <c r="O31" s="14"/>
      <c r="P31" s="14"/>
      <c r="Q31" s="14"/>
    </row>
    <row r="32" ht="15.75" customHeight="1">
      <c r="A32" s="7">
        <v>2022.0</v>
      </c>
      <c r="B32" s="8" t="s">
        <v>177</v>
      </c>
      <c r="C32" s="12" t="s">
        <v>178</v>
      </c>
      <c r="D32" s="10" t="s">
        <v>59</v>
      </c>
      <c r="E32" s="11" t="s">
        <v>179</v>
      </c>
      <c r="F32" s="12" t="s">
        <v>180</v>
      </c>
      <c r="G32" s="12" t="s">
        <v>18</v>
      </c>
      <c r="H32" s="9" t="s">
        <v>19</v>
      </c>
      <c r="I32" s="13" t="s">
        <v>27</v>
      </c>
      <c r="J32" s="14"/>
      <c r="K32" s="14"/>
      <c r="L32" s="14"/>
      <c r="M32" s="13" t="s">
        <v>171</v>
      </c>
      <c r="N32" s="14"/>
      <c r="O32" s="14"/>
      <c r="P32" s="14"/>
      <c r="Q32" s="14"/>
    </row>
    <row r="33">
      <c r="A33" s="7">
        <v>2021.0</v>
      </c>
      <c r="B33" s="8" t="s">
        <v>181</v>
      </c>
      <c r="C33" s="12" t="s">
        <v>182</v>
      </c>
      <c r="D33" s="10" t="s">
        <v>183</v>
      </c>
      <c r="E33" s="11" t="s">
        <v>184</v>
      </c>
      <c r="F33" s="12" t="s">
        <v>185</v>
      </c>
      <c r="G33" s="12" t="s">
        <v>18</v>
      </c>
      <c r="H33" s="9" t="s">
        <v>19</v>
      </c>
      <c r="I33" s="13" t="s">
        <v>20</v>
      </c>
      <c r="J33" s="14"/>
      <c r="K33" s="14"/>
      <c r="L33" s="14"/>
      <c r="M33" s="13" t="s">
        <v>186</v>
      </c>
      <c r="N33" s="14"/>
      <c r="O33" s="14"/>
      <c r="P33" s="14"/>
      <c r="Q33" s="14"/>
    </row>
    <row r="34">
      <c r="A34" s="7">
        <v>2018.0</v>
      </c>
      <c r="B34" s="8" t="s">
        <v>187</v>
      </c>
      <c r="C34" s="12" t="s">
        <v>188</v>
      </c>
      <c r="D34" s="10" t="s">
        <v>112</v>
      </c>
      <c r="E34" s="11" t="s">
        <v>189</v>
      </c>
      <c r="F34" s="12" t="s">
        <v>190</v>
      </c>
      <c r="G34" s="12" t="s">
        <v>18</v>
      </c>
      <c r="H34" s="9" t="s">
        <v>19</v>
      </c>
      <c r="I34" s="13" t="s">
        <v>27</v>
      </c>
      <c r="J34" s="14"/>
      <c r="K34" s="14"/>
      <c r="L34" s="14"/>
      <c r="M34" s="14"/>
      <c r="N34" s="14"/>
      <c r="O34" s="14"/>
      <c r="P34" s="14"/>
      <c r="Q34" s="14"/>
    </row>
    <row r="35">
      <c r="A35" s="7">
        <v>2023.0</v>
      </c>
      <c r="B35" s="8" t="s">
        <v>191</v>
      </c>
      <c r="C35" s="12" t="s">
        <v>192</v>
      </c>
      <c r="D35" s="10" t="s">
        <v>81</v>
      </c>
      <c r="E35" s="11" t="s">
        <v>193</v>
      </c>
      <c r="F35" s="12" t="s">
        <v>194</v>
      </c>
      <c r="G35" s="12" t="s">
        <v>18</v>
      </c>
      <c r="H35" s="9" t="s">
        <v>19</v>
      </c>
      <c r="I35" s="13" t="s">
        <v>27</v>
      </c>
      <c r="J35" s="14"/>
      <c r="K35" s="14"/>
      <c r="L35" s="14"/>
      <c r="M35" s="13" t="s">
        <v>171</v>
      </c>
      <c r="N35" s="14"/>
      <c r="O35" s="14"/>
      <c r="P35" s="14"/>
      <c r="Q35" s="14"/>
    </row>
    <row r="36" ht="17.25" customHeight="1">
      <c r="A36" s="7">
        <v>2025.0</v>
      </c>
      <c r="B36" s="8" t="s">
        <v>195</v>
      </c>
      <c r="C36" s="12" t="s">
        <v>196</v>
      </c>
      <c r="D36" s="10" t="s">
        <v>59</v>
      </c>
      <c r="E36" s="11" t="s">
        <v>197</v>
      </c>
      <c r="F36" s="12" t="s">
        <v>198</v>
      </c>
      <c r="G36" s="12" t="s">
        <v>18</v>
      </c>
      <c r="H36" s="9" t="s">
        <v>19</v>
      </c>
      <c r="I36" s="13" t="s">
        <v>27</v>
      </c>
      <c r="J36" s="14"/>
      <c r="K36" s="14"/>
      <c r="L36" s="14"/>
      <c r="M36" s="13" t="s">
        <v>171</v>
      </c>
      <c r="N36" s="14"/>
      <c r="O36" s="14"/>
      <c r="P36" s="14"/>
      <c r="Q36" s="14"/>
    </row>
    <row r="37">
      <c r="A37" s="7">
        <v>2021.0</v>
      </c>
      <c r="B37" s="8" t="s">
        <v>199</v>
      </c>
      <c r="C37" s="12" t="s">
        <v>200</v>
      </c>
      <c r="D37" s="10" t="s">
        <v>30</v>
      </c>
      <c r="E37" s="11" t="s">
        <v>201</v>
      </c>
      <c r="F37" s="12" t="s">
        <v>202</v>
      </c>
      <c r="G37" s="12" t="s">
        <v>18</v>
      </c>
      <c r="H37" s="9" t="s">
        <v>19</v>
      </c>
      <c r="I37" s="13" t="s">
        <v>20</v>
      </c>
      <c r="J37" s="14"/>
      <c r="K37" s="14"/>
      <c r="L37" s="14"/>
      <c r="M37" s="13" t="s">
        <v>203</v>
      </c>
      <c r="N37" s="14"/>
      <c r="O37" s="14"/>
      <c r="P37" s="14"/>
      <c r="Q37" s="14"/>
    </row>
    <row r="38" ht="18.75" customHeight="1">
      <c r="A38" s="7">
        <v>2017.0</v>
      </c>
      <c r="B38" s="8" t="s">
        <v>204</v>
      </c>
      <c r="C38" s="12" t="s">
        <v>205</v>
      </c>
      <c r="D38" s="10" t="s">
        <v>206</v>
      </c>
      <c r="E38" s="15" t="s">
        <v>207</v>
      </c>
      <c r="F38" s="12" t="s">
        <v>208</v>
      </c>
      <c r="G38" s="12" t="s">
        <v>18</v>
      </c>
      <c r="H38" s="9" t="s">
        <v>19</v>
      </c>
      <c r="I38" s="13" t="s">
        <v>27</v>
      </c>
      <c r="J38" s="14"/>
      <c r="K38" s="14"/>
      <c r="L38" s="14"/>
      <c r="M38" s="14"/>
      <c r="N38" s="14"/>
      <c r="O38" s="14"/>
      <c r="P38" s="14"/>
      <c r="Q38" s="14"/>
    </row>
    <row r="39" ht="17.25" customHeight="1">
      <c r="A39" s="7">
        <v>2025.0</v>
      </c>
      <c r="B39" s="8" t="s">
        <v>209</v>
      </c>
      <c r="C39" s="12" t="s">
        <v>210</v>
      </c>
      <c r="D39" s="10" t="s">
        <v>24</v>
      </c>
      <c r="E39" s="11" t="s">
        <v>211</v>
      </c>
      <c r="F39" s="12" t="s">
        <v>212</v>
      </c>
      <c r="G39" s="12" t="s">
        <v>18</v>
      </c>
      <c r="H39" s="9" t="s">
        <v>19</v>
      </c>
      <c r="I39" s="13" t="s">
        <v>27</v>
      </c>
      <c r="J39" s="14"/>
      <c r="K39" s="14"/>
      <c r="L39" s="14"/>
      <c r="M39" s="14"/>
      <c r="N39" s="14"/>
      <c r="O39" s="14"/>
      <c r="P39" s="14"/>
      <c r="Q39" s="14"/>
    </row>
    <row r="40">
      <c r="A40" s="7">
        <v>2022.0</v>
      </c>
      <c r="B40" s="8" t="s">
        <v>213</v>
      </c>
      <c r="C40" s="12" t="s">
        <v>214</v>
      </c>
      <c r="D40" s="10" t="s">
        <v>64</v>
      </c>
      <c r="E40" s="15" t="s">
        <v>215</v>
      </c>
      <c r="F40" s="12" t="s">
        <v>216</v>
      </c>
      <c r="G40" s="12" t="s">
        <v>18</v>
      </c>
      <c r="H40" s="9" t="s">
        <v>19</v>
      </c>
      <c r="I40" s="13" t="s">
        <v>20</v>
      </c>
      <c r="J40" s="14"/>
      <c r="K40" s="14"/>
      <c r="L40" s="14"/>
      <c r="M40" s="13" t="s">
        <v>217</v>
      </c>
      <c r="N40" s="14"/>
      <c r="O40" s="14"/>
      <c r="P40" s="14"/>
      <c r="Q40" s="14"/>
    </row>
    <row r="41">
      <c r="A41" s="7">
        <v>2021.0</v>
      </c>
      <c r="B41" s="8" t="s">
        <v>218</v>
      </c>
      <c r="C41" s="12" t="s">
        <v>219</v>
      </c>
      <c r="D41" s="10" t="s">
        <v>220</v>
      </c>
      <c r="E41" s="11" t="s">
        <v>221</v>
      </c>
      <c r="F41" s="12" t="s">
        <v>222</v>
      </c>
      <c r="G41" s="12" t="s">
        <v>18</v>
      </c>
      <c r="H41" s="9" t="s">
        <v>67</v>
      </c>
      <c r="I41" s="13" t="s">
        <v>20</v>
      </c>
      <c r="J41" s="14"/>
      <c r="K41" s="14"/>
      <c r="L41" s="14"/>
      <c r="M41" s="13" t="s">
        <v>223</v>
      </c>
      <c r="N41" s="14"/>
      <c r="O41" s="14"/>
      <c r="P41" s="14"/>
      <c r="Q41" s="14"/>
    </row>
    <row r="42">
      <c r="A42" s="7">
        <v>2025.0</v>
      </c>
      <c r="B42" s="8" t="s">
        <v>224</v>
      </c>
      <c r="C42" s="12" t="s">
        <v>225</v>
      </c>
      <c r="D42" s="10" t="s">
        <v>226</v>
      </c>
      <c r="E42" s="15" t="s">
        <v>227</v>
      </c>
      <c r="F42" s="12" t="s">
        <v>228</v>
      </c>
      <c r="G42" s="12" t="s">
        <v>18</v>
      </c>
      <c r="H42" s="9" t="s">
        <v>19</v>
      </c>
      <c r="I42" s="13" t="s">
        <v>20</v>
      </c>
      <c r="J42" s="14"/>
      <c r="K42" s="14"/>
      <c r="L42" s="14"/>
      <c r="M42" s="13" t="s">
        <v>229</v>
      </c>
      <c r="N42" s="14"/>
      <c r="O42" s="14"/>
      <c r="P42" s="14"/>
      <c r="Q42" s="14"/>
    </row>
    <row r="43" ht="15.75" customHeight="1">
      <c r="A43" s="7">
        <v>2023.0</v>
      </c>
      <c r="B43" s="8" t="s">
        <v>230</v>
      </c>
      <c r="C43" s="12" t="s">
        <v>231</v>
      </c>
      <c r="D43" s="10" t="s">
        <v>232</v>
      </c>
      <c r="E43" s="11" t="s">
        <v>233</v>
      </c>
      <c r="F43" s="12" t="s">
        <v>234</v>
      </c>
      <c r="G43" s="12" t="s">
        <v>18</v>
      </c>
      <c r="H43" s="9" t="s">
        <v>19</v>
      </c>
      <c r="I43" s="13" t="s">
        <v>27</v>
      </c>
      <c r="J43" s="14"/>
      <c r="K43" s="14"/>
      <c r="L43" s="14"/>
      <c r="M43" s="14"/>
      <c r="N43" s="14"/>
      <c r="O43" s="14"/>
      <c r="P43" s="14"/>
      <c r="Q43" s="14"/>
    </row>
    <row r="44">
      <c r="A44" s="7">
        <v>2021.0</v>
      </c>
      <c r="B44" s="8" t="s">
        <v>235</v>
      </c>
      <c r="C44" s="12" t="s">
        <v>236</v>
      </c>
      <c r="D44" s="10" t="s">
        <v>237</v>
      </c>
      <c r="E44" s="11" t="s">
        <v>238</v>
      </c>
      <c r="F44" s="12" t="s">
        <v>239</v>
      </c>
      <c r="G44" s="12" t="s">
        <v>18</v>
      </c>
      <c r="H44" s="9" t="s">
        <v>19</v>
      </c>
      <c r="I44" s="13" t="s">
        <v>20</v>
      </c>
      <c r="J44" s="14"/>
      <c r="K44" s="14"/>
      <c r="L44" s="14"/>
      <c r="M44" s="13" t="s">
        <v>240</v>
      </c>
      <c r="N44" s="14"/>
      <c r="O44" s="14"/>
      <c r="P44" s="14"/>
      <c r="Q44" s="14"/>
    </row>
    <row r="45">
      <c r="A45" s="7">
        <v>2023.0</v>
      </c>
      <c r="B45" s="8" t="s">
        <v>241</v>
      </c>
      <c r="C45" s="12" t="s">
        <v>242</v>
      </c>
      <c r="D45" s="10" t="s">
        <v>243</v>
      </c>
      <c r="E45" s="15" t="s">
        <v>244</v>
      </c>
      <c r="F45" s="12" t="s">
        <v>245</v>
      </c>
      <c r="G45" s="12" t="s">
        <v>18</v>
      </c>
      <c r="H45" s="9" t="s">
        <v>19</v>
      </c>
      <c r="I45" s="13" t="s">
        <v>27</v>
      </c>
      <c r="J45" s="14"/>
      <c r="K45" s="14"/>
      <c r="L45" s="14"/>
      <c r="M45" s="14"/>
      <c r="N45" s="14"/>
      <c r="O45" s="14"/>
      <c r="P45" s="14"/>
      <c r="Q45" s="14"/>
    </row>
    <row r="46">
      <c r="A46" s="7">
        <v>2015.0</v>
      </c>
      <c r="B46" s="8" t="s">
        <v>246</v>
      </c>
      <c r="C46" s="12" t="s">
        <v>247</v>
      </c>
      <c r="D46" s="10" t="s">
        <v>248</v>
      </c>
      <c r="E46" s="11" t="s">
        <v>249</v>
      </c>
      <c r="F46" s="12" t="s">
        <v>250</v>
      </c>
      <c r="G46" s="12" t="s">
        <v>18</v>
      </c>
      <c r="H46" s="9" t="s">
        <v>19</v>
      </c>
      <c r="I46" s="13" t="s">
        <v>20</v>
      </c>
      <c r="J46" s="14"/>
      <c r="K46" s="14"/>
      <c r="L46" s="14"/>
      <c r="M46" s="13" t="s">
        <v>251</v>
      </c>
      <c r="N46" s="14"/>
      <c r="O46" s="14"/>
      <c r="P46" s="14"/>
      <c r="Q46" s="14"/>
    </row>
    <row r="47" ht="16.5" customHeight="1">
      <c r="A47" s="7">
        <v>2024.0</v>
      </c>
      <c r="B47" s="8" t="s">
        <v>252</v>
      </c>
      <c r="C47" s="12" t="s">
        <v>253</v>
      </c>
      <c r="D47" s="10" t="s">
        <v>81</v>
      </c>
      <c r="E47" s="11" t="s">
        <v>254</v>
      </c>
      <c r="F47" s="12" t="s">
        <v>255</v>
      </c>
      <c r="G47" s="12" t="s">
        <v>18</v>
      </c>
      <c r="H47" s="9" t="s">
        <v>19</v>
      </c>
      <c r="I47" s="13" t="s">
        <v>27</v>
      </c>
      <c r="J47" s="14"/>
      <c r="K47" s="14"/>
      <c r="L47" s="14"/>
      <c r="M47" s="14"/>
      <c r="N47" s="14"/>
      <c r="O47" s="14"/>
      <c r="P47" s="14"/>
      <c r="Q47" s="14"/>
    </row>
    <row r="48">
      <c r="A48" s="7">
        <v>2023.0</v>
      </c>
      <c r="B48" s="8" t="s">
        <v>256</v>
      </c>
      <c r="C48" s="12" t="s">
        <v>257</v>
      </c>
      <c r="D48" s="10" t="s">
        <v>258</v>
      </c>
      <c r="E48" s="11" t="s">
        <v>259</v>
      </c>
      <c r="F48" s="12" t="s">
        <v>260</v>
      </c>
      <c r="G48" s="12" t="s">
        <v>18</v>
      </c>
      <c r="H48" s="12"/>
      <c r="I48" s="14"/>
      <c r="J48" s="14"/>
      <c r="K48" s="14"/>
      <c r="L48" s="14"/>
      <c r="M48" s="14"/>
      <c r="N48" s="14"/>
      <c r="O48" s="14"/>
      <c r="P48" s="14"/>
      <c r="Q48" s="14"/>
    </row>
    <row r="49">
      <c r="A49" s="7">
        <v>2024.0</v>
      </c>
      <c r="B49" s="8" t="s">
        <v>261</v>
      </c>
      <c r="C49" s="12" t="s">
        <v>262</v>
      </c>
      <c r="D49" s="10" t="s">
        <v>183</v>
      </c>
      <c r="E49" s="11" t="s">
        <v>263</v>
      </c>
      <c r="F49" s="12" t="s">
        <v>264</v>
      </c>
      <c r="G49" s="12" t="s">
        <v>18</v>
      </c>
      <c r="H49" s="9" t="s">
        <v>19</v>
      </c>
      <c r="I49" s="13" t="s">
        <v>20</v>
      </c>
      <c r="J49" s="14"/>
      <c r="K49" s="14"/>
      <c r="L49" s="14"/>
      <c r="M49" s="13" t="s">
        <v>265</v>
      </c>
      <c r="N49" s="14"/>
      <c r="O49" s="14"/>
      <c r="P49" s="14"/>
      <c r="Q49" s="14"/>
    </row>
    <row r="50" ht="18.75" customHeight="1">
      <c r="A50" s="7">
        <v>2025.0</v>
      </c>
      <c r="B50" s="8" t="s">
        <v>266</v>
      </c>
      <c r="C50" s="12" t="s">
        <v>267</v>
      </c>
      <c r="D50" s="10" t="s">
        <v>59</v>
      </c>
      <c r="E50" s="11" t="s">
        <v>268</v>
      </c>
      <c r="F50" s="12" t="s">
        <v>269</v>
      </c>
      <c r="G50" s="12" t="s">
        <v>18</v>
      </c>
      <c r="H50" s="12"/>
      <c r="I50" s="14"/>
      <c r="J50" s="14"/>
      <c r="K50" s="14"/>
      <c r="L50" s="14"/>
      <c r="M50" s="14"/>
      <c r="N50" s="14"/>
      <c r="O50" s="14"/>
      <c r="P50" s="14"/>
      <c r="Q50" s="14"/>
    </row>
    <row r="51">
      <c r="A51" s="7">
        <v>2012.0</v>
      </c>
      <c r="B51" s="8" t="s">
        <v>270</v>
      </c>
      <c r="C51" s="12" t="s">
        <v>271</v>
      </c>
      <c r="D51" s="10" t="s">
        <v>272</v>
      </c>
      <c r="E51" s="11" t="s">
        <v>273</v>
      </c>
      <c r="F51" s="12" t="s">
        <v>274</v>
      </c>
      <c r="G51" s="12" t="s">
        <v>18</v>
      </c>
      <c r="H51" s="9" t="s">
        <v>19</v>
      </c>
      <c r="I51" s="13" t="s">
        <v>20</v>
      </c>
      <c r="J51" s="14"/>
      <c r="K51" s="14"/>
      <c r="L51" s="14"/>
      <c r="M51" s="13" t="s">
        <v>275</v>
      </c>
      <c r="N51" s="14"/>
      <c r="O51" s="14"/>
      <c r="P51" s="14"/>
      <c r="Q51" s="14"/>
    </row>
    <row r="52">
      <c r="A52" s="7">
        <v>2024.0</v>
      </c>
      <c r="B52" s="8" t="s">
        <v>276</v>
      </c>
      <c r="C52" s="12" t="s">
        <v>277</v>
      </c>
      <c r="D52" s="10" t="s">
        <v>278</v>
      </c>
      <c r="E52" s="11" t="s">
        <v>279</v>
      </c>
      <c r="F52" s="12" t="s">
        <v>280</v>
      </c>
      <c r="G52" s="12" t="s">
        <v>18</v>
      </c>
      <c r="H52" s="9" t="s">
        <v>19</v>
      </c>
      <c r="I52" s="13" t="s">
        <v>20</v>
      </c>
      <c r="J52" s="14"/>
      <c r="K52" s="14"/>
      <c r="L52" s="14"/>
      <c r="M52" s="13" t="s">
        <v>281</v>
      </c>
      <c r="N52" s="14"/>
      <c r="O52" s="14"/>
      <c r="P52" s="14"/>
      <c r="Q52" s="14"/>
    </row>
    <row r="53">
      <c r="A53" s="7">
        <v>2025.0</v>
      </c>
      <c r="B53" s="8" t="s">
        <v>282</v>
      </c>
      <c r="C53" s="12" t="s">
        <v>283</v>
      </c>
      <c r="D53" s="10" t="s">
        <v>284</v>
      </c>
      <c r="E53" s="11" t="s">
        <v>285</v>
      </c>
      <c r="F53" s="12" t="s">
        <v>286</v>
      </c>
      <c r="G53" s="12" t="s">
        <v>18</v>
      </c>
      <c r="H53" s="9" t="s">
        <v>19</v>
      </c>
      <c r="I53" s="13" t="s">
        <v>20</v>
      </c>
      <c r="J53" s="14"/>
      <c r="K53" s="14"/>
      <c r="L53" s="14"/>
      <c r="M53" s="13" t="s">
        <v>287</v>
      </c>
      <c r="N53" s="14"/>
      <c r="O53" s="14"/>
      <c r="P53" s="14"/>
      <c r="Q53" s="14"/>
    </row>
    <row r="54">
      <c r="A54" s="7">
        <v>2025.0</v>
      </c>
      <c r="B54" s="8" t="s">
        <v>288</v>
      </c>
      <c r="C54" s="12" t="s">
        <v>289</v>
      </c>
      <c r="D54" s="10" t="s">
        <v>290</v>
      </c>
      <c r="E54" s="11" t="s">
        <v>291</v>
      </c>
      <c r="F54" s="12" t="s">
        <v>292</v>
      </c>
      <c r="G54" s="12" t="s">
        <v>18</v>
      </c>
      <c r="H54" s="9" t="s">
        <v>19</v>
      </c>
      <c r="I54" s="13" t="s">
        <v>20</v>
      </c>
      <c r="J54" s="14"/>
      <c r="K54" s="14"/>
      <c r="L54" s="14"/>
      <c r="M54" s="13" t="s">
        <v>293</v>
      </c>
      <c r="N54" s="14"/>
      <c r="O54" s="14"/>
      <c r="P54" s="14"/>
      <c r="Q54" s="14"/>
    </row>
    <row r="55">
      <c r="A55" s="7">
        <v>2023.0</v>
      </c>
      <c r="B55" s="8" t="s">
        <v>294</v>
      </c>
      <c r="C55" s="12" t="s">
        <v>295</v>
      </c>
      <c r="D55" s="10" t="s">
        <v>296</v>
      </c>
      <c r="E55" s="11" t="s">
        <v>297</v>
      </c>
      <c r="F55" s="12" t="s">
        <v>298</v>
      </c>
      <c r="G55" s="12" t="s">
        <v>18</v>
      </c>
      <c r="H55" s="9" t="s">
        <v>19</v>
      </c>
      <c r="I55" s="13" t="s">
        <v>20</v>
      </c>
      <c r="J55" s="14"/>
      <c r="K55" s="14"/>
      <c r="L55" s="14"/>
      <c r="M55" s="13" t="s">
        <v>299</v>
      </c>
      <c r="N55" s="14"/>
      <c r="O55" s="14"/>
      <c r="P55" s="14"/>
      <c r="Q55" s="14"/>
    </row>
    <row r="56" ht="17.25" customHeight="1">
      <c r="A56" s="7">
        <v>2022.0</v>
      </c>
      <c r="B56" s="8" t="s">
        <v>300</v>
      </c>
      <c r="C56" s="12" t="s">
        <v>301</v>
      </c>
      <c r="D56" s="10" t="s">
        <v>302</v>
      </c>
      <c r="E56" s="11" t="s">
        <v>303</v>
      </c>
      <c r="F56" s="12" t="s">
        <v>304</v>
      </c>
      <c r="G56" s="12" t="s">
        <v>18</v>
      </c>
      <c r="H56" s="9" t="s">
        <v>19</v>
      </c>
      <c r="I56" s="13" t="s">
        <v>27</v>
      </c>
      <c r="J56" s="14"/>
      <c r="K56" s="14"/>
      <c r="L56" s="14"/>
      <c r="M56" s="14"/>
      <c r="N56" s="14"/>
      <c r="O56" s="14"/>
      <c r="P56" s="14"/>
      <c r="Q56" s="14"/>
    </row>
    <row r="57">
      <c r="A57" s="7">
        <v>2025.0</v>
      </c>
      <c r="B57" s="8" t="s">
        <v>305</v>
      </c>
      <c r="C57" s="12" t="s">
        <v>306</v>
      </c>
      <c r="D57" s="10" t="s">
        <v>307</v>
      </c>
      <c r="E57" s="11" t="s">
        <v>308</v>
      </c>
      <c r="F57" s="12" t="s">
        <v>309</v>
      </c>
      <c r="G57" s="12" t="s">
        <v>18</v>
      </c>
      <c r="H57" s="9" t="s">
        <v>19</v>
      </c>
      <c r="I57" s="13" t="s">
        <v>20</v>
      </c>
      <c r="J57" s="14"/>
      <c r="K57" s="14"/>
      <c r="L57" s="14"/>
      <c r="M57" s="13" t="s">
        <v>310</v>
      </c>
      <c r="N57" s="14"/>
      <c r="O57" s="14"/>
      <c r="P57" s="14"/>
      <c r="Q57" s="14"/>
    </row>
    <row r="58" ht="16.5" customHeight="1">
      <c r="A58" s="7">
        <v>2018.0</v>
      </c>
      <c r="B58" s="8" t="s">
        <v>311</v>
      </c>
      <c r="C58" s="12" t="s">
        <v>312</v>
      </c>
      <c r="D58" s="10" t="s">
        <v>59</v>
      </c>
      <c r="E58" s="11" t="s">
        <v>313</v>
      </c>
      <c r="F58" s="12" t="s">
        <v>314</v>
      </c>
      <c r="G58" s="12" t="s">
        <v>18</v>
      </c>
      <c r="H58" s="9" t="s">
        <v>19</v>
      </c>
      <c r="I58" s="13" t="s">
        <v>27</v>
      </c>
      <c r="J58" s="14"/>
      <c r="K58" s="14"/>
      <c r="L58" s="14"/>
      <c r="M58" s="14"/>
      <c r="N58" s="14"/>
      <c r="O58" s="14"/>
      <c r="P58" s="14"/>
      <c r="Q58" s="14"/>
    </row>
    <row r="59" ht="16.5" customHeight="1">
      <c r="A59" s="7">
        <v>2021.0</v>
      </c>
      <c r="B59" s="8" t="s">
        <v>315</v>
      </c>
      <c r="C59" s="12" t="s">
        <v>316</v>
      </c>
      <c r="D59" s="10" t="s">
        <v>24</v>
      </c>
      <c r="E59" s="11" t="s">
        <v>317</v>
      </c>
      <c r="F59" s="12" t="s">
        <v>318</v>
      </c>
      <c r="G59" s="12" t="s">
        <v>18</v>
      </c>
      <c r="H59" s="9" t="s">
        <v>19</v>
      </c>
      <c r="I59" s="13" t="s">
        <v>27</v>
      </c>
      <c r="J59" s="14"/>
      <c r="K59" s="14"/>
      <c r="L59" s="14"/>
      <c r="M59" s="14"/>
      <c r="N59" s="14"/>
      <c r="O59" s="14"/>
      <c r="P59" s="14"/>
      <c r="Q59" s="14"/>
    </row>
    <row r="60" ht="16.5" customHeight="1">
      <c r="A60" s="7">
        <v>2023.0</v>
      </c>
      <c r="B60" s="8" t="s">
        <v>319</v>
      </c>
      <c r="C60" s="12" t="s">
        <v>320</v>
      </c>
      <c r="D60" s="10" t="s">
        <v>272</v>
      </c>
      <c r="E60" s="11" t="s">
        <v>321</v>
      </c>
      <c r="F60" s="12" t="s">
        <v>322</v>
      </c>
      <c r="G60" s="12" t="s">
        <v>18</v>
      </c>
      <c r="H60" s="9" t="s">
        <v>19</v>
      </c>
      <c r="I60" s="13" t="s">
        <v>27</v>
      </c>
      <c r="J60" s="14"/>
      <c r="K60" s="14"/>
      <c r="L60" s="14"/>
      <c r="M60" s="14"/>
      <c r="N60" s="14"/>
      <c r="O60" s="14"/>
      <c r="P60" s="14"/>
      <c r="Q60" s="14"/>
    </row>
    <row r="61">
      <c r="A61" s="7">
        <v>2019.0</v>
      </c>
      <c r="B61" s="8" t="s">
        <v>323</v>
      </c>
      <c r="C61" s="12" t="s">
        <v>324</v>
      </c>
      <c r="D61" s="10" t="s">
        <v>325</v>
      </c>
      <c r="E61" s="11" t="s">
        <v>326</v>
      </c>
      <c r="F61" s="12" t="s">
        <v>327</v>
      </c>
      <c r="G61" s="12" t="s">
        <v>18</v>
      </c>
      <c r="H61" s="9" t="s">
        <v>19</v>
      </c>
      <c r="I61" s="13" t="s">
        <v>20</v>
      </c>
      <c r="J61" s="14"/>
      <c r="K61" s="14"/>
      <c r="L61" s="14"/>
      <c r="M61" s="13" t="s">
        <v>328</v>
      </c>
      <c r="N61" s="14"/>
      <c r="O61" s="14"/>
      <c r="P61" s="14"/>
      <c r="Q61" s="14"/>
    </row>
    <row r="62">
      <c r="A62" s="7">
        <v>2018.0</v>
      </c>
      <c r="B62" s="8" t="s">
        <v>329</v>
      </c>
      <c r="C62" s="12" t="s">
        <v>330</v>
      </c>
      <c r="D62" s="10" t="s">
        <v>331</v>
      </c>
      <c r="E62" s="11" t="s">
        <v>332</v>
      </c>
      <c r="F62" s="12" t="s">
        <v>333</v>
      </c>
      <c r="G62" s="12" t="s">
        <v>18</v>
      </c>
      <c r="H62" s="9" t="s">
        <v>19</v>
      </c>
      <c r="I62" s="13" t="s">
        <v>20</v>
      </c>
      <c r="J62" s="14"/>
      <c r="K62" s="14"/>
      <c r="L62" s="14"/>
      <c r="M62" s="13" t="s">
        <v>334</v>
      </c>
      <c r="N62" s="14"/>
      <c r="O62" s="14"/>
      <c r="P62" s="14"/>
      <c r="Q62" s="14"/>
    </row>
    <row r="63" ht="15.0" customHeight="1">
      <c r="A63" s="7">
        <v>2019.0</v>
      </c>
      <c r="B63" s="8" t="s">
        <v>335</v>
      </c>
      <c r="C63" s="12" t="s">
        <v>336</v>
      </c>
      <c r="D63" s="10" t="s">
        <v>272</v>
      </c>
      <c r="E63" s="11" t="s">
        <v>337</v>
      </c>
      <c r="F63" s="12" t="s">
        <v>338</v>
      </c>
      <c r="G63" s="12" t="s">
        <v>18</v>
      </c>
      <c r="H63" s="9" t="s">
        <v>19</v>
      </c>
      <c r="I63" s="13" t="s">
        <v>27</v>
      </c>
      <c r="J63" s="14"/>
      <c r="K63" s="14"/>
      <c r="L63" s="14"/>
      <c r="M63" s="14"/>
      <c r="N63" s="14"/>
      <c r="O63" s="14"/>
      <c r="P63" s="14"/>
      <c r="Q63" s="14"/>
    </row>
    <row r="64">
      <c r="A64" s="7">
        <v>2023.0</v>
      </c>
      <c r="B64" s="8" t="s">
        <v>339</v>
      </c>
      <c r="C64" s="12" t="s">
        <v>340</v>
      </c>
      <c r="D64" s="10" t="s">
        <v>341</v>
      </c>
      <c r="E64" s="11" t="s">
        <v>342</v>
      </c>
      <c r="F64" s="12" t="s">
        <v>343</v>
      </c>
      <c r="G64" s="12" t="s">
        <v>18</v>
      </c>
      <c r="H64" s="9" t="s">
        <v>19</v>
      </c>
      <c r="I64" s="13" t="s">
        <v>20</v>
      </c>
      <c r="J64" s="14"/>
      <c r="K64" s="14"/>
      <c r="L64" s="14"/>
      <c r="M64" s="13" t="s">
        <v>344</v>
      </c>
      <c r="N64" s="14"/>
      <c r="O64" s="14"/>
      <c r="P64" s="14"/>
      <c r="Q64" s="14"/>
    </row>
    <row r="65" ht="15.75" customHeight="1">
      <c r="A65" s="7">
        <v>2022.0</v>
      </c>
      <c r="B65" s="8" t="s">
        <v>345</v>
      </c>
      <c r="C65" s="12" t="s">
        <v>346</v>
      </c>
      <c r="D65" s="10" t="s">
        <v>59</v>
      </c>
      <c r="E65" s="11" t="s">
        <v>347</v>
      </c>
      <c r="F65" s="12" t="s">
        <v>348</v>
      </c>
      <c r="G65" s="12" t="s">
        <v>18</v>
      </c>
      <c r="H65" s="9" t="s">
        <v>19</v>
      </c>
      <c r="I65" s="13" t="s">
        <v>27</v>
      </c>
      <c r="J65" s="14"/>
      <c r="K65" s="14"/>
      <c r="L65" s="14"/>
      <c r="M65" s="14"/>
      <c r="N65" s="14"/>
      <c r="O65" s="14"/>
      <c r="P65" s="14"/>
      <c r="Q65" s="14"/>
    </row>
    <row r="66">
      <c r="A66" s="7">
        <v>2017.0</v>
      </c>
      <c r="B66" s="8" t="s">
        <v>349</v>
      </c>
      <c r="C66" s="12" t="s">
        <v>350</v>
      </c>
      <c r="D66" s="10" t="s">
        <v>112</v>
      </c>
      <c r="E66" s="11" t="s">
        <v>351</v>
      </c>
      <c r="F66" s="12" t="s">
        <v>352</v>
      </c>
      <c r="G66" s="12" t="s">
        <v>18</v>
      </c>
      <c r="H66" s="9" t="s">
        <v>19</v>
      </c>
      <c r="I66" s="13" t="s">
        <v>20</v>
      </c>
      <c r="J66" s="14"/>
      <c r="K66" s="14"/>
      <c r="L66" s="14"/>
      <c r="M66" s="13" t="s">
        <v>353</v>
      </c>
      <c r="N66" s="14"/>
      <c r="O66" s="14"/>
      <c r="P66" s="14"/>
      <c r="Q66" s="14"/>
    </row>
    <row r="67">
      <c r="A67" s="7">
        <v>2023.0</v>
      </c>
      <c r="B67" s="8" t="s">
        <v>354</v>
      </c>
      <c r="C67" s="12" t="s">
        <v>355</v>
      </c>
      <c r="D67" s="10" t="s">
        <v>41</v>
      </c>
      <c r="E67" s="11" t="s">
        <v>356</v>
      </c>
      <c r="F67" s="12" t="s">
        <v>357</v>
      </c>
      <c r="G67" s="12" t="s">
        <v>18</v>
      </c>
      <c r="H67" s="9" t="s">
        <v>19</v>
      </c>
      <c r="I67" s="13" t="s">
        <v>27</v>
      </c>
      <c r="J67" s="14"/>
      <c r="K67" s="14"/>
      <c r="L67" s="14"/>
      <c r="M67" s="14"/>
      <c r="N67" s="14"/>
      <c r="O67" s="14"/>
      <c r="P67" s="14"/>
      <c r="Q67" s="14"/>
    </row>
    <row r="68">
      <c r="A68" s="7">
        <v>2016.0</v>
      </c>
      <c r="B68" s="8" t="s">
        <v>358</v>
      </c>
      <c r="C68" s="12" t="s">
        <v>359</v>
      </c>
      <c r="D68" s="10" t="s">
        <v>272</v>
      </c>
      <c r="E68" s="11" t="s">
        <v>360</v>
      </c>
      <c r="F68" s="12" t="s">
        <v>361</v>
      </c>
      <c r="G68" s="12" t="s">
        <v>18</v>
      </c>
      <c r="H68" s="9" t="s">
        <v>19</v>
      </c>
      <c r="I68" s="13" t="s">
        <v>27</v>
      </c>
      <c r="J68" s="14"/>
      <c r="K68" s="14"/>
      <c r="L68" s="14"/>
      <c r="M68" s="14"/>
      <c r="N68" s="14"/>
      <c r="O68" s="14"/>
      <c r="P68" s="14"/>
      <c r="Q68" s="14"/>
    </row>
    <row r="69">
      <c r="A69" s="7">
        <v>2025.0</v>
      </c>
      <c r="B69" s="8" t="s">
        <v>362</v>
      </c>
      <c r="C69" s="12" t="s">
        <v>363</v>
      </c>
      <c r="D69" s="10" t="s">
        <v>364</v>
      </c>
      <c r="E69" s="11" t="s">
        <v>365</v>
      </c>
      <c r="F69" s="12" t="s">
        <v>366</v>
      </c>
      <c r="G69" s="12" t="s">
        <v>18</v>
      </c>
      <c r="H69" s="9" t="s">
        <v>19</v>
      </c>
      <c r="I69" s="13" t="s">
        <v>27</v>
      </c>
      <c r="J69" s="14"/>
      <c r="K69" s="14"/>
      <c r="L69" s="14"/>
      <c r="M69" s="14"/>
      <c r="N69" s="14"/>
      <c r="O69" s="14"/>
      <c r="P69" s="14"/>
      <c r="Q69" s="14"/>
    </row>
    <row r="70">
      <c r="A70" s="7">
        <v>2023.0</v>
      </c>
      <c r="B70" s="8" t="s">
        <v>367</v>
      </c>
      <c r="C70" s="12" t="s">
        <v>368</v>
      </c>
      <c r="D70" s="10" t="s">
        <v>183</v>
      </c>
      <c r="E70" s="11" t="s">
        <v>369</v>
      </c>
      <c r="F70" s="12" t="s">
        <v>370</v>
      </c>
      <c r="G70" s="12" t="s">
        <v>18</v>
      </c>
      <c r="H70" s="9" t="s">
        <v>19</v>
      </c>
      <c r="I70" s="13" t="s">
        <v>20</v>
      </c>
      <c r="J70" s="14"/>
      <c r="K70" s="14"/>
      <c r="L70" s="14"/>
      <c r="M70" s="13" t="s">
        <v>371</v>
      </c>
      <c r="N70" s="14"/>
      <c r="O70" s="14"/>
      <c r="P70" s="14"/>
      <c r="Q70" s="14"/>
    </row>
    <row r="71">
      <c r="A71" s="7">
        <v>2020.0</v>
      </c>
      <c r="B71" s="8" t="s">
        <v>372</v>
      </c>
      <c r="C71" s="12" t="s">
        <v>373</v>
      </c>
      <c r="D71" s="10" t="s">
        <v>24</v>
      </c>
      <c r="E71" s="11" t="s">
        <v>374</v>
      </c>
      <c r="F71" s="12" t="s">
        <v>375</v>
      </c>
      <c r="G71" s="12" t="s">
        <v>18</v>
      </c>
      <c r="H71" s="9" t="s">
        <v>67</v>
      </c>
      <c r="I71" s="13" t="s">
        <v>27</v>
      </c>
      <c r="J71" s="14"/>
      <c r="K71" s="14"/>
      <c r="L71" s="14"/>
      <c r="M71" s="14"/>
      <c r="N71" s="14"/>
      <c r="O71" s="14"/>
      <c r="P71" s="14"/>
      <c r="Q71" s="14"/>
    </row>
    <row r="72">
      <c r="A72" s="7">
        <v>2023.0</v>
      </c>
      <c r="B72" s="8" t="s">
        <v>376</v>
      </c>
      <c r="C72" s="12" t="s">
        <v>377</v>
      </c>
      <c r="D72" s="10" t="s">
        <v>81</v>
      </c>
      <c r="E72" s="11" t="s">
        <v>378</v>
      </c>
      <c r="F72" s="12" t="s">
        <v>379</v>
      </c>
      <c r="G72" s="12" t="s">
        <v>18</v>
      </c>
      <c r="H72" s="9" t="s">
        <v>19</v>
      </c>
      <c r="I72" s="13" t="s">
        <v>20</v>
      </c>
      <c r="J72" s="14"/>
      <c r="K72" s="14"/>
      <c r="L72" s="14"/>
      <c r="M72" s="13" t="s">
        <v>380</v>
      </c>
      <c r="N72" s="14"/>
      <c r="O72" s="14"/>
      <c r="P72" s="14"/>
      <c r="Q72" s="14"/>
    </row>
    <row r="73">
      <c r="A73" s="7">
        <v>2020.0</v>
      </c>
      <c r="B73" s="8" t="s">
        <v>381</v>
      </c>
      <c r="C73" s="12" t="s">
        <v>382</v>
      </c>
      <c r="D73" s="10" t="s">
        <v>243</v>
      </c>
      <c r="E73" s="11" t="s">
        <v>383</v>
      </c>
      <c r="F73" s="12" t="s">
        <v>384</v>
      </c>
      <c r="G73" s="12" t="s">
        <v>18</v>
      </c>
      <c r="H73" s="9" t="s">
        <v>19</v>
      </c>
      <c r="I73" s="13" t="s">
        <v>20</v>
      </c>
      <c r="J73" s="14"/>
      <c r="K73" s="14"/>
      <c r="L73" s="14"/>
      <c r="M73" s="13" t="s">
        <v>385</v>
      </c>
      <c r="N73" s="14"/>
      <c r="O73" s="14"/>
      <c r="P73" s="14"/>
      <c r="Q73" s="14"/>
    </row>
    <row r="74">
      <c r="A74" s="7">
        <v>2021.0</v>
      </c>
      <c r="B74" s="8" t="s">
        <v>386</v>
      </c>
      <c r="C74" s="12" t="s">
        <v>387</v>
      </c>
      <c r="D74" s="10" t="s">
        <v>24</v>
      </c>
      <c r="E74" s="11" t="s">
        <v>388</v>
      </c>
      <c r="F74" s="12" t="s">
        <v>389</v>
      </c>
      <c r="G74" s="12" t="s">
        <v>18</v>
      </c>
      <c r="H74" s="9" t="s">
        <v>19</v>
      </c>
      <c r="I74" s="13" t="s">
        <v>27</v>
      </c>
      <c r="J74" s="14"/>
      <c r="K74" s="14"/>
      <c r="L74" s="14"/>
      <c r="M74" s="14"/>
      <c r="N74" s="14"/>
      <c r="O74" s="14"/>
      <c r="P74" s="14"/>
      <c r="Q74" s="14"/>
    </row>
    <row r="75">
      <c r="A75" s="7">
        <v>2025.0</v>
      </c>
      <c r="B75" s="8" t="s">
        <v>390</v>
      </c>
      <c r="C75" s="12" t="s">
        <v>391</v>
      </c>
      <c r="D75" s="10" t="s">
        <v>81</v>
      </c>
      <c r="E75" s="11" t="s">
        <v>392</v>
      </c>
      <c r="F75" s="12" t="s">
        <v>393</v>
      </c>
      <c r="G75" s="12" t="s">
        <v>18</v>
      </c>
      <c r="H75" s="9" t="s">
        <v>19</v>
      </c>
      <c r="I75" s="13" t="s">
        <v>27</v>
      </c>
      <c r="J75" s="14"/>
      <c r="K75" s="14"/>
      <c r="L75" s="14"/>
      <c r="M75" s="14"/>
      <c r="N75" s="14"/>
      <c r="O75" s="14"/>
      <c r="P75" s="14"/>
      <c r="Q75" s="14"/>
    </row>
    <row r="76">
      <c r="A76" s="7">
        <v>2021.0</v>
      </c>
      <c r="B76" s="8" t="s">
        <v>394</v>
      </c>
      <c r="C76" s="12" t="s">
        <v>395</v>
      </c>
      <c r="D76" s="10" t="s">
        <v>302</v>
      </c>
      <c r="E76" s="11" t="s">
        <v>396</v>
      </c>
      <c r="F76" s="12" t="s">
        <v>397</v>
      </c>
      <c r="G76" s="12" t="s">
        <v>18</v>
      </c>
      <c r="H76" s="9" t="s">
        <v>19</v>
      </c>
      <c r="I76" s="13" t="s">
        <v>27</v>
      </c>
      <c r="J76" s="14"/>
      <c r="K76" s="14"/>
      <c r="L76" s="14"/>
      <c r="M76" s="14"/>
      <c r="N76" s="14"/>
      <c r="O76" s="14"/>
      <c r="P76" s="14"/>
      <c r="Q76" s="14"/>
    </row>
    <row r="77">
      <c r="A77" s="7">
        <v>2023.0</v>
      </c>
      <c r="B77" s="8" t="s">
        <v>398</v>
      </c>
      <c r="C77" s="12" t="s">
        <v>399</v>
      </c>
      <c r="D77" s="10" t="s">
        <v>41</v>
      </c>
      <c r="E77" s="11" t="s">
        <v>400</v>
      </c>
      <c r="F77" s="12" t="s">
        <v>401</v>
      </c>
      <c r="G77" s="12" t="s">
        <v>18</v>
      </c>
      <c r="H77" s="9" t="s">
        <v>19</v>
      </c>
      <c r="I77" s="13" t="s">
        <v>27</v>
      </c>
      <c r="J77" s="14"/>
      <c r="K77" s="14"/>
      <c r="L77" s="14"/>
      <c r="M77" s="14"/>
      <c r="N77" s="14"/>
      <c r="O77" s="14"/>
      <c r="P77" s="14"/>
      <c r="Q77" s="14"/>
    </row>
    <row r="78">
      <c r="A78" s="7">
        <v>2021.0</v>
      </c>
      <c r="B78" s="8" t="s">
        <v>402</v>
      </c>
      <c r="C78" s="12" t="s">
        <v>403</v>
      </c>
      <c r="D78" s="10" t="s">
        <v>278</v>
      </c>
      <c r="E78" s="11" t="s">
        <v>404</v>
      </c>
      <c r="F78" s="12" t="s">
        <v>405</v>
      </c>
      <c r="G78" s="12" t="s">
        <v>18</v>
      </c>
      <c r="H78" s="9" t="s">
        <v>19</v>
      </c>
      <c r="I78" s="13" t="s">
        <v>20</v>
      </c>
      <c r="J78" s="14"/>
      <c r="K78" s="14"/>
      <c r="L78" s="14"/>
      <c r="M78" s="13" t="s">
        <v>406</v>
      </c>
      <c r="N78" s="14"/>
      <c r="O78" s="14"/>
      <c r="P78" s="14"/>
      <c r="Q78" s="14"/>
    </row>
    <row r="79">
      <c r="A79" s="7">
        <v>2022.0</v>
      </c>
      <c r="B79" s="8" t="s">
        <v>407</v>
      </c>
      <c r="C79" s="12" t="s">
        <v>408</v>
      </c>
      <c r="D79" s="10" t="s">
        <v>409</v>
      </c>
      <c r="E79" s="11" t="s">
        <v>410</v>
      </c>
      <c r="F79" s="12" t="s">
        <v>411</v>
      </c>
      <c r="G79" s="12" t="s">
        <v>18</v>
      </c>
      <c r="H79" s="9" t="s">
        <v>19</v>
      </c>
      <c r="I79" s="13" t="s">
        <v>20</v>
      </c>
      <c r="J79" s="14"/>
      <c r="K79" s="14"/>
      <c r="L79" s="14"/>
      <c r="M79" s="13" t="s">
        <v>412</v>
      </c>
      <c r="N79" s="14"/>
      <c r="O79" s="14"/>
      <c r="P79" s="14"/>
      <c r="Q79" s="14"/>
    </row>
    <row r="80">
      <c r="A80" s="7">
        <v>2021.0</v>
      </c>
      <c r="B80" s="8" t="s">
        <v>413</v>
      </c>
      <c r="C80" s="12" t="s">
        <v>414</v>
      </c>
      <c r="D80" s="10" t="s">
        <v>243</v>
      </c>
      <c r="E80" s="11" t="s">
        <v>415</v>
      </c>
      <c r="F80" s="12" t="s">
        <v>416</v>
      </c>
      <c r="G80" s="12" t="s">
        <v>18</v>
      </c>
      <c r="H80" s="9" t="s">
        <v>19</v>
      </c>
      <c r="I80" s="13" t="s">
        <v>20</v>
      </c>
      <c r="J80" s="14"/>
      <c r="K80" s="14"/>
      <c r="L80" s="14"/>
      <c r="M80" s="13" t="s">
        <v>417</v>
      </c>
      <c r="N80" s="14"/>
      <c r="O80" s="14"/>
      <c r="P80" s="14"/>
      <c r="Q80" s="14"/>
    </row>
    <row r="81">
      <c r="A81" s="7">
        <v>2019.0</v>
      </c>
      <c r="B81" s="8" t="s">
        <v>418</v>
      </c>
      <c r="C81" s="12" t="s">
        <v>419</v>
      </c>
      <c r="D81" s="10" t="s">
        <v>420</v>
      </c>
      <c r="E81" s="11" t="s">
        <v>421</v>
      </c>
      <c r="F81" s="12" t="s">
        <v>422</v>
      </c>
      <c r="G81" s="12" t="s">
        <v>18</v>
      </c>
      <c r="H81" s="9" t="s">
        <v>19</v>
      </c>
      <c r="I81" s="13" t="s">
        <v>20</v>
      </c>
      <c r="J81" s="14"/>
      <c r="K81" s="14"/>
      <c r="L81" s="14"/>
      <c r="M81" s="13" t="s">
        <v>423</v>
      </c>
      <c r="N81" s="14"/>
      <c r="O81" s="14"/>
      <c r="P81" s="14"/>
      <c r="Q81" s="14"/>
    </row>
    <row r="82">
      <c r="A82" s="7">
        <v>2025.0</v>
      </c>
      <c r="B82" s="8" t="s">
        <v>424</v>
      </c>
      <c r="C82" s="12" t="s">
        <v>425</v>
      </c>
      <c r="D82" s="10" t="s">
        <v>364</v>
      </c>
      <c r="E82" s="11" t="s">
        <v>426</v>
      </c>
      <c r="F82" s="12" t="s">
        <v>427</v>
      </c>
      <c r="G82" s="12" t="s">
        <v>18</v>
      </c>
      <c r="H82" s="9" t="s">
        <v>19</v>
      </c>
      <c r="I82" s="13" t="s">
        <v>20</v>
      </c>
      <c r="J82" s="14"/>
      <c r="K82" s="14"/>
      <c r="L82" s="14"/>
      <c r="M82" s="13" t="s">
        <v>428</v>
      </c>
      <c r="N82" s="14"/>
      <c r="O82" s="14"/>
      <c r="P82" s="14"/>
      <c r="Q82" s="14"/>
    </row>
    <row r="83">
      <c r="A83" s="7">
        <v>2025.0</v>
      </c>
      <c r="B83" s="8" t="s">
        <v>429</v>
      </c>
      <c r="C83" s="12" t="s">
        <v>430</v>
      </c>
      <c r="D83" s="10" t="s">
        <v>431</v>
      </c>
      <c r="E83" s="11" t="s">
        <v>432</v>
      </c>
      <c r="F83" s="12" t="s">
        <v>433</v>
      </c>
      <c r="G83" s="12" t="s">
        <v>18</v>
      </c>
      <c r="H83" s="9" t="s">
        <v>19</v>
      </c>
      <c r="I83" s="13" t="s">
        <v>20</v>
      </c>
      <c r="J83" s="14"/>
      <c r="K83" s="14"/>
      <c r="L83" s="14"/>
      <c r="M83" s="13" t="s">
        <v>434</v>
      </c>
      <c r="N83" s="14"/>
      <c r="O83" s="14"/>
      <c r="P83" s="14"/>
      <c r="Q83" s="14"/>
    </row>
    <row r="84">
      <c r="A84" s="7">
        <v>2024.0</v>
      </c>
      <c r="B84" s="8" t="s">
        <v>435</v>
      </c>
      <c r="C84" s="12" t="s">
        <v>436</v>
      </c>
      <c r="D84" s="10" t="s">
        <v>106</v>
      </c>
      <c r="E84" s="11" t="s">
        <v>437</v>
      </c>
      <c r="F84" s="12" t="s">
        <v>438</v>
      </c>
      <c r="G84" s="12" t="s">
        <v>18</v>
      </c>
      <c r="H84" s="9" t="s">
        <v>19</v>
      </c>
      <c r="I84" s="13" t="s">
        <v>20</v>
      </c>
      <c r="J84" s="14"/>
      <c r="K84" s="14"/>
      <c r="L84" s="14"/>
      <c r="M84" s="13" t="s">
        <v>439</v>
      </c>
      <c r="N84" s="13"/>
      <c r="O84" s="14"/>
      <c r="P84" s="14"/>
      <c r="Q84" s="14"/>
    </row>
    <row r="85">
      <c r="A85" s="7">
        <v>2022.0</v>
      </c>
      <c r="B85" s="8" t="s">
        <v>440</v>
      </c>
      <c r="C85" s="12" t="s">
        <v>441</v>
      </c>
      <c r="D85" s="10" t="s">
        <v>112</v>
      </c>
      <c r="E85" s="11" t="s">
        <v>442</v>
      </c>
      <c r="F85" s="12" t="s">
        <v>443</v>
      </c>
      <c r="G85" s="12" t="s">
        <v>18</v>
      </c>
      <c r="H85" s="9" t="s">
        <v>19</v>
      </c>
      <c r="I85" s="13" t="s">
        <v>27</v>
      </c>
      <c r="J85" s="14"/>
      <c r="K85" s="14"/>
      <c r="L85" s="14"/>
      <c r="M85" s="14"/>
      <c r="N85" s="14"/>
      <c r="O85" s="14"/>
      <c r="P85" s="14"/>
      <c r="Q85" s="14"/>
    </row>
    <row r="86">
      <c r="A86" s="7">
        <v>2024.0</v>
      </c>
      <c r="B86" s="8" t="s">
        <v>444</v>
      </c>
      <c r="C86" s="12" t="s">
        <v>445</v>
      </c>
      <c r="D86" s="10" t="s">
        <v>81</v>
      </c>
      <c r="E86" s="11" t="s">
        <v>446</v>
      </c>
      <c r="F86" s="12" t="s">
        <v>447</v>
      </c>
      <c r="G86" s="12" t="s">
        <v>18</v>
      </c>
      <c r="H86" s="9" t="s">
        <v>19</v>
      </c>
      <c r="I86" s="13" t="s">
        <v>20</v>
      </c>
      <c r="J86" s="14"/>
      <c r="K86" s="14"/>
      <c r="L86" s="14"/>
      <c r="M86" s="13" t="s">
        <v>448</v>
      </c>
      <c r="N86" s="14"/>
      <c r="O86" s="14"/>
      <c r="P86" s="14"/>
      <c r="Q86" s="14"/>
    </row>
    <row r="87">
      <c r="A87" s="7">
        <v>2024.0</v>
      </c>
      <c r="B87" s="8" t="s">
        <v>449</v>
      </c>
      <c r="C87" s="12" t="s">
        <v>450</v>
      </c>
      <c r="D87" s="10" t="s">
        <v>81</v>
      </c>
      <c r="E87" s="11" t="s">
        <v>451</v>
      </c>
      <c r="F87" s="12" t="s">
        <v>452</v>
      </c>
      <c r="G87" s="12" t="s">
        <v>18</v>
      </c>
      <c r="H87" s="9" t="s">
        <v>19</v>
      </c>
      <c r="I87" s="13" t="s">
        <v>20</v>
      </c>
      <c r="J87" s="14"/>
      <c r="K87" s="14"/>
      <c r="L87" s="14"/>
      <c r="M87" s="13" t="s">
        <v>448</v>
      </c>
      <c r="N87" s="14"/>
      <c r="O87" s="14"/>
      <c r="P87" s="14"/>
      <c r="Q87" s="14"/>
    </row>
    <row r="88">
      <c r="A88" s="7">
        <v>2025.0</v>
      </c>
      <c r="B88" s="8" t="s">
        <v>453</v>
      </c>
      <c r="C88" s="12" t="s">
        <v>454</v>
      </c>
      <c r="D88" s="10" t="s">
        <v>455</v>
      </c>
      <c r="E88" s="16" t="s">
        <v>456</v>
      </c>
      <c r="F88" s="12" t="s">
        <v>457</v>
      </c>
      <c r="G88" s="12" t="s">
        <v>18</v>
      </c>
      <c r="H88" s="9" t="s">
        <v>19</v>
      </c>
      <c r="I88" s="13" t="s">
        <v>20</v>
      </c>
      <c r="J88" s="14"/>
      <c r="K88" s="14"/>
      <c r="L88" s="14"/>
      <c r="M88" s="13" t="s">
        <v>458</v>
      </c>
      <c r="N88" s="14"/>
      <c r="O88" s="14"/>
      <c r="P88" s="14"/>
      <c r="Q88" s="14"/>
    </row>
    <row r="89">
      <c r="A89" s="7">
        <v>2023.0</v>
      </c>
      <c r="B89" s="8" t="s">
        <v>459</v>
      </c>
      <c r="C89" s="12" t="s">
        <v>460</v>
      </c>
      <c r="D89" s="10" t="s">
        <v>226</v>
      </c>
      <c r="E89" s="11" t="s">
        <v>461</v>
      </c>
      <c r="F89" s="12" t="s">
        <v>462</v>
      </c>
      <c r="G89" s="12" t="s">
        <v>18</v>
      </c>
      <c r="H89" s="9" t="s">
        <v>19</v>
      </c>
      <c r="I89" s="13" t="s">
        <v>20</v>
      </c>
      <c r="J89" s="14"/>
      <c r="K89" s="14"/>
      <c r="L89" s="14"/>
      <c r="M89" s="13" t="s">
        <v>463</v>
      </c>
      <c r="N89" s="14"/>
      <c r="O89" s="14"/>
      <c r="P89" s="14"/>
      <c r="Q89" s="14"/>
    </row>
    <row r="90">
      <c r="A90" s="7">
        <v>2024.0</v>
      </c>
      <c r="B90" s="8" t="s">
        <v>464</v>
      </c>
      <c r="C90" s="12" t="s">
        <v>465</v>
      </c>
      <c r="D90" s="10" t="s">
        <v>183</v>
      </c>
      <c r="E90" s="11" t="s">
        <v>466</v>
      </c>
      <c r="F90" s="12" t="s">
        <v>467</v>
      </c>
      <c r="G90" s="12" t="s">
        <v>18</v>
      </c>
      <c r="H90" s="9" t="s">
        <v>19</v>
      </c>
      <c r="I90" s="13" t="s">
        <v>20</v>
      </c>
      <c r="J90" s="14"/>
      <c r="K90" s="14"/>
      <c r="L90" s="14"/>
      <c r="M90" s="13" t="s">
        <v>468</v>
      </c>
      <c r="N90" s="14"/>
      <c r="O90" s="14"/>
      <c r="P90" s="14"/>
      <c r="Q90" s="14"/>
    </row>
    <row r="91">
      <c r="A91" s="7">
        <v>2017.0</v>
      </c>
      <c r="B91" s="8" t="s">
        <v>469</v>
      </c>
      <c r="C91" s="12" t="s">
        <v>470</v>
      </c>
      <c r="D91" s="10" t="s">
        <v>24</v>
      </c>
      <c r="E91" s="11" t="s">
        <v>471</v>
      </c>
      <c r="F91" s="12" t="s">
        <v>472</v>
      </c>
      <c r="G91" s="12" t="s">
        <v>18</v>
      </c>
      <c r="H91" s="9" t="s">
        <v>19</v>
      </c>
      <c r="I91" s="13" t="s">
        <v>27</v>
      </c>
      <c r="J91" s="14"/>
      <c r="K91" s="14"/>
      <c r="L91" s="14"/>
      <c r="M91" s="14"/>
      <c r="N91" s="14"/>
      <c r="O91" s="14"/>
      <c r="P91" s="14"/>
      <c r="Q91" s="14"/>
    </row>
    <row r="92">
      <c r="A92" s="7">
        <v>2024.0</v>
      </c>
      <c r="B92" s="8" t="s">
        <v>473</v>
      </c>
      <c r="C92" s="12" t="s">
        <v>474</v>
      </c>
      <c r="D92" s="10" t="s">
        <v>475</v>
      </c>
      <c r="E92" s="11" t="s">
        <v>476</v>
      </c>
      <c r="F92" s="12" t="s">
        <v>477</v>
      </c>
      <c r="G92" s="12" t="s">
        <v>18</v>
      </c>
      <c r="H92" s="9" t="s">
        <v>19</v>
      </c>
      <c r="I92" s="13" t="s">
        <v>20</v>
      </c>
      <c r="J92" s="14"/>
      <c r="K92" s="14"/>
      <c r="L92" s="14"/>
      <c r="M92" s="13" t="s">
        <v>478</v>
      </c>
      <c r="N92" s="14"/>
      <c r="O92" s="14"/>
      <c r="P92" s="14"/>
      <c r="Q92" s="14"/>
    </row>
    <row r="93">
      <c r="A93" s="7">
        <v>2022.0</v>
      </c>
      <c r="B93" s="8" t="s">
        <v>479</v>
      </c>
      <c r="C93" s="12" t="s">
        <v>480</v>
      </c>
      <c r="D93" s="10" t="s">
        <v>481</v>
      </c>
      <c r="E93" s="11" t="s">
        <v>482</v>
      </c>
      <c r="F93" s="12" t="s">
        <v>483</v>
      </c>
      <c r="G93" s="12" t="s">
        <v>18</v>
      </c>
      <c r="H93" s="9" t="s">
        <v>19</v>
      </c>
      <c r="I93" s="13" t="s">
        <v>20</v>
      </c>
      <c r="J93" s="14"/>
      <c r="K93" s="14"/>
      <c r="L93" s="14"/>
      <c r="M93" s="13" t="s">
        <v>484</v>
      </c>
      <c r="N93" s="14"/>
      <c r="O93" s="14"/>
      <c r="P93" s="14"/>
      <c r="Q93" s="14"/>
    </row>
    <row r="94">
      <c r="A94" s="7">
        <v>2021.0</v>
      </c>
      <c r="B94" s="8" t="s">
        <v>485</v>
      </c>
      <c r="C94" s="12" t="s">
        <v>486</v>
      </c>
      <c r="D94" s="10" t="s">
        <v>112</v>
      </c>
      <c r="E94" s="11" t="s">
        <v>487</v>
      </c>
      <c r="F94" s="12" t="s">
        <v>488</v>
      </c>
      <c r="G94" s="12" t="s">
        <v>18</v>
      </c>
      <c r="H94" s="9" t="s">
        <v>19</v>
      </c>
      <c r="I94" s="13" t="s">
        <v>27</v>
      </c>
      <c r="J94" s="14"/>
      <c r="K94" s="14"/>
      <c r="L94" s="14"/>
      <c r="M94" s="14"/>
      <c r="N94" s="14"/>
      <c r="O94" s="14"/>
      <c r="P94" s="14"/>
      <c r="Q94" s="14"/>
    </row>
    <row r="95">
      <c r="A95" s="7">
        <v>2021.0</v>
      </c>
      <c r="B95" s="8" t="s">
        <v>489</v>
      </c>
      <c r="C95" s="12" t="s">
        <v>490</v>
      </c>
      <c r="D95" s="10" t="s">
        <v>232</v>
      </c>
      <c r="E95" s="11" t="s">
        <v>491</v>
      </c>
      <c r="F95" s="12" t="s">
        <v>492</v>
      </c>
      <c r="G95" s="12" t="s">
        <v>18</v>
      </c>
      <c r="H95" s="9" t="s">
        <v>19</v>
      </c>
      <c r="I95" s="13" t="s">
        <v>27</v>
      </c>
      <c r="J95" s="14"/>
      <c r="K95" s="14"/>
      <c r="L95" s="14"/>
      <c r="M95" s="14"/>
      <c r="N95" s="14"/>
      <c r="O95" s="14"/>
      <c r="P95" s="14"/>
      <c r="Q95" s="14"/>
    </row>
    <row r="96">
      <c r="A96" s="7">
        <v>2023.0</v>
      </c>
      <c r="B96" s="8" t="s">
        <v>493</v>
      </c>
      <c r="C96" s="12" t="s">
        <v>494</v>
      </c>
      <c r="D96" s="10" t="s">
        <v>59</v>
      </c>
      <c r="E96" s="11" t="s">
        <v>495</v>
      </c>
      <c r="F96" s="12" t="s">
        <v>496</v>
      </c>
      <c r="G96" s="12" t="s">
        <v>18</v>
      </c>
      <c r="H96" s="9" t="s">
        <v>19</v>
      </c>
      <c r="I96" s="13" t="s">
        <v>27</v>
      </c>
      <c r="J96" s="14"/>
      <c r="K96" s="14"/>
      <c r="L96" s="14"/>
      <c r="M96" s="14"/>
      <c r="N96" s="14"/>
      <c r="O96" s="14"/>
      <c r="P96" s="14"/>
      <c r="Q96" s="14"/>
    </row>
    <row r="97">
      <c r="A97" s="7">
        <v>2024.0</v>
      </c>
      <c r="B97" s="8" t="s">
        <v>497</v>
      </c>
      <c r="C97" s="12" t="s">
        <v>498</v>
      </c>
      <c r="D97" s="10" t="s">
        <v>59</v>
      </c>
      <c r="E97" s="11" t="s">
        <v>499</v>
      </c>
      <c r="F97" s="12" t="s">
        <v>500</v>
      </c>
      <c r="G97" s="12" t="s">
        <v>18</v>
      </c>
      <c r="H97" s="9" t="s">
        <v>19</v>
      </c>
      <c r="I97" s="13" t="s">
        <v>27</v>
      </c>
      <c r="J97" s="14"/>
      <c r="K97" s="14"/>
      <c r="L97" s="14"/>
      <c r="M97" s="14"/>
      <c r="N97" s="14"/>
      <c r="O97" s="14"/>
      <c r="P97" s="14"/>
      <c r="Q97" s="14"/>
    </row>
    <row r="98">
      <c r="A98" s="7">
        <v>2025.0</v>
      </c>
      <c r="B98" s="8" t="s">
        <v>501</v>
      </c>
      <c r="C98" s="12" t="s">
        <v>502</v>
      </c>
      <c r="D98" s="10" t="s">
        <v>503</v>
      </c>
      <c r="E98" s="11" t="s">
        <v>504</v>
      </c>
      <c r="F98" s="12" t="s">
        <v>505</v>
      </c>
      <c r="G98" s="12" t="s">
        <v>18</v>
      </c>
      <c r="H98" s="9" t="s">
        <v>19</v>
      </c>
      <c r="I98" s="13" t="s">
        <v>20</v>
      </c>
      <c r="J98" s="14"/>
      <c r="K98" s="14"/>
      <c r="L98" s="14"/>
      <c r="M98" s="13" t="s">
        <v>506</v>
      </c>
      <c r="N98" s="14"/>
      <c r="O98" s="14"/>
      <c r="P98" s="14"/>
      <c r="Q98" s="14"/>
    </row>
    <row r="99">
      <c r="A99" s="7">
        <v>2023.0</v>
      </c>
      <c r="B99" s="8" t="s">
        <v>507</v>
      </c>
      <c r="C99" s="12" t="s">
        <v>508</v>
      </c>
      <c r="D99" s="10" t="s">
        <v>232</v>
      </c>
      <c r="E99" s="11" t="s">
        <v>509</v>
      </c>
      <c r="F99" s="12" t="s">
        <v>510</v>
      </c>
      <c r="G99" s="12" t="s">
        <v>18</v>
      </c>
      <c r="H99" s="9" t="s">
        <v>19</v>
      </c>
      <c r="I99" s="13" t="s">
        <v>27</v>
      </c>
      <c r="J99" s="14"/>
      <c r="K99" s="14"/>
      <c r="L99" s="14"/>
      <c r="M99" s="14"/>
      <c r="N99" s="14"/>
      <c r="O99" s="14"/>
      <c r="P99" s="14"/>
      <c r="Q99" s="14"/>
    </row>
    <row r="100">
      <c r="A100" s="7">
        <v>2023.0</v>
      </c>
      <c r="B100" s="8" t="s">
        <v>511</v>
      </c>
      <c r="C100" s="12" t="s">
        <v>512</v>
      </c>
      <c r="D100" s="10" t="s">
        <v>183</v>
      </c>
      <c r="E100" s="11" t="s">
        <v>513</v>
      </c>
      <c r="F100" s="12" t="s">
        <v>514</v>
      </c>
      <c r="G100" s="12" t="s">
        <v>18</v>
      </c>
      <c r="H100" s="9" t="s">
        <v>19</v>
      </c>
      <c r="I100" s="13" t="s">
        <v>20</v>
      </c>
      <c r="J100" s="14"/>
      <c r="K100" s="14"/>
      <c r="L100" s="14"/>
      <c r="M100" s="13" t="s">
        <v>515</v>
      </c>
      <c r="N100" s="14"/>
      <c r="O100" s="14"/>
      <c r="P100" s="14"/>
      <c r="Q100" s="14"/>
    </row>
    <row r="101">
      <c r="A101" s="7">
        <v>2025.0</v>
      </c>
      <c r="B101" s="8" t="s">
        <v>516</v>
      </c>
      <c r="C101" s="12" t="s">
        <v>517</v>
      </c>
      <c r="D101" s="10" t="s">
        <v>168</v>
      </c>
      <c r="E101" s="11" t="s">
        <v>518</v>
      </c>
      <c r="F101" s="12" t="s">
        <v>519</v>
      </c>
      <c r="G101" s="12" t="s">
        <v>18</v>
      </c>
      <c r="H101" s="9" t="s">
        <v>19</v>
      </c>
      <c r="I101" s="13" t="s">
        <v>20</v>
      </c>
      <c r="J101" s="14"/>
      <c r="K101" s="14"/>
      <c r="L101" s="14"/>
      <c r="M101" s="13" t="s">
        <v>520</v>
      </c>
      <c r="N101" s="14"/>
      <c r="O101" s="14"/>
      <c r="P101" s="14"/>
      <c r="Q101" s="14"/>
    </row>
    <row r="102">
      <c r="A102" s="7">
        <v>2025.0</v>
      </c>
      <c r="B102" s="8" t="s">
        <v>521</v>
      </c>
      <c r="C102" s="12" t="s">
        <v>522</v>
      </c>
      <c r="D102" s="10" t="s">
        <v>523</v>
      </c>
      <c r="E102" s="11" t="s">
        <v>524</v>
      </c>
      <c r="F102" s="12" t="s">
        <v>525</v>
      </c>
      <c r="G102" s="12" t="s">
        <v>18</v>
      </c>
      <c r="H102" s="9" t="s">
        <v>19</v>
      </c>
      <c r="I102" s="13" t="s">
        <v>20</v>
      </c>
      <c r="J102" s="14"/>
      <c r="K102" s="14"/>
      <c r="L102" s="14"/>
      <c r="M102" s="13" t="s">
        <v>526</v>
      </c>
      <c r="N102" s="14"/>
      <c r="O102" s="14"/>
      <c r="P102" s="14"/>
      <c r="Q102" s="14"/>
    </row>
    <row r="103">
      <c r="A103" s="7">
        <v>2023.0</v>
      </c>
      <c r="B103" s="8" t="s">
        <v>527</v>
      </c>
      <c r="C103" s="12" t="s">
        <v>528</v>
      </c>
      <c r="D103" s="10" t="s">
        <v>284</v>
      </c>
      <c r="E103" s="11" t="s">
        <v>529</v>
      </c>
      <c r="F103" s="12" t="s">
        <v>530</v>
      </c>
      <c r="G103" s="12" t="s">
        <v>18</v>
      </c>
      <c r="H103" s="9" t="s">
        <v>19</v>
      </c>
      <c r="I103" s="13" t="s">
        <v>20</v>
      </c>
      <c r="J103" s="14"/>
      <c r="K103" s="14"/>
      <c r="L103" s="14"/>
      <c r="M103" s="13" t="s">
        <v>531</v>
      </c>
      <c r="N103" s="14"/>
      <c r="O103" s="14"/>
      <c r="P103" s="14"/>
      <c r="Q103" s="14"/>
    </row>
    <row r="104">
      <c r="A104" s="7">
        <v>2021.0</v>
      </c>
      <c r="B104" s="8" t="s">
        <v>532</v>
      </c>
      <c r="C104" s="12" t="s">
        <v>533</v>
      </c>
      <c r="D104" s="10" t="s">
        <v>534</v>
      </c>
      <c r="E104" s="11" t="s">
        <v>535</v>
      </c>
      <c r="F104" s="12" t="s">
        <v>536</v>
      </c>
      <c r="G104" s="12" t="s">
        <v>18</v>
      </c>
      <c r="H104" s="9" t="s">
        <v>19</v>
      </c>
      <c r="I104" s="13" t="s">
        <v>20</v>
      </c>
      <c r="J104" s="14"/>
      <c r="K104" s="14"/>
      <c r="L104" s="14"/>
      <c r="M104" s="13" t="s">
        <v>537</v>
      </c>
      <c r="N104" s="14"/>
      <c r="O104" s="14"/>
      <c r="P104" s="14"/>
      <c r="Q104" s="14"/>
    </row>
    <row r="105">
      <c r="A105" s="7">
        <v>2023.0</v>
      </c>
      <c r="B105" s="8" t="s">
        <v>538</v>
      </c>
      <c r="C105" s="12" t="s">
        <v>539</v>
      </c>
      <c r="D105" s="10" t="s">
        <v>59</v>
      </c>
      <c r="E105" s="11" t="s">
        <v>540</v>
      </c>
      <c r="F105" s="12" t="s">
        <v>541</v>
      </c>
      <c r="G105" s="12" t="s">
        <v>18</v>
      </c>
      <c r="H105" s="9" t="s">
        <v>19</v>
      </c>
      <c r="I105" s="13" t="s">
        <v>20</v>
      </c>
      <c r="J105" s="14"/>
      <c r="K105" s="14"/>
      <c r="L105" s="14"/>
      <c r="M105" s="13" t="s">
        <v>542</v>
      </c>
      <c r="N105" s="14"/>
      <c r="O105" s="14"/>
      <c r="P105" s="14"/>
      <c r="Q105" s="14"/>
    </row>
    <row r="106">
      <c r="A106" s="7">
        <v>2018.0</v>
      </c>
      <c r="B106" s="8" t="s">
        <v>543</v>
      </c>
      <c r="C106" s="12" t="s">
        <v>544</v>
      </c>
      <c r="D106" s="10" t="s">
        <v>24</v>
      </c>
      <c r="E106" s="11" t="s">
        <v>545</v>
      </c>
      <c r="F106" s="12" t="s">
        <v>546</v>
      </c>
      <c r="G106" s="12" t="s">
        <v>18</v>
      </c>
      <c r="H106" s="9" t="s">
        <v>19</v>
      </c>
      <c r="I106" s="13" t="s">
        <v>20</v>
      </c>
      <c r="J106" s="14"/>
      <c r="K106" s="14"/>
      <c r="L106" s="14"/>
      <c r="M106" s="13" t="s">
        <v>547</v>
      </c>
      <c r="N106" s="14"/>
      <c r="O106" s="14"/>
      <c r="P106" s="14"/>
      <c r="Q106" s="14"/>
    </row>
    <row r="107">
      <c r="A107" s="7">
        <v>2022.0</v>
      </c>
      <c r="B107" s="8" t="s">
        <v>548</v>
      </c>
      <c r="C107" s="12" t="s">
        <v>549</v>
      </c>
      <c r="D107" s="10" t="s">
        <v>284</v>
      </c>
      <c r="E107" s="11" t="s">
        <v>550</v>
      </c>
      <c r="F107" s="12" t="s">
        <v>551</v>
      </c>
      <c r="G107" s="12" t="s">
        <v>18</v>
      </c>
      <c r="H107" s="9" t="s">
        <v>19</v>
      </c>
      <c r="I107" s="13" t="s">
        <v>20</v>
      </c>
      <c r="J107" s="14"/>
      <c r="K107" s="14"/>
      <c r="L107" s="14"/>
      <c r="M107" s="13" t="s">
        <v>552</v>
      </c>
      <c r="N107" s="14"/>
      <c r="O107" s="14"/>
      <c r="P107" s="14"/>
      <c r="Q107" s="14"/>
    </row>
    <row r="108">
      <c r="A108" s="7">
        <v>2022.0</v>
      </c>
      <c r="B108" s="8" t="s">
        <v>553</v>
      </c>
      <c r="C108" s="12" t="s">
        <v>554</v>
      </c>
      <c r="D108" s="10" t="s">
        <v>555</v>
      </c>
      <c r="E108" s="11" t="s">
        <v>556</v>
      </c>
      <c r="F108" s="12" t="s">
        <v>557</v>
      </c>
      <c r="G108" s="12" t="s">
        <v>18</v>
      </c>
      <c r="H108" s="9" t="s">
        <v>19</v>
      </c>
      <c r="I108" s="13" t="s">
        <v>20</v>
      </c>
      <c r="J108" s="14"/>
      <c r="K108" s="14"/>
      <c r="L108" s="14"/>
      <c r="M108" s="13" t="s">
        <v>558</v>
      </c>
      <c r="N108" s="14"/>
      <c r="O108" s="14"/>
      <c r="P108" s="14"/>
      <c r="Q108" s="14"/>
    </row>
    <row r="109">
      <c r="A109" s="7">
        <v>2023.0</v>
      </c>
      <c r="B109" s="8" t="s">
        <v>559</v>
      </c>
      <c r="C109" s="12" t="s">
        <v>560</v>
      </c>
      <c r="D109" s="10" t="s">
        <v>81</v>
      </c>
      <c r="E109" s="11" t="s">
        <v>561</v>
      </c>
      <c r="F109" s="12" t="s">
        <v>562</v>
      </c>
      <c r="G109" s="12" t="s">
        <v>18</v>
      </c>
      <c r="H109" s="9" t="s">
        <v>19</v>
      </c>
      <c r="I109" s="13" t="s">
        <v>20</v>
      </c>
      <c r="J109" s="14"/>
      <c r="K109" s="14"/>
      <c r="L109" s="14"/>
      <c r="M109" s="13" t="s">
        <v>563</v>
      </c>
      <c r="N109" s="14"/>
      <c r="O109" s="14"/>
      <c r="P109" s="14"/>
      <c r="Q109" s="14"/>
    </row>
    <row r="110">
      <c r="A110" s="7">
        <v>2024.0</v>
      </c>
      <c r="B110" s="8" t="s">
        <v>564</v>
      </c>
      <c r="C110" s="12" t="s">
        <v>565</v>
      </c>
      <c r="D110" s="10" t="s">
        <v>24</v>
      </c>
      <c r="E110" s="11" t="s">
        <v>566</v>
      </c>
      <c r="F110" s="12" t="s">
        <v>567</v>
      </c>
      <c r="G110" s="12" t="s">
        <v>18</v>
      </c>
      <c r="H110" s="9" t="s">
        <v>19</v>
      </c>
      <c r="I110" s="13" t="s">
        <v>27</v>
      </c>
      <c r="J110" s="14"/>
      <c r="K110" s="14"/>
      <c r="L110" s="14"/>
      <c r="M110" s="14"/>
      <c r="N110" s="14"/>
      <c r="O110" s="14"/>
      <c r="P110" s="14"/>
      <c r="Q110" s="14"/>
    </row>
    <row r="111">
      <c r="A111" s="7">
        <v>2022.0</v>
      </c>
      <c r="B111" s="8" t="s">
        <v>568</v>
      </c>
      <c r="C111" s="12" t="s">
        <v>569</v>
      </c>
      <c r="D111" s="10" t="s">
        <v>570</v>
      </c>
      <c r="E111" s="11" t="s">
        <v>571</v>
      </c>
      <c r="F111" s="12" t="s">
        <v>572</v>
      </c>
      <c r="G111" s="12" t="s">
        <v>18</v>
      </c>
      <c r="H111" s="9" t="s">
        <v>19</v>
      </c>
      <c r="I111" s="13" t="s">
        <v>20</v>
      </c>
      <c r="J111" s="14"/>
      <c r="K111" s="14"/>
      <c r="L111" s="14"/>
      <c r="M111" s="13" t="s">
        <v>573</v>
      </c>
      <c r="N111" s="14"/>
      <c r="O111" s="14"/>
      <c r="P111" s="14"/>
      <c r="Q111" s="14"/>
    </row>
    <row r="112">
      <c r="A112" s="7">
        <v>2020.0</v>
      </c>
      <c r="B112" s="8" t="s">
        <v>574</v>
      </c>
      <c r="C112" s="12" t="s">
        <v>575</v>
      </c>
      <c r="D112" s="10" t="s">
        <v>258</v>
      </c>
      <c r="E112" s="11" t="s">
        <v>576</v>
      </c>
      <c r="F112" s="12" t="s">
        <v>577</v>
      </c>
      <c r="G112" s="12" t="s">
        <v>18</v>
      </c>
      <c r="H112" s="9" t="s">
        <v>19</v>
      </c>
      <c r="I112" s="13" t="s">
        <v>20</v>
      </c>
      <c r="J112" s="14"/>
      <c r="K112" s="14"/>
      <c r="L112" s="14"/>
      <c r="M112" s="13" t="s">
        <v>578</v>
      </c>
      <c r="N112" s="14"/>
      <c r="O112" s="14"/>
      <c r="P112" s="14"/>
      <c r="Q112" s="14"/>
    </row>
    <row r="113">
      <c r="A113" s="7">
        <v>2019.0</v>
      </c>
      <c r="B113" s="8" t="s">
        <v>579</v>
      </c>
      <c r="C113" s="12" t="s">
        <v>580</v>
      </c>
      <c r="D113" s="10" t="s">
        <v>24</v>
      </c>
      <c r="E113" s="11" t="s">
        <v>581</v>
      </c>
      <c r="F113" s="12" t="s">
        <v>582</v>
      </c>
      <c r="G113" s="12" t="s">
        <v>18</v>
      </c>
      <c r="H113" s="9" t="s">
        <v>19</v>
      </c>
      <c r="I113" s="13" t="s">
        <v>27</v>
      </c>
      <c r="J113" s="14"/>
      <c r="K113" s="14"/>
      <c r="L113" s="14"/>
      <c r="M113" s="14"/>
      <c r="N113" s="14"/>
      <c r="O113" s="14"/>
      <c r="P113" s="14"/>
      <c r="Q113" s="14"/>
    </row>
    <row r="114">
      <c r="A114" s="7">
        <v>2020.0</v>
      </c>
      <c r="B114" s="8" t="s">
        <v>583</v>
      </c>
      <c r="C114" s="12" t="s">
        <v>584</v>
      </c>
      <c r="D114" s="10" t="s">
        <v>24</v>
      </c>
      <c r="E114" s="11" t="s">
        <v>585</v>
      </c>
      <c r="F114" s="12" t="s">
        <v>586</v>
      </c>
      <c r="G114" s="12" t="s">
        <v>18</v>
      </c>
      <c r="H114" s="9" t="s">
        <v>19</v>
      </c>
      <c r="I114" s="13" t="s">
        <v>20</v>
      </c>
      <c r="J114" s="14"/>
      <c r="K114" s="14"/>
      <c r="L114" s="14"/>
      <c r="M114" s="13" t="s">
        <v>587</v>
      </c>
      <c r="N114" s="14"/>
      <c r="O114" s="14"/>
      <c r="P114" s="14"/>
      <c r="Q114" s="14"/>
    </row>
    <row r="115">
      <c r="A115" s="7">
        <v>2018.0</v>
      </c>
      <c r="B115" s="8" t="s">
        <v>588</v>
      </c>
      <c r="C115" s="12" t="s">
        <v>589</v>
      </c>
      <c r="D115" s="10" t="s">
        <v>112</v>
      </c>
      <c r="E115" s="11" t="s">
        <v>590</v>
      </c>
      <c r="F115" s="12" t="s">
        <v>591</v>
      </c>
      <c r="G115" s="12" t="s">
        <v>18</v>
      </c>
      <c r="H115" s="9" t="s">
        <v>19</v>
      </c>
      <c r="I115" s="13" t="s">
        <v>20</v>
      </c>
      <c r="J115" s="14"/>
      <c r="K115" s="14"/>
      <c r="L115" s="14"/>
      <c r="M115" s="13" t="s">
        <v>592</v>
      </c>
      <c r="N115" s="14"/>
      <c r="O115" s="14"/>
      <c r="P115" s="14"/>
      <c r="Q115" s="14"/>
    </row>
    <row r="116">
      <c r="A116" s="7">
        <v>2021.0</v>
      </c>
      <c r="B116" s="8" t="s">
        <v>593</v>
      </c>
      <c r="C116" s="12" t="s">
        <v>594</v>
      </c>
      <c r="D116" s="10" t="s">
        <v>595</v>
      </c>
      <c r="E116" s="11" t="s">
        <v>596</v>
      </c>
      <c r="F116" s="12" t="s">
        <v>597</v>
      </c>
      <c r="G116" s="12" t="s">
        <v>18</v>
      </c>
      <c r="H116" s="9" t="s">
        <v>19</v>
      </c>
      <c r="I116" s="13" t="s">
        <v>20</v>
      </c>
      <c r="J116" s="14"/>
      <c r="K116" s="14"/>
      <c r="L116" s="14"/>
      <c r="M116" s="13" t="s">
        <v>598</v>
      </c>
      <c r="N116" s="14"/>
      <c r="O116" s="14"/>
      <c r="P116" s="14"/>
      <c r="Q116" s="14"/>
    </row>
    <row r="117">
      <c r="A117" s="7">
        <v>2024.0</v>
      </c>
      <c r="B117" s="8" t="s">
        <v>599</v>
      </c>
      <c r="C117" s="12" t="s">
        <v>600</v>
      </c>
      <c r="D117" s="10" t="s">
        <v>183</v>
      </c>
      <c r="E117" s="11" t="s">
        <v>601</v>
      </c>
      <c r="F117" s="12" t="s">
        <v>602</v>
      </c>
      <c r="G117" s="12" t="s">
        <v>18</v>
      </c>
      <c r="H117" s="9" t="s">
        <v>19</v>
      </c>
      <c r="I117" s="13" t="s">
        <v>20</v>
      </c>
      <c r="J117" s="14"/>
      <c r="K117" s="14"/>
      <c r="L117" s="14"/>
      <c r="M117" s="13" t="s">
        <v>603</v>
      </c>
      <c r="N117" s="14"/>
      <c r="O117" s="14"/>
      <c r="P117" s="14"/>
      <c r="Q117" s="14"/>
    </row>
    <row r="118">
      <c r="A118" s="7">
        <v>2022.0</v>
      </c>
      <c r="B118" s="8" t="s">
        <v>604</v>
      </c>
      <c r="C118" s="12" t="s">
        <v>605</v>
      </c>
      <c r="D118" s="10" t="s">
        <v>606</v>
      </c>
      <c r="E118" s="11" t="s">
        <v>607</v>
      </c>
      <c r="F118" s="12" t="s">
        <v>608</v>
      </c>
      <c r="G118" s="12" t="s">
        <v>18</v>
      </c>
      <c r="H118" s="9" t="s">
        <v>67</v>
      </c>
      <c r="I118" s="13" t="s">
        <v>20</v>
      </c>
      <c r="J118" s="14"/>
      <c r="K118" s="14"/>
      <c r="L118" s="14"/>
      <c r="M118" s="13" t="s">
        <v>609</v>
      </c>
      <c r="N118" s="14"/>
      <c r="O118" s="14"/>
      <c r="P118" s="14"/>
      <c r="Q118" s="14"/>
    </row>
    <row r="119">
      <c r="A119" s="7">
        <v>2019.0</v>
      </c>
      <c r="B119" s="8" t="s">
        <v>610</v>
      </c>
      <c r="C119" s="12" t="s">
        <v>611</v>
      </c>
      <c r="D119" s="10" t="s">
        <v>612</v>
      </c>
      <c r="E119" s="11" t="s">
        <v>613</v>
      </c>
      <c r="F119" s="12" t="s">
        <v>614</v>
      </c>
      <c r="G119" s="12" t="s">
        <v>18</v>
      </c>
      <c r="H119" s="9" t="s">
        <v>19</v>
      </c>
      <c r="I119" s="13" t="s">
        <v>20</v>
      </c>
      <c r="J119" s="14"/>
      <c r="K119" s="14"/>
      <c r="L119" s="14"/>
      <c r="M119" s="13" t="s">
        <v>615</v>
      </c>
      <c r="N119" s="14"/>
      <c r="O119" s="14"/>
      <c r="P119" s="14"/>
      <c r="Q119" s="14"/>
    </row>
    <row r="120">
      <c r="A120" s="7">
        <v>2025.0</v>
      </c>
      <c r="B120" s="8" t="s">
        <v>616</v>
      </c>
      <c r="C120" s="12" t="s">
        <v>617</v>
      </c>
      <c r="D120" s="10" t="s">
        <v>618</v>
      </c>
      <c r="E120" s="11" t="s">
        <v>619</v>
      </c>
      <c r="F120" s="12" t="s">
        <v>620</v>
      </c>
      <c r="G120" s="12" t="s">
        <v>18</v>
      </c>
      <c r="H120" s="9" t="s">
        <v>19</v>
      </c>
      <c r="I120" s="13" t="s">
        <v>20</v>
      </c>
      <c r="J120" s="14"/>
      <c r="K120" s="14"/>
      <c r="L120" s="14"/>
      <c r="M120" s="13" t="s">
        <v>621</v>
      </c>
      <c r="N120" s="14"/>
      <c r="O120" s="14"/>
      <c r="P120" s="14"/>
      <c r="Q120" s="14"/>
    </row>
    <row r="121">
      <c r="A121" s="7">
        <v>2023.0</v>
      </c>
      <c r="B121" s="8" t="s">
        <v>622</v>
      </c>
      <c r="C121" s="12" t="s">
        <v>623</v>
      </c>
      <c r="D121" s="10" t="s">
        <v>624</v>
      </c>
      <c r="E121" s="11" t="s">
        <v>625</v>
      </c>
      <c r="F121" s="12" t="s">
        <v>626</v>
      </c>
      <c r="G121" s="12" t="s">
        <v>18</v>
      </c>
      <c r="H121" s="9" t="s">
        <v>19</v>
      </c>
      <c r="I121" s="13" t="s">
        <v>20</v>
      </c>
      <c r="J121" s="14"/>
      <c r="K121" s="14"/>
      <c r="L121" s="14"/>
      <c r="M121" s="13" t="s">
        <v>627</v>
      </c>
      <c r="N121" s="14"/>
      <c r="O121" s="14"/>
      <c r="P121" s="14"/>
      <c r="Q121" s="14"/>
    </row>
    <row r="122">
      <c r="A122" s="7">
        <v>2022.0</v>
      </c>
      <c r="B122" s="8" t="s">
        <v>628</v>
      </c>
      <c r="C122" s="12" t="s">
        <v>629</v>
      </c>
      <c r="D122" s="10" t="s">
        <v>243</v>
      </c>
      <c r="E122" s="11" t="s">
        <v>630</v>
      </c>
      <c r="F122" s="12" t="s">
        <v>631</v>
      </c>
      <c r="G122" s="12" t="s">
        <v>18</v>
      </c>
      <c r="H122" s="9" t="s">
        <v>19</v>
      </c>
      <c r="I122" s="13" t="s">
        <v>27</v>
      </c>
      <c r="J122" s="14"/>
      <c r="K122" s="14"/>
      <c r="L122" s="14"/>
      <c r="M122" s="14"/>
      <c r="N122" s="14"/>
      <c r="O122" s="14"/>
      <c r="P122" s="14"/>
      <c r="Q122" s="14"/>
    </row>
    <row r="123">
      <c r="A123" s="7">
        <v>2022.0</v>
      </c>
      <c r="B123" s="8" t="s">
        <v>632</v>
      </c>
      <c r="C123" s="12" t="s">
        <v>633</v>
      </c>
      <c r="D123" s="10" t="s">
        <v>278</v>
      </c>
      <c r="E123" s="11" t="s">
        <v>634</v>
      </c>
      <c r="F123" s="12" t="s">
        <v>635</v>
      </c>
      <c r="G123" s="12" t="s">
        <v>18</v>
      </c>
      <c r="H123" s="9" t="s">
        <v>19</v>
      </c>
      <c r="I123" s="13" t="s">
        <v>20</v>
      </c>
      <c r="J123" s="14"/>
      <c r="K123" s="14"/>
      <c r="L123" s="14"/>
      <c r="M123" s="13" t="s">
        <v>636</v>
      </c>
      <c r="N123" s="14"/>
      <c r="O123" s="14"/>
      <c r="P123" s="14"/>
      <c r="Q123" s="14"/>
    </row>
    <row r="124">
      <c r="A124" s="7">
        <v>2022.0</v>
      </c>
      <c r="B124" s="8" t="s">
        <v>637</v>
      </c>
      <c r="C124" s="12" t="s">
        <v>638</v>
      </c>
      <c r="D124" s="10" t="s">
        <v>59</v>
      </c>
      <c r="E124" s="11" t="s">
        <v>639</v>
      </c>
      <c r="F124" s="12" t="s">
        <v>640</v>
      </c>
      <c r="G124" s="12" t="s">
        <v>18</v>
      </c>
      <c r="H124" s="9" t="s">
        <v>19</v>
      </c>
      <c r="I124" s="13" t="s">
        <v>27</v>
      </c>
      <c r="J124" s="14"/>
      <c r="K124" s="14"/>
      <c r="L124" s="14"/>
      <c r="M124" s="14"/>
      <c r="N124" s="14"/>
      <c r="O124" s="14"/>
      <c r="P124" s="14"/>
      <c r="Q124" s="14"/>
    </row>
    <row r="125">
      <c r="A125" s="7">
        <v>2025.0</v>
      </c>
      <c r="B125" s="8" t="s">
        <v>641</v>
      </c>
      <c r="C125" s="12" t="s">
        <v>642</v>
      </c>
      <c r="D125" s="10" t="s">
        <v>643</v>
      </c>
      <c r="E125" s="11" t="s">
        <v>644</v>
      </c>
      <c r="F125" s="12" t="s">
        <v>645</v>
      </c>
      <c r="G125" s="12" t="s">
        <v>18</v>
      </c>
      <c r="H125" s="9" t="s">
        <v>19</v>
      </c>
      <c r="I125" s="13" t="s">
        <v>20</v>
      </c>
      <c r="J125" s="14"/>
      <c r="K125" s="14"/>
      <c r="L125" s="14"/>
      <c r="M125" s="13" t="s">
        <v>646</v>
      </c>
      <c r="N125" s="14"/>
      <c r="O125" s="14"/>
      <c r="P125" s="14"/>
      <c r="Q125" s="14"/>
    </row>
    <row r="126">
      <c r="A126" s="7">
        <v>2025.0</v>
      </c>
      <c r="B126" s="8" t="s">
        <v>647</v>
      </c>
      <c r="C126" s="12" t="s">
        <v>648</v>
      </c>
      <c r="D126" s="10" t="s">
        <v>64</v>
      </c>
      <c r="E126" s="11" t="s">
        <v>649</v>
      </c>
      <c r="F126" s="12" t="s">
        <v>650</v>
      </c>
      <c r="G126" s="12" t="s">
        <v>18</v>
      </c>
      <c r="H126" s="9" t="s">
        <v>19</v>
      </c>
      <c r="I126" s="13" t="s">
        <v>20</v>
      </c>
      <c r="J126" s="14"/>
      <c r="K126" s="14"/>
      <c r="L126" s="14"/>
      <c r="M126" s="13" t="s">
        <v>651</v>
      </c>
      <c r="N126" s="14"/>
      <c r="O126" s="14"/>
      <c r="P126" s="14"/>
      <c r="Q126" s="14"/>
    </row>
    <row r="127">
      <c r="A127" s="7">
        <v>2022.0</v>
      </c>
      <c r="B127" s="8" t="s">
        <v>652</v>
      </c>
      <c r="C127" s="12" t="s">
        <v>653</v>
      </c>
      <c r="D127" s="10" t="s">
        <v>654</v>
      </c>
      <c r="E127" s="11" t="s">
        <v>655</v>
      </c>
      <c r="F127" s="12" t="s">
        <v>656</v>
      </c>
      <c r="G127" s="12" t="s">
        <v>18</v>
      </c>
      <c r="H127" s="9" t="s">
        <v>19</v>
      </c>
      <c r="I127" s="13" t="s">
        <v>20</v>
      </c>
      <c r="J127" s="14"/>
      <c r="K127" s="14"/>
      <c r="L127" s="14"/>
      <c r="M127" s="13" t="s">
        <v>657</v>
      </c>
      <c r="N127" s="14"/>
      <c r="O127" s="14"/>
      <c r="P127" s="14"/>
      <c r="Q127" s="14"/>
    </row>
    <row r="128">
      <c r="A128" s="7">
        <v>2022.0</v>
      </c>
      <c r="B128" s="8" t="s">
        <v>658</v>
      </c>
      <c r="C128" s="12" t="s">
        <v>659</v>
      </c>
      <c r="D128" s="10" t="s">
        <v>660</v>
      </c>
      <c r="E128" s="11" t="s">
        <v>661</v>
      </c>
      <c r="F128" s="12" t="s">
        <v>662</v>
      </c>
      <c r="G128" s="12" t="s">
        <v>18</v>
      </c>
      <c r="H128" s="9" t="s">
        <v>19</v>
      </c>
      <c r="I128" s="13" t="s">
        <v>20</v>
      </c>
      <c r="J128" s="14"/>
      <c r="K128" s="14"/>
      <c r="L128" s="14"/>
      <c r="M128" s="13" t="s">
        <v>663</v>
      </c>
      <c r="N128" s="14"/>
      <c r="O128" s="14"/>
      <c r="P128" s="14"/>
      <c r="Q128" s="14"/>
    </row>
    <row r="129">
      <c r="A129" s="7">
        <v>2024.0</v>
      </c>
      <c r="B129" s="8" t="s">
        <v>664</v>
      </c>
      <c r="C129" s="12" t="s">
        <v>665</v>
      </c>
      <c r="D129" s="10" t="s">
        <v>666</v>
      </c>
      <c r="E129" s="11" t="s">
        <v>667</v>
      </c>
      <c r="F129" s="12" t="s">
        <v>668</v>
      </c>
      <c r="G129" s="12" t="s">
        <v>18</v>
      </c>
      <c r="H129" s="9" t="s">
        <v>19</v>
      </c>
      <c r="I129" s="13" t="s">
        <v>27</v>
      </c>
      <c r="J129" s="14"/>
      <c r="K129" s="14"/>
      <c r="L129" s="14"/>
      <c r="M129" s="14"/>
      <c r="N129" s="14"/>
      <c r="O129" s="14"/>
      <c r="P129" s="14"/>
      <c r="Q129" s="14"/>
    </row>
    <row r="130">
      <c r="A130" s="7">
        <v>2021.0</v>
      </c>
      <c r="B130" s="8" t="s">
        <v>669</v>
      </c>
      <c r="C130" s="12" t="s">
        <v>670</v>
      </c>
      <c r="D130" s="10" t="s">
        <v>671</v>
      </c>
      <c r="E130" s="11" t="s">
        <v>672</v>
      </c>
      <c r="F130" s="12" t="s">
        <v>673</v>
      </c>
      <c r="G130" s="12" t="s">
        <v>18</v>
      </c>
      <c r="H130" s="9" t="s">
        <v>19</v>
      </c>
      <c r="I130" s="13" t="s">
        <v>20</v>
      </c>
      <c r="J130" s="14"/>
      <c r="K130" s="14"/>
      <c r="L130" s="14"/>
      <c r="M130" s="13" t="s">
        <v>674</v>
      </c>
      <c r="N130" s="14"/>
      <c r="O130" s="14"/>
      <c r="P130" s="14"/>
      <c r="Q130" s="14"/>
    </row>
    <row r="131">
      <c r="A131" s="7">
        <v>2024.0</v>
      </c>
      <c r="B131" s="8" t="s">
        <v>675</v>
      </c>
      <c r="C131" s="12" t="s">
        <v>676</v>
      </c>
      <c r="D131" s="10" t="s">
        <v>81</v>
      </c>
      <c r="E131" s="11" t="s">
        <v>677</v>
      </c>
      <c r="F131" s="12" t="s">
        <v>678</v>
      </c>
      <c r="G131" s="12" t="s">
        <v>18</v>
      </c>
      <c r="H131" s="9" t="s">
        <v>19</v>
      </c>
      <c r="I131" s="13" t="s">
        <v>20</v>
      </c>
      <c r="J131" s="14"/>
      <c r="K131" s="14"/>
      <c r="L131" s="14"/>
      <c r="M131" s="13" t="s">
        <v>679</v>
      </c>
      <c r="N131" s="14"/>
      <c r="O131" s="14"/>
      <c r="P131" s="14"/>
      <c r="Q131" s="14"/>
    </row>
    <row r="132">
      <c r="A132" s="7">
        <v>2024.0</v>
      </c>
      <c r="B132" s="8" t="s">
        <v>680</v>
      </c>
      <c r="C132" s="12" t="s">
        <v>681</v>
      </c>
      <c r="D132" s="10" t="s">
        <v>59</v>
      </c>
      <c r="E132" s="11" t="s">
        <v>682</v>
      </c>
      <c r="F132" s="12" t="s">
        <v>683</v>
      </c>
      <c r="G132" s="12" t="s">
        <v>18</v>
      </c>
      <c r="H132" s="9" t="s">
        <v>19</v>
      </c>
      <c r="I132" s="13" t="s">
        <v>20</v>
      </c>
      <c r="J132" s="14"/>
      <c r="K132" s="14"/>
      <c r="L132" s="14"/>
      <c r="M132" s="13" t="s">
        <v>684</v>
      </c>
      <c r="N132" s="14"/>
      <c r="O132" s="14"/>
      <c r="P132" s="14"/>
      <c r="Q132" s="14"/>
    </row>
    <row r="133">
      <c r="A133" s="7">
        <v>2024.0</v>
      </c>
      <c r="B133" s="8" t="s">
        <v>685</v>
      </c>
      <c r="C133" s="12" t="s">
        <v>686</v>
      </c>
      <c r="D133" s="10" t="s">
        <v>687</v>
      </c>
      <c r="E133" s="11" t="s">
        <v>688</v>
      </c>
      <c r="F133" s="12" t="s">
        <v>689</v>
      </c>
      <c r="G133" s="12" t="s">
        <v>18</v>
      </c>
      <c r="H133" s="9" t="s">
        <v>19</v>
      </c>
      <c r="I133" s="13" t="s">
        <v>20</v>
      </c>
      <c r="J133" s="14"/>
      <c r="K133" s="14"/>
      <c r="L133" s="14"/>
      <c r="M133" s="13" t="s">
        <v>690</v>
      </c>
      <c r="N133" s="14"/>
      <c r="O133" s="14"/>
      <c r="P133" s="14"/>
      <c r="Q133" s="14"/>
    </row>
    <row r="134">
      <c r="A134" s="7">
        <v>2022.0</v>
      </c>
      <c r="B134" s="8" t="s">
        <v>691</v>
      </c>
      <c r="C134" s="12" t="s">
        <v>692</v>
      </c>
      <c r="D134" s="10" t="s">
        <v>76</v>
      </c>
      <c r="E134" s="11" t="s">
        <v>693</v>
      </c>
      <c r="F134" s="12" t="s">
        <v>694</v>
      </c>
      <c r="G134" s="12" t="s">
        <v>18</v>
      </c>
      <c r="H134" s="9" t="s">
        <v>19</v>
      </c>
      <c r="I134" s="13" t="s">
        <v>27</v>
      </c>
      <c r="J134" s="14"/>
      <c r="K134" s="14"/>
      <c r="L134" s="14"/>
      <c r="M134" s="14"/>
      <c r="N134" s="14"/>
      <c r="O134" s="14"/>
      <c r="P134" s="14"/>
      <c r="Q134" s="14"/>
    </row>
    <row r="135">
      <c r="A135" s="7">
        <v>2022.0</v>
      </c>
      <c r="B135" s="8" t="s">
        <v>695</v>
      </c>
      <c r="C135" s="12" t="s">
        <v>696</v>
      </c>
      <c r="D135" s="10" t="s">
        <v>81</v>
      </c>
      <c r="E135" s="11" t="s">
        <v>697</v>
      </c>
      <c r="F135" s="12" t="s">
        <v>698</v>
      </c>
      <c r="G135" s="12" t="s">
        <v>18</v>
      </c>
      <c r="H135" s="9" t="s">
        <v>19</v>
      </c>
      <c r="I135" s="13" t="s">
        <v>27</v>
      </c>
      <c r="J135" s="14"/>
      <c r="K135" s="14"/>
      <c r="L135" s="14"/>
      <c r="M135" s="14"/>
      <c r="N135" s="14"/>
      <c r="O135" s="14"/>
      <c r="P135" s="14"/>
      <c r="Q135" s="14"/>
    </row>
    <row r="136">
      <c r="A136" s="7">
        <v>2022.0</v>
      </c>
      <c r="B136" s="8" t="s">
        <v>699</v>
      </c>
      <c r="C136" s="12" t="s">
        <v>700</v>
      </c>
      <c r="D136" s="10" t="s">
        <v>284</v>
      </c>
      <c r="E136" s="11" t="s">
        <v>701</v>
      </c>
      <c r="F136" s="12" t="s">
        <v>702</v>
      </c>
      <c r="G136" s="12" t="s">
        <v>18</v>
      </c>
      <c r="H136" s="9" t="s">
        <v>19</v>
      </c>
      <c r="I136" s="13" t="s">
        <v>20</v>
      </c>
      <c r="J136" s="14"/>
      <c r="K136" s="14"/>
      <c r="L136" s="14"/>
      <c r="M136" s="13" t="s">
        <v>703</v>
      </c>
      <c r="N136" s="14"/>
      <c r="O136" s="14"/>
      <c r="P136" s="14"/>
      <c r="Q136" s="14"/>
    </row>
    <row r="137">
      <c r="A137" s="7">
        <v>2024.0</v>
      </c>
      <c r="B137" s="8" t="s">
        <v>704</v>
      </c>
      <c r="C137" s="12" t="s">
        <v>705</v>
      </c>
      <c r="D137" s="10" t="s">
        <v>706</v>
      </c>
      <c r="E137" s="16" t="s">
        <v>707</v>
      </c>
      <c r="F137" s="12" t="s">
        <v>708</v>
      </c>
      <c r="G137" s="12" t="s">
        <v>18</v>
      </c>
      <c r="H137" s="9" t="s">
        <v>19</v>
      </c>
      <c r="I137" s="13" t="s">
        <v>27</v>
      </c>
      <c r="J137" s="14"/>
      <c r="K137" s="14"/>
      <c r="L137" s="14"/>
      <c r="M137" s="14"/>
      <c r="N137" s="14"/>
      <c r="O137" s="14"/>
      <c r="P137" s="14"/>
      <c r="Q137" s="14"/>
    </row>
    <row r="138">
      <c r="A138" s="7">
        <v>2020.0</v>
      </c>
      <c r="B138" s="8" t="s">
        <v>709</v>
      </c>
      <c r="C138" s="12" t="s">
        <v>710</v>
      </c>
      <c r="D138" s="10" t="s">
        <v>81</v>
      </c>
      <c r="E138" s="11" t="s">
        <v>711</v>
      </c>
      <c r="F138" s="12" t="s">
        <v>712</v>
      </c>
      <c r="G138" s="12" t="s">
        <v>18</v>
      </c>
      <c r="H138" s="9" t="s">
        <v>19</v>
      </c>
      <c r="I138" s="13" t="s">
        <v>27</v>
      </c>
      <c r="J138" s="14"/>
      <c r="K138" s="14"/>
      <c r="L138" s="14"/>
      <c r="M138" s="14"/>
      <c r="N138" s="14"/>
      <c r="O138" s="14"/>
      <c r="P138" s="14"/>
      <c r="Q138" s="14"/>
    </row>
    <row r="139">
      <c r="A139" s="7">
        <v>2023.0</v>
      </c>
      <c r="B139" s="8" t="s">
        <v>713</v>
      </c>
      <c r="C139" s="12" t="s">
        <v>714</v>
      </c>
      <c r="D139" s="10" t="s">
        <v>59</v>
      </c>
      <c r="E139" s="11" t="s">
        <v>715</v>
      </c>
      <c r="F139" s="12" t="s">
        <v>716</v>
      </c>
      <c r="G139" s="12" t="s">
        <v>18</v>
      </c>
      <c r="H139" s="9" t="s">
        <v>19</v>
      </c>
      <c r="I139" s="13" t="s">
        <v>20</v>
      </c>
      <c r="J139" s="14"/>
      <c r="K139" s="14"/>
      <c r="L139" s="14"/>
      <c r="M139" s="13" t="s">
        <v>717</v>
      </c>
      <c r="N139" s="14"/>
      <c r="O139" s="14"/>
      <c r="P139" s="14"/>
      <c r="Q139" s="14"/>
    </row>
    <row r="140">
      <c r="A140" s="7">
        <v>2023.0</v>
      </c>
      <c r="B140" s="8" t="s">
        <v>718</v>
      </c>
      <c r="C140" s="12" t="s">
        <v>719</v>
      </c>
      <c r="D140" s="10" t="s">
        <v>81</v>
      </c>
      <c r="E140" s="11" t="s">
        <v>720</v>
      </c>
      <c r="F140" s="12" t="s">
        <v>721</v>
      </c>
      <c r="G140" s="12" t="s">
        <v>18</v>
      </c>
      <c r="H140" s="9" t="s">
        <v>19</v>
      </c>
      <c r="I140" s="13" t="s">
        <v>20</v>
      </c>
      <c r="J140" s="14"/>
      <c r="K140" s="14"/>
      <c r="L140" s="14"/>
      <c r="M140" s="13"/>
      <c r="N140" s="14"/>
      <c r="O140" s="14"/>
      <c r="P140" s="14"/>
      <c r="Q140" s="14"/>
    </row>
    <row r="141">
      <c r="A141" s="7">
        <v>2025.0</v>
      </c>
      <c r="B141" s="8" t="s">
        <v>722</v>
      </c>
      <c r="C141" s="12" t="s">
        <v>723</v>
      </c>
      <c r="D141" s="10" t="s">
        <v>112</v>
      </c>
      <c r="E141" s="11" t="s">
        <v>724</v>
      </c>
      <c r="F141" s="12" t="s">
        <v>725</v>
      </c>
      <c r="G141" s="12" t="s">
        <v>18</v>
      </c>
      <c r="H141" s="9" t="s">
        <v>19</v>
      </c>
      <c r="I141" s="13" t="s">
        <v>20</v>
      </c>
      <c r="J141" s="14"/>
      <c r="K141" s="14"/>
      <c r="L141" s="14"/>
      <c r="M141" s="13" t="s">
        <v>726</v>
      </c>
      <c r="N141" s="14"/>
      <c r="O141" s="14"/>
      <c r="P141" s="14"/>
      <c r="Q141" s="14"/>
    </row>
    <row r="142">
      <c r="A142" s="7">
        <v>2024.0</v>
      </c>
      <c r="B142" s="8" t="s">
        <v>727</v>
      </c>
      <c r="C142" s="12" t="s">
        <v>728</v>
      </c>
      <c r="D142" s="10" t="s">
        <v>183</v>
      </c>
      <c r="E142" s="11" t="s">
        <v>729</v>
      </c>
      <c r="F142" s="12" t="s">
        <v>730</v>
      </c>
      <c r="G142" s="12" t="s">
        <v>18</v>
      </c>
      <c r="H142" s="9" t="s">
        <v>19</v>
      </c>
      <c r="I142" s="13" t="s">
        <v>20</v>
      </c>
      <c r="J142" s="14"/>
      <c r="K142" s="14"/>
      <c r="L142" s="14"/>
      <c r="M142" s="13" t="s">
        <v>731</v>
      </c>
      <c r="N142" s="14"/>
      <c r="O142" s="14"/>
      <c r="P142" s="14"/>
      <c r="Q142" s="14"/>
    </row>
    <row r="143">
      <c r="A143" s="7">
        <v>2021.0</v>
      </c>
      <c r="B143" s="8" t="s">
        <v>732</v>
      </c>
      <c r="C143" s="12" t="s">
        <v>733</v>
      </c>
      <c r="D143" s="10" t="s">
        <v>76</v>
      </c>
      <c r="E143" s="11" t="s">
        <v>734</v>
      </c>
      <c r="F143" s="12" t="s">
        <v>735</v>
      </c>
      <c r="G143" s="12" t="s">
        <v>18</v>
      </c>
      <c r="H143" s="9" t="s">
        <v>19</v>
      </c>
      <c r="I143" s="13" t="s">
        <v>27</v>
      </c>
      <c r="J143" s="14"/>
      <c r="K143" s="14"/>
      <c r="L143" s="14"/>
      <c r="M143" s="14"/>
      <c r="N143" s="14"/>
      <c r="O143" s="14"/>
      <c r="P143" s="14"/>
      <c r="Q143" s="14"/>
    </row>
    <row r="144">
      <c r="A144" s="7">
        <v>2020.0</v>
      </c>
      <c r="B144" s="8" t="s">
        <v>736</v>
      </c>
      <c r="C144" s="12" t="s">
        <v>737</v>
      </c>
      <c r="D144" s="10" t="s">
        <v>738</v>
      </c>
      <c r="E144" s="11" t="s">
        <v>739</v>
      </c>
      <c r="F144" s="12" t="s">
        <v>740</v>
      </c>
      <c r="G144" s="12" t="s">
        <v>18</v>
      </c>
      <c r="H144" s="9" t="s">
        <v>19</v>
      </c>
      <c r="I144" s="13" t="s">
        <v>20</v>
      </c>
      <c r="J144" s="14"/>
      <c r="K144" s="14"/>
      <c r="L144" s="14"/>
      <c r="M144" s="13" t="s">
        <v>741</v>
      </c>
      <c r="N144" s="14"/>
      <c r="O144" s="14"/>
      <c r="P144" s="14"/>
      <c r="Q144" s="14"/>
    </row>
    <row r="145">
      <c r="A145" s="7">
        <v>2022.0</v>
      </c>
      <c r="B145" s="8" t="s">
        <v>742</v>
      </c>
      <c r="C145" s="12" t="s">
        <v>743</v>
      </c>
      <c r="D145" s="10" t="s">
        <v>133</v>
      </c>
      <c r="E145" s="11" t="s">
        <v>744</v>
      </c>
      <c r="F145" s="12" t="s">
        <v>745</v>
      </c>
      <c r="G145" s="12" t="s">
        <v>18</v>
      </c>
      <c r="H145" s="9" t="s">
        <v>19</v>
      </c>
      <c r="I145" s="13" t="s">
        <v>20</v>
      </c>
      <c r="J145" s="14"/>
      <c r="K145" s="14"/>
      <c r="L145" s="14"/>
      <c r="M145" s="13" t="s">
        <v>746</v>
      </c>
      <c r="N145" s="14"/>
      <c r="O145" s="14"/>
      <c r="P145" s="14"/>
      <c r="Q145" s="14"/>
    </row>
    <row r="146">
      <c r="A146" s="7">
        <v>2022.0</v>
      </c>
      <c r="B146" s="8" t="s">
        <v>747</v>
      </c>
      <c r="C146" s="12" t="s">
        <v>748</v>
      </c>
      <c r="D146" s="10" t="s">
        <v>81</v>
      </c>
      <c r="E146" s="11" t="s">
        <v>749</v>
      </c>
      <c r="F146" s="12" t="s">
        <v>750</v>
      </c>
      <c r="G146" s="12" t="s">
        <v>18</v>
      </c>
      <c r="H146" s="9" t="s">
        <v>19</v>
      </c>
      <c r="I146" s="13" t="s">
        <v>20</v>
      </c>
      <c r="J146" s="14"/>
      <c r="K146" s="14"/>
      <c r="L146" s="14"/>
      <c r="M146" s="13" t="s">
        <v>751</v>
      </c>
      <c r="N146" s="14"/>
      <c r="O146" s="14"/>
      <c r="P146" s="14"/>
      <c r="Q146" s="14"/>
    </row>
    <row r="147">
      <c r="A147" s="7">
        <v>2023.0</v>
      </c>
      <c r="B147" s="8" t="s">
        <v>752</v>
      </c>
      <c r="C147" s="12" t="s">
        <v>753</v>
      </c>
      <c r="D147" s="10" t="s">
        <v>754</v>
      </c>
      <c r="E147" s="11" t="s">
        <v>755</v>
      </c>
      <c r="F147" s="12" t="s">
        <v>756</v>
      </c>
      <c r="G147" s="12" t="s">
        <v>18</v>
      </c>
      <c r="H147" s="9" t="s">
        <v>19</v>
      </c>
      <c r="I147" s="13" t="s">
        <v>20</v>
      </c>
      <c r="J147" s="14"/>
      <c r="K147" s="14"/>
      <c r="L147" s="14"/>
      <c r="M147" s="13" t="s">
        <v>757</v>
      </c>
      <c r="N147" s="14"/>
      <c r="O147" s="14"/>
      <c r="P147" s="14"/>
      <c r="Q147" s="14"/>
    </row>
    <row r="148">
      <c r="A148" s="7">
        <v>2025.0</v>
      </c>
      <c r="B148" s="8" t="s">
        <v>758</v>
      </c>
      <c r="C148" s="12" t="s">
        <v>759</v>
      </c>
      <c r="D148" s="10" t="s">
        <v>760</v>
      </c>
      <c r="E148" s="11" t="s">
        <v>761</v>
      </c>
      <c r="F148" s="12" t="s">
        <v>762</v>
      </c>
      <c r="G148" s="12" t="s">
        <v>18</v>
      </c>
      <c r="H148" s="9" t="s">
        <v>19</v>
      </c>
      <c r="I148" s="13" t="s">
        <v>27</v>
      </c>
      <c r="J148" s="14"/>
      <c r="K148" s="14"/>
      <c r="L148" s="14"/>
      <c r="M148" s="14"/>
      <c r="N148" s="14"/>
      <c r="O148" s="14"/>
      <c r="P148" s="14"/>
      <c r="Q148" s="14"/>
    </row>
    <row r="149">
      <c r="A149" s="7">
        <v>2024.0</v>
      </c>
      <c r="B149" s="8" t="s">
        <v>763</v>
      </c>
      <c r="C149" s="12" t="s">
        <v>764</v>
      </c>
      <c r="D149" s="10" t="s">
        <v>765</v>
      </c>
      <c r="E149" s="11" t="s">
        <v>766</v>
      </c>
      <c r="F149" s="12" t="s">
        <v>767</v>
      </c>
      <c r="G149" s="12" t="s">
        <v>18</v>
      </c>
      <c r="H149" s="9" t="s">
        <v>19</v>
      </c>
      <c r="I149" s="13" t="s">
        <v>20</v>
      </c>
      <c r="J149" s="14"/>
      <c r="K149" s="14"/>
      <c r="L149" s="14"/>
      <c r="M149" s="13" t="s">
        <v>768</v>
      </c>
      <c r="N149" s="14"/>
      <c r="O149" s="14"/>
      <c r="P149" s="14"/>
      <c r="Q149" s="14"/>
    </row>
    <row r="150">
      <c r="A150" s="7">
        <v>2022.0</v>
      </c>
      <c r="B150" s="8" t="s">
        <v>769</v>
      </c>
      <c r="C150" s="12" t="s">
        <v>770</v>
      </c>
      <c r="D150" s="10" t="s">
        <v>760</v>
      </c>
      <c r="E150" s="11" t="s">
        <v>771</v>
      </c>
      <c r="F150" s="12" t="s">
        <v>772</v>
      </c>
      <c r="G150" s="12" t="s">
        <v>18</v>
      </c>
      <c r="H150" s="9" t="s">
        <v>19</v>
      </c>
      <c r="I150" s="13" t="s">
        <v>20</v>
      </c>
      <c r="J150" s="14"/>
      <c r="K150" s="14"/>
      <c r="L150" s="14"/>
      <c r="M150" s="13" t="s">
        <v>773</v>
      </c>
      <c r="N150" s="14"/>
      <c r="O150" s="14"/>
      <c r="P150" s="14"/>
      <c r="Q150" s="14"/>
    </row>
    <row r="151">
      <c r="A151" s="7">
        <v>2021.0</v>
      </c>
      <c r="B151" s="8" t="s">
        <v>774</v>
      </c>
      <c r="C151" s="12" t="s">
        <v>775</v>
      </c>
      <c r="D151" s="10" t="s">
        <v>278</v>
      </c>
      <c r="E151" s="11" t="s">
        <v>776</v>
      </c>
      <c r="F151" s="12" t="s">
        <v>777</v>
      </c>
      <c r="G151" s="12" t="s">
        <v>18</v>
      </c>
      <c r="H151" s="9" t="s">
        <v>19</v>
      </c>
      <c r="I151" s="13" t="s">
        <v>20</v>
      </c>
      <c r="J151" s="14"/>
      <c r="K151" s="14"/>
      <c r="L151" s="14"/>
      <c r="M151" s="13" t="s">
        <v>778</v>
      </c>
      <c r="N151" s="14"/>
      <c r="O151" s="14"/>
      <c r="P151" s="14"/>
      <c r="Q151" s="14"/>
    </row>
    <row r="152">
      <c r="A152" s="7">
        <v>2021.0</v>
      </c>
      <c r="B152" s="8" t="s">
        <v>779</v>
      </c>
      <c r="C152" s="12" t="s">
        <v>780</v>
      </c>
      <c r="D152" s="10" t="s">
        <v>59</v>
      </c>
      <c r="E152" s="11" t="s">
        <v>781</v>
      </c>
      <c r="F152" s="12" t="s">
        <v>782</v>
      </c>
      <c r="G152" s="12" t="s">
        <v>18</v>
      </c>
      <c r="H152" s="9" t="s">
        <v>19</v>
      </c>
      <c r="I152" s="13" t="s">
        <v>20</v>
      </c>
      <c r="J152" s="14"/>
      <c r="K152" s="14"/>
      <c r="L152" s="14"/>
      <c r="M152" s="13" t="s">
        <v>783</v>
      </c>
      <c r="N152" s="14"/>
      <c r="O152" s="14"/>
      <c r="P152" s="14"/>
      <c r="Q152" s="14"/>
    </row>
    <row r="153">
      <c r="A153" s="7">
        <v>2025.0</v>
      </c>
      <c r="B153" s="8" t="s">
        <v>784</v>
      </c>
      <c r="C153" s="12" t="s">
        <v>785</v>
      </c>
      <c r="D153" s="10" t="s">
        <v>786</v>
      </c>
      <c r="E153" s="11" t="s">
        <v>787</v>
      </c>
      <c r="F153" s="12" t="s">
        <v>788</v>
      </c>
      <c r="G153" s="12" t="s">
        <v>18</v>
      </c>
      <c r="H153" s="9" t="s">
        <v>19</v>
      </c>
      <c r="I153" s="13" t="s">
        <v>20</v>
      </c>
      <c r="J153" s="14"/>
      <c r="K153" s="14"/>
      <c r="L153" s="14"/>
      <c r="M153" s="13" t="s">
        <v>789</v>
      </c>
      <c r="N153" s="14"/>
      <c r="O153" s="14"/>
      <c r="P153" s="14"/>
      <c r="Q153" s="14"/>
    </row>
    <row r="154">
      <c r="A154" s="7">
        <v>2016.0</v>
      </c>
      <c r="B154" s="8" t="s">
        <v>790</v>
      </c>
      <c r="C154" s="12" t="s">
        <v>791</v>
      </c>
      <c r="D154" s="10" t="s">
        <v>24</v>
      </c>
      <c r="E154" s="11" t="s">
        <v>792</v>
      </c>
      <c r="F154" s="12" t="s">
        <v>793</v>
      </c>
      <c r="G154" s="12" t="s">
        <v>18</v>
      </c>
      <c r="H154" s="9" t="s">
        <v>19</v>
      </c>
      <c r="I154" s="13" t="s">
        <v>27</v>
      </c>
      <c r="J154" s="14"/>
      <c r="K154" s="14"/>
      <c r="L154" s="14"/>
      <c r="M154" s="14"/>
      <c r="N154" s="14"/>
      <c r="O154" s="14"/>
      <c r="P154" s="14"/>
      <c r="Q154" s="14"/>
    </row>
    <row r="155">
      <c r="A155" s="7">
        <v>2018.0</v>
      </c>
      <c r="B155" s="8" t="s">
        <v>794</v>
      </c>
      <c r="C155" s="12" t="s">
        <v>795</v>
      </c>
      <c r="D155" s="10" t="s">
        <v>331</v>
      </c>
      <c r="E155" s="11" t="s">
        <v>796</v>
      </c>
      <c r="F155" s="12" t="s">
        <v>797</v>
      </c>
      <c r="G155" s="12" t="s">
        <v>18</v>
      </c>
      <c r="H155" s="9" t="s">
        <v>19</v>
      </c>
      <c r="I155" s="13" t="s">
        <v>20</v>
      </c>
      <c r="J155" s="14"/>
      <c r="K155" s="14"/>
      <c r="L155" s="14"/>
      <c r="M155" s="13" t="s">
        <v>798</v>
      </c>
      <c r="N155" s="14"/>
      <c r="O155" s="14"/>
      <c r="P155" s="14"/>
      <c r="Q155" s="14"/>
    </row>
    <row r="156">
      <c r="A156" s="7">
        <v>2022.0</v>
      </c>
      <c r="B156" s="8" t="s">
        <v>799</v>
      </c>
      <c r="C156" s="12" t="s">
        <v>800</v>
      </c>
      <c r="D156" s="10" t="s">
        <v>41</v>
      </c>
      <c r="E156" s="11" t="s">
        <v>801</v>
      </c>
      <c r="F156" s="12" t="s">
        <v>802</v>
      </c>
      <c r="G156" s="12" t="s">
        <v>18</v>
      </c>
      <c r="H156" s="9" t="s">
        <v>19</v>
      </c>
      <c r="I156" s="13" t="s">
        <v>20</v>
      </c>
      <c r="J156" s="14"/>
      <c r="K156" s="14"/>
      <c r="L156" s="14"/>
      <c r="M156" s="13" t="s">
        <v>803</v>
      </c>
      <c r="N156" s="14"/>
      <c r="O156" s="14"/>
      <c r="P156" s="14"/>
      <c r="Q156" s="14"/>
    </row>
    <row r="157">
      <c r="A157" s="7">
        <v>2020.0</v>
      </c>
      <c r="B157" s="8" t="s">
        <v>804</v>
      </c>
      <c r="C157" s="12" t="s">
        <v>805</v>
      </c>
      <c r="D157" s="10" t="s">
        <v>81</v>
      </c>
      <c r="E157" s="11" t="s">
        <v>806</v>
      </c>
      <c r="F157" s="12" t="s">
        <v>807</v>
      </c>
      <c r="G157" s="12" t="s">
        <v>18</v>
      </c>
      <c r="H157" s="9" t="s">
        <v>19</v>
      </c>
      <c r="I157" s="13" t="s">
        <v>20</v>
      </c>
      <c r="J157" s="14"/>
      <c r="K157" s="14"/>
      <c r="L157" s="14"/>
      <c r="M157" s="13" t="s">
        <v>808</v>
      </c>
      <c r="N157" s="14"/>
      <c r="O157" s="14"/>
      <c r="P157" s="14"/>
      <c r="Q157" s="14"/>
    </row>
    <row r="158">
      <c r="A158" s="7">
        <v>2017.0</v>
      </c>
      <c r="B158" s="8" t="s">
        <v>809</v>
      </c>
      <c r="C158" s="12" t="s">
        <v>810</v>
      </c>
      <c r="D158" s="10" t="s">
        <v>24</v>
      </c>
      <c r="E158" s="11" t="s">
        <v>811</v>
      </c>
      <c r="F158" s="12" t="s">
        <v>812</v>
      </c>
      <c r="G158" s="12" t="s">
        <v>18</v>
      </c>
      <c r="H158" s="9" t="s">
        <v>19</v>
      </c>
      <c r="I158" s="13" t="s">
        <v>20</v>
      </c>
      <c r="J158" s="14"/>
      <c r="K158" s="14"/>
      <c r="L158" s="14"/>
      <c r="M158" s="13" t="s">
        <v>813</v>
      </c>
      <c r="N158" s="14"/>
      <c r="O158" s="14"/>
      <c r="P158" s="14"/>
      <c r="Q158" s="14"/>
    </row>
    <row r="159">
      <c r="A159" s="7">
        <v>2025.0</v>
      </c>
      <c r="B159" s="8" t="s">
        <v>814</v>
      </c>
      <c r="C159" s="12" t="s">
        <v>815</v>
      </c>
      <c r="D159" s="10" t="s">
        <v>117</v>
      </c>
      <c r="E159" s="11" t="s">
        <v>816</v>
      </c>
      <c r="F159" s="12" t="s">
        <v>817</v>
      </c>
      <c r="G159" s="12" t="s">
        <v>18</v>
      </c>
      <c r="H159" s="9" t="s">
        <v>19</v>
      </c>
      <c r="I159" s="13" t="s">
        <v>20</v>
      </c>
      <c r="J159" s="14"/>
      <c r="K159" s="14"/>
      <c r="L159" s="14"/>
      <c r="M159" s="13" t="s">
        <v>818</v>
      </c>
      <c r="N159" s="14"/>
      <c r="O159" s="14"/>
      <c r="P159" s="14"/>
      <c r="Q159" s="14"/>
    </row>
    <row r="160">
      <c r="A160" s="7">
        <v>2020.0</v>
      </c>
      <c r="B160" s="8" t="s">
        <v>819</v>
      </c>
      <c r="C160" s="12" t="s">
        <v>820</v>
      </c>
      <c r="D160" s="10" t="s">
        <v>41</v>
      </c>
      <c r="E160" s="11" t="s">
        <v>821</v>
      </c>
      <c r="F160" s="12" t="s">
        <v>822</v>
      </c>
      <c r="G160" s="12" t="s">
        <v>18</v>
      </c>
      <c r="H160" s="9" t="s">
        <v>19</v>
      </c>
      <c r="I160" s="13" t="s">
        <v>27</v>
      </c>
      <c r="J160" s="14"/>
      <c r="K160" s="14"/>
      <c r="L160" s="14"/>
      <c r="M160" s="14"/>
      <c r="N160" s="14"/>
      <c r="O160" s="14"/>
      <c r="P160" s="14"/>
      <c r="Q160" s="14"/>
    </row>
    <row r="161">
      <c r="A161" s="7">
        <v>2020.0</v>
      </c>
      <c r="B161" s="8" t="s">
        <v>823</v>
      </c>
      <c r="C161" s="12" t="s">
        <v>824</v>
      </c>
      <c r="D161" s="10" t="s">
        <v>59</v>
      </c>
      <c r="E161" s="11" t="s">
        <v>825</v>
      </c>
      <c r="F161" s="12" t="s">
        <v>826</v>
      </c>
      <c r="G161" s="12" t="s">
        <v>18</v>
      </c>
      <c r="H161" s="9" t="s">
        <v>19</v>
      </c>
      <c r="I161" s="13" t="s">
        <v>27</v>
      </c>
      <c r="J161" s="14"/>
      <c r="K161" s="14"/>
      <c r="L161" s="14"/>
      <c r="M161" s="14"/>
      <c r="N161" s="14"/>
      <c r="O161" s="14"/>
      <c r="P161" s="14"/>
      <c r="Q161" s="14"/>
    </row>
    <row r="162">
      <c r="A162" s="7">
        <v>2023.0</v>
      </c>
      <c r="B162" s="8" t="s">
        <v>827</v>
      </c>
      <c r="C162" s="12" t="s">
        <v>828</v>
      </c>
      <c r="D162" s="10" t="s">
        <v>76</v>
      </c>
      <c r="E162" s="17" t="s">
        <v>829</v>
      </c>
      <c r="F162" s="18" t="s">
        <v>830</v>
      </c>
      <c r="G162" s="18" t="s">
        <v>18</v>
      </c>
      <c r="H162" s="19" t="s">
        <v>19</v>
      </c>
      <c r="I162" s="20" t="s">
        <v>27</v>
      </c>
      <c r="J162" s="21"/>
      <c r="K162" s="21"/>
      <c r="L162" s="21"/>
      <c r="M162" s="21"/>
      <c r="N162" s="14"/>
      <c r="O162" s="14"/>
      <c r="P162" s="14"/>
      <c r="Q162" s="14"/>
    </row>
    <row r="163">
      <c r="A163" s="7">
        <v>2023.0</v>
      </c>
      <c r="B163" s="8" t="s">
        <v>831</v>
      </c>
      <c r="C163" s="12" t="s">
        <v>832</v>
      </c>
      <c r="D163" s="10" t="s">
        <v>833</v>
      </c>
      <c r="E163" s="17" t="s">
        <v>834</v>
      </c>
      <c r="F163" s="18" t="s">
        <v>835</v>
      </c>
      <c r="G163" s="18" t="s">
        <v>18</v>
      </c>
      <c r="H163" s="19" t="s">
        <v>19</v>
      </c>
      <c r="I163" s="20" t="s">
        <v>20</v>
      </c>
      <c r="J163" s="21"/>
      <c r="K163" s="21"/>
      <c r="L163" s="21"/>
      <c r="M163" s="20" t="s">
        <v>836</v>
      </c>
      <c r="N163" s="14"/>
      <c r="O163" s="14"/>
      <c r="P163" s="14"/>
      <c r="Q163" s="14"/>
    </row>
    <row r="164">
      <c r="A164" s="7">
        <v>2021.0</v>
      </c>
      <c r="B164" s="8" t="s">
        <v>837</v>
      </c>
      <c r="C164" s="12" t="s">
        <v>838</v>
      </c>
      <c r="D164" s="10" t="s">
        <v>839</v>
      </c>
      <c r="E164" s="17" t="s">
        <v>840</v>
      </c>
      <c r="F164" s="18" t="s">
        <v>841</v>
      </c>
      <c r="G164" s="18" t="s">
        <v>18</v>
      </c>
      <c r="H164" s="19" t="s">
        <v>19</v>
      </c>
      <c r="I164" s="20" t="s">
        <v>20</v>
      </c>
      <c r="J164" s="21"/>
      <c r="K164" s="21"/>
      <c r="L164" s="21"/>
      <c r="M164" s="20" t="s">
        <v>842</v>
      </c>
      <c r="N164" s="14"/>
      <c r="O164" s="14"/>
      <c r="P164" s="14"/>
      <c r="Q164" s="14"/>
    </row>
    <row r="165">
      <c r="A165" s="7">
        <v>2024.0</v>
      </c>
      <c r="B165" s="8" t="s">
        <v>843</v>
      </c>
      <c r="C165" s="12" t="s">
        <v>844</v>
      </c>
      <c r="D165" s="10" t="s">
        <v>183</v>
      </c>
      <c r="E165" s="17" t="s">
        <v>845</v>
      </c>
      <c r="F165" s="18" t="s">
        <v>846</v>
      </c>
      <c r="G165" s="18" t="s">
        <v>18</v>
      </c>
      <c r="H165" s="19" t="s">
        <v>19</v>
      </c>
      <c r="I165" s="20" t="s">
        <v>20</v>
      </c>
      <c r="J165" s="21"/>
      <c r="K165" s="21"/>
      <c r="L165" s="21"/>
      <c r="M165" s="21"/>
      <c r="N165" s="14"/>
      <c r="O165" s="14"/>
      <c r="P165" s="14"/>
      <c r="Q165" s="14"/>
    </row>
    <row r="166">
      <c r="A166" s="7">
        <v>2023.0</v>
      </c>
      <c r="B166" s="8" t="s">
        <v>847</v>
      </c>
      <c r="C166" s="12" t="s">
        <v>848</v>
      </c>
      <c r="D166" s="10" t="s">
        <v>41</v>
      </c>
      <c r="E166" s="17" t="s">
        <v>849</v>
      </c>
      <c r="F166" s="18" t="s">
        <v>850</v>
      </c>
      <c r="G166" s="18" t="s">
        <v>18</v>
      </c>
      <c r="H166" s="19" t="s">
        <v>19</v>
      </c>
      <c r="I166" s="20" t="s">
        <v>20</v>
      </c>
      <c r="J166" s="21"/>
      <c r="K166" s="21"/>
      <c r="L166" s="21"/>
      <c r="M166" s="20" t="s">
        <v>851</v>
      </c>
      <c r="N166" s="14"/>
      <c r="O166" s="14"/>
      <c r="P166" s="14"/>
      <c r="Q166" s="14"/>
    </row>
    <row r="167">
      <c r="A167" s="7">
        <v>2022.0</v>
      </c>
      <c r="B167" s="8" t="s">
        <v>852</v>
      </c>
      <c r="C167" s="12" t="s">
        <v>853</v>
      </c>
      <c r="D167" s="10" t="s">
        <v>41</v>
      </c>
      <c r="E167" s="17" t="s">
        <v>854</v>
      </c>
      <c r="F167" s="18" t="s">
        <v>855</v>
      </c>
      <c r="G167" s="18" t="s">
        <v>18</v>
      </c>
      <c r="H167" s="19" t="s">
        <v>19</v>
      </c>
      <c r="I167" s="20" t="s">
        <v>20</v>
      </c>
      <c r="J167" s="21"/>
      <c r="K167" s="21"/>
      <c r="L167" s="21"/>
      <c r="M167" s="20" t="s">
        <v>856</v>
      </c>
      <c r="N167" s="14"/>
      <c r="O167" s="14"/>
      <c r="P167" s="14"/>
      <c r="Q167" s="14"/>
    </row>
    <row r="168">
      <c r="A168" s="7">
        <v>2024.0</v>
      </c>
      <c r="B168" s="8" t="s">
        <v>857</v>
      </c>
      <c r="C168" s="12" t="s">
        <v>858</v>
      </c>
      <c r="D168" s="10" t="s">
        <v>760</v>
      </c>
      <c r="E168" s="17" t="s">
        <v>859</v>
      </c>
      <c r="F168" s="18" t="s">
        <v>860</v>
      </c>
      <c r="G168" s="18" t="s">
        <v>18</v>
      </c>
      <c r="H168" s="19" t="s">
        <v>19</v>
      </c>
      <c r="I168" s="20" t="s">
        <v>20</v>
      </c>
      <c r="J168" s="21"/>
      <c r="K168" s="21"/>
      <c r="L168" s="21"/>
      <c r="M168" s="20" t="s">
        <v>861</v>
      </c>
      <c r="N168" s="14"/>
      <c r="O168" s="14"/>
      <c r="P168" s="14"/>
      <c r="Q168" s="14"/>
    </row>
    <row r="169">
      <c r="A169" s="7">
        <v>2024.0</v>
      </c>
      <c r="B169" s="8" t="s">
        <v>862</v>
      </c>
      <c r="C169" s="12" t="s">
        <v>863</v>
      </c>
      <c r="D169" s="10" t="s">
        <v>24</v>
      </c>
      <c r="E169" s="17" t="s">
        <v>864</v>
      </c>
      <c r="F169" s="18" t="s">
        <v>865</v>
      </c>
      <c r="G169" s="18" t="s">
        <v>18</v>
      </c>
      <c r="H169" s="19" t="s">
        <v>19</v>
      </c>
      <c r="I169" s="20" t="s">
        <v>20</v>
      </c>
      <c r="J169" s="21"/>
      <c r="K169" s="21"/>
      <c r="L169" s="21"/>
      <c r="M169" s="21"/>
      <c r="N169" s="14"/>
      <c r="O169" s="14"/>
      <c r="P169" s="14"/>
      <c r="Q169" s="14"/>
    </row>
    <row r="170">
      <c r="A170" s="7">
        <v>2024.0</v>
      </c>
      <c r="B170" s="8" t="s">
        <v>866</v>
      </c>
      <c r="C170" s="12" t="s">
        <v>867</v>
      </c>
      <c r="D170" s="10" t="s">
        <v>183</v>
      </c>
      <c r="E170" s="17" t="s">
        <v>868</v>
      </c>
      <c r="F170" s="18" t="s">
        <v>869</v>
      </c>
      <c r="G170" s="18" t="s">
        <v>18</v>
      </c>
      <c r="H170" s="19" t="s">
        <v>19</v>
      </c>
      <c r="I170" s="20" t="s">
        <v>20</v>
      </c>
      <c r="J170" s="21"/>
      <c r="K170" s="21"/>
      <c r="L170" s="21"/>
      <c r="M170" s="21"/>
      <c r="N170" s="14"/>
      <c r="O170" s="14"/>
      <c r="P170" s="14"/>
      <c r="Q170" s="14"/>
    </row>
    <row r="171">
      <c r="A171" s="7">
        <v>2021.0</v>
      </c>
      <c r="B171" s="8" t="s">
        <v>870</v>
      </c>
      <c r="C171" s="12" t="s">
        <v>871</v>
      </c>
      <c r="D171" s="10" t="s">
        <v>302</v>
      </c>
      <c r="E171" s="17" t="s">
        <v>872</v>
      </c>
      <c r="F171" s="18" t="s">
        <v>873</v>
      </c>
      <c r="G171" s="18" t="s">
        <v>18</v>
      </c>
      <c r="H171" s="19" t="s">
        <v>67</v>
      </c>
      <c r="I171" s="20" t="s">
        <v>20</v>
      </c>
      <c r="J171" s="21"/>
      <c r="K171" s="21"/>
      <c r="L171" s="21"/>
      <c r="M171" s="20" t="s">
        <v>874</v>
      </c>
      <c r="N171" s="14"/>
      <c r="O171" s="14"/>
      <c r="P171" s="14"/>
      <c r="Q171" s="14"/>
    </row>
    <row r="172">
      <c r="A172" s="7">
        <v>2023.0</v>
      </c>
      <c r="B172" s="8" t="s">
        <v>875</v>
      </c>
      <c r="C172" s="12" t="s">
        <v>876</v>
      </c>
      <c r="D172" s="10" t="s">
        <v>606</v>
      </c>
      <c r="E172" s="17" t="s">
        <v>877</v>
      </c>
      <c r="F172" s="18" t="s">
        <v>878</v>
      </c>
      <c r="G172" s="18" t="s">
        <v>18</v>
      </c>
      <c r="H172" s="19" t="s">
        <v>19</v>
      </c>
      <c r="I172" s="20" t="s">
        <v>20</v>
      </c>
      <c r="J172" s="21"/>
      <c r="K172" s="21"/>
      <c r="L172" s="21"/>
      <c r="M172" s="20" t="s">
        <v>879</v>
      </c>
      <c r="N172" s="14"/>
      <c r="O172" s="14"/>
      <c r="P172" s="14"/>
      <c r="Q172" s="14"/>
    </row>
    <row r="173">
      <c r="A173" s="7">
        <v>2020.0</v>
      </c>
      <c r="B173" s="8" t="s">
        <v>880</v>
      </c>
      <c r="C173" s="12" t="s">
        <v>881</v>
      </c>
      <c r="D173" s="10" t="s">
        <v>760</v>
      </c>
      <c r="E173" s="22" t="s">
        <v>882</v>
      </c>
      <c r="F173" s="18" t="s">
        <v>883</v>
      </c>
      <c r="G173" s="18" t="s">
        <v>18</v>
      </c>
      <c r="H173" s="19" t="s">
        <v>19</v>
      </c>
      <c r="I173" s="20" t="s">
        <v>20</v>
      </c>
      <c r="J173" s="21"/>
      <c r="K173" s="21"/>
      <c r="L173" s="21"/>
      <c r="M173" s="20"/>
      <c r="N173" s="14"/>
      <c r="O173" s="14"/>
      <c r="P173" s="14"/>
      <c r="Q173" s="14"/>
    </row>
    <row r="174">
      <c r="A174" s="7">
        <v>2025.0</v>
      </c>
      <c r="B174" s="8" t="s">
        <v>884</v>
      </c>
      <c r="C174" s="12" t="s">
        <v>885</v>
      </c>
      <c r="D174" s="10" t="s">
        <v>41</v>
      </c>
      <c r="E174" s="17" t="s">
        <v>886</v>
      </c>
      <c r="F174" s="18" t="s">
        <v>887</v>
      </c>
      <c r="G174" s="18" t="s">
        <v>18</v>
      </c>
      <c r="H174" s="19" t="s">
        <v>67</v>
      </c>
      <c r="I174" s="20" t="s">
        <v>20</v>
      </c>
      <c r="J174" s="21"/>
      <c r="K174" s="21"/>
      <c r="L174" s="21"/>
      <c r="M174" s="20" t="s">
        <v>888</v>
      </c>
      <c r="N174" s="14"/>
      <c r="O174" s="14"/>
      <c r="P174" s="14"/>
      <c r="Q174" s="14"/>
    </row>
    <row r="175">
      <c r="A175" s="7">
        <v>2022.0</v>
      </c>
      <c r="B175" s="8" t="s">
        <v>889</v>
      </c>
      <c r="C175" s="12" t="s">
        <v>890</v>
      </c>
      <c r="D175" s="10" t="s">
        <v>41</v>
      </c>
      <c r="E175" s="17" t="s">
        <v>891</v>
      </c>
      <c r="F175" s="18" t="s">
        <v>892</v>
      </c>
      <c r="G175" s="18" t="s">
        <v>18</v>
      </c>
      <c r="H175" s="19" t="s">
        <v>19</v>
      </c>
      <c r="I175" s="20" t="s">
        <v>20</v>
      </c>
      <c r="J175" s="21"/>
      <c r="K175" s="21"/>
      <c r="L175" s="21"/>
      <c r="M175" s="20" t="s">
        <v>893</v>
      </c>
      <c r="N175" s="14"/>
      <c r="O175" s="14"/>
      <c r="P175" s="14"/>
      <c r="Q175" s="14"/>
    </row>
    <row r="176">
      <c r="A176" s="7">
        <v>2022.0</v>
      </c>
      <c r="B176" s="8" t="s">
        <v>894</v>
      </c>
      <c r="C176" s="12" t="s">
        <v>895</v>
      </c>
      <c r="D176" s="10" t="s">
        <v>278</v>
      </c>
      <c r="E176" s="17" t="s">
        <v>896</v>
      </c>
      <c r="F176" s="18" t="s">
        <v>897</v>
      </c>
      <c r="G176" s="18" t="s">
        <v>18</v>
      </c>
      <c r="H176" s="19" t="s">
        <v>19</v>
      </c>
      <c r="I176" s="20" t="s">
        <v>20</v>
      </c>
      <c r="J176" s="21"/>
      <c r="K176" s="21"/>
      <c r="L176" s="21"/>
      <c r="M176" s="20" t="s">
        <v>856</v>
      </c>
      <c r="N176" s="14"/>
      <c r="O176" s="14"/>
      <c r="P176" s="14"/>
      <c r="Q176" s="14"/>
    </row>
    <row r="177">
      <c r="A177" s="7">
        <v>2025.0</v>
      </c>
      <c r="B177" s="8" t="s">
        <v>898</v>
      </c>
      <c r="C177" s="12" t="s">
        <v>899</v>
      </c>
      <c r="D177" s="10" t="s">
        <v>900</v>
      </c>
      <c r="E177" s="17" t="s">
        <v>901</v>
      </c>
      <c r="F177" s="18" t="s">
        <v>902</v>
      </c>
      <c r="G177" s="18" t="s">
        <v>18</v>
      </c>
      <c r="H177" s="19" t="s">
        <v>19</v>
      </c>
      <c r="I177" s="20" t="s">
        <v>20</v>
      </c>
      <c r="J177" s="21"/>
      <c r="K177" s="21"/>
      <c r="L177" s="21"/>
      <c r="M177" s="21"/>
      <c r="N177" s="14"/>
      <c r="O177" s="14"/>
      <c r="P177" s="14"/>
      <c r="Q177" s="14"/>
    </row>
    <row r="178">
      <c r="A178" s="7">
        <v>2020.0</v>
      </c>
      <c r="B178" s="8" t="s">
        <v>903</v>
      </c>
      <c r="C178" s="12" t="s">
        <v>904</v>
      </c>
      <c r="D178" s="10" t="s">
        <v>905</v>
      </c>
      <c r="E178" s="17" t="s">
        <v>906</v>
      </c>
      <c r="F178" s="18" t="s">
        <v>907</v>
      </c>
      <c r="G178" s="18" t="s">
        <v>18</v>
      </c>
      <c r="H178" s="19" t="s">
        <v>19</v>
      </c>
      <c r="I178" s="20" t="s">
        <v>20</v>
      </c>
      <c r="J178" s="21"/>
      <c r="K178" s="21"/>
      <c r="L178" s="21"/>
      <c r="M178" s="21"/>
      <c r="N178" s="14"/>
      <c r="O178" s="14"/>
      <c r="P178" s="14"/>
      <c r="Q178" s="14"/>
    </row>
    <row r="179">
      <c r="A179" s="7">
        <v>2018.0</v>
      </c>
      <c r="B179" s="8" t="s">
        <v>908</v>
      </c>
      <c r="C179" s="12" t="s">
        <v>909</v>
      </c>
      <c r="D179" s="10" t="s">
        <v>455</v>
      </c>
      <c r="E179" s="17" t="s">
        <v>910</v>
      </c>
      <c r="F179" s="18" t="s">
        <v>911</v>
      </c>
      <c r="G179" s="18" t="s">
        <v>18</v>
      </c>
      <c r="H179" s="19" t="s">
        <v>19</v>
      </c>
      <c r="I179" s="20" t="s">
        <v>20</v>
      </c>
      <c r="J179" s="21"/>
      <c r="K179" s="21"/>
      <c r="L179" s="21"/>
      <c r="M179" s="20" t="s">
        <v>912</v>
      </c>
      <c r="N179" s="14"/>
      <c r="O179" s="14"/>
      <c r="P179" s="14"/>
      <c r="Q179" s="14"/>
    </row>
    <row r="180">
      <c r="A180" s="7">
        <v>2023.0</v>
      </c>
      <c r="B180" s="8" t="s">
        <v>913</v>
      </c>
      <c r="C180" s="12" t="s">
        <v>914</v>
      </c>
      <c r="D180" s="10" t="s">
        <v>624</v>
      </c>
      <c r="E180" s="17" t="s">
        <v>915</v>
      </c>
      <c r="F180" s="18" t="s">
        <v>916</v>
      </c>
      <c r="G180" s="18" t="s">
        <v>18</v>
      </c>
      <c r="H180" s="19" t="s">
        <v>19</v>
      </c>
      <c r="I180" s="20" t="s">
        <v>20</v>
      </c>
      <c r="J180" s="21"/>
      <c r="K180" s="21"/>
      <c r="L180" s="21"/>
      <c r="M180" s="21"/>
      <c r="N180" s="14"/>
      <c r="O180" s="14"/>
      <c r="P180" s="14"/>
      <c r="Q180" s="14"/>
    </row>
    <row r="181">
      <c r="A181" s="7">
        <v>2025.0</v>
      </c>
      <c r="B181" s="8" t="s">
        <v>917</v>
      </c>
      <c r="C181" s="12" t="s">
        <v>918</v>
      </c>
      <c r="D181" s="10" t="s">
        <v>612</v>
      </c>
      <c r="E181" s="17" t="s">
        <v>919</v>
      </c>
      <c r="F181" s="18" t="s">
        <v>920</v>
      </c>
      <c r="G181" s="18" t="s">
        <v>18</v>
      </c>
      <c r="H181" s="19" t="s">
        <v>19</v>
      </c>
      <c r="I181" s="20" t="s">
        <v>20</v>
      </c>
      <c r="J181" s="21"/>
      <c r="K181" s="21"/>
      <c r="L181" s="21"/>
      <c r="M181" s="21"/>
      <c r="N181" s="14"/>
      <c r="O181" s="14"/>
      <c r="P181" s="14"/>
      <c r="Q181" s="14"/>
    </row>
    <row r="182">
      <c r="A182" s="7">
        <v>2022.0</v>
      </c>
      <c r="B182" s="8" t="s">
        <v>921</v>
      </c>
      <c r="C182" s="12" t="s">
        <v>922</v>
      </c>
      <c r="D182" s="10" t="s">
        <v>923</v>
      </c>
      <c r="E182" s="17" t="s">
        <v>924</v>
      </c>
      <c r="F182" s="18" t="s">
        <v>925</v>
      </c>
      <c r="G182" s="18" t="s">
        <v>18</v>
      </c>
      <c r="H182" s="19" t="s">
        <v>19</v>
      </c>
      <c r="I182" s="20" t="s">
        <v>20</v>
      </c>
      <c r="J182" s="21"/>
      <c r="K182" s="21"/>
      <c r="L182" s="21"/>
      <c r="M182" s="21"/>
      <c r="N182" s="14"/>
      <c r="O182" s="14"/>
      <c r="P182" s="14"/>
      <c r="Q182" s="14"/>
    </row>
    <row r="183">
      <c r="A183" s="7">
        <v>2022.0</v>
      </c>
      <c r="B183" s="8" t="s">
        <v>926</v>
      </c>
      <c r="C183" s="12" t="s">
        <v>927</v>
      </c>
      <c r="D183" s="10" t="s">
        <v>928</v>
      </c>
      <c r="E183" s="17" t="s">
        <v>929</v>
      </c>
      <c r="F183" s="18" t="s">
        <v>930</v>
      </c>
      <c r="G183" s="18" t="s">
        <v>18</v>
      </c>
      <c r="H183" s="19" t="s">
        <v>19</v>
      </c>
      <c r="I183" s="20" t="s">
        <v>20</v>
      </c>
      <c r="J183" s="21"/>
      <c r="K183" s="21"/>
      <c r="L183" s="21"/>
      <c r="M183" s="21"/>
      <c r="N183" s="14"/>
      <c r="O183" s="14"/>
      <c r="P183" s="14"/>
      <c r="Q183" s="14"/>
    </row>
    <row r="184">
      <c r="A184" s="7">
        <v>2024.0</v>
      </c>
      <c r="B184" s="8" t="s">
        <v>931</v>
      </c>
      <c r="C184" s="12" t="s">
        <v>932</v>
      </c>
      <c r="D184" s="10" t="s">
        <v>232</v>
      </c>
      <c r="E184" s="17" t="s">
        <v>933</v>
      </c>
      <c r="F184" s="18" t="s">
        <v>934</v>
      </c>
      <c r="G184" s="18" t="s">
        <v>18</v>
      </c>
      <c r="H184" s="19" t="s">
        <v>19</v>
      </c>
      <c r="I184" s="20" t="s">
        <v>20</v>
      </c>
      <c r="J184" s="21"/>
      <c r="K184" s="21"/>
      <c r="L184" s="21"/>
      <c r="M184" s="21"/>
      <c r="N184" s="14"/>
      <c r="O184" s="14"/>
      <c r="P184" s="14"/>
      <c r="Q184" s="14"/>
    </row>
    <row r="185">
      <c r="A185" s="7">
        <v>2024.0</v>
      </c>
      <c r="B185" s="8" t="s">
        <v>935</v>
      </c>
      <c r="C185" s="12" t="s">
        <v>936</v>
      </c>
      <c r="D185" s="10" t="s">
        <v>133</v>
      </c>
      <c r="E185" s="17" t="s">
        <v>937</v>
      </c>
      <c r="F185" s="18" t="s">
        <v>938</v>
      </c>
      <c r="G185" s="18" t="s">
        <v>18</v>
      </c>
      <c r="H185" s="19" t="s">
        <v>19</v>
      </c>
      <c r="I185" s="20" t="s">
        <v>20</v>
      </c>
      <c r="J185" s="21"/>
      <c r="K185" s="21"/>
      <c r="L185" s="21"/>
      <c r="M185" s="21"/>
      <c r="N185" s="14"/>
      <c r="O185" s="14"/>
      <c r="P185" s="14"/>
      <c r="Q185" s="14"/>
    </row>
    <row r="186">
      <c r="A186" s="7">
        <v>2024.0</v>
      </c>
      <c r="B186" s="8" t="s">
        <v>939</v>
      </c>
      <c r="C186" s="12" t="s">
        <v>940</v>
      </c>
      <c r="D186" s="10" t="s">
        <v>59</v>
      </c>
      <c r="E186" s="17" t="s">
        <v>941</v>
      </c>
      <c r="F186" s="18" t="s">
        <v>942</v>
      </c>
      <c r="G186" s="18" t="s">
        <v>18</v>
      </c>
      <c r="H186" s="19" t="s">
        <v>19</v>
      </c>
      <c r="I186" s="20" t="s">
        <v>20</v>
      </c>
      <c r="J186" s="21"/>
      <c r="K186" s="21"/>
      <c r="L186" s="21"/>
      <c r="M186" s="21"/>
      <c r="N186" s="14"/>
      <c r="O186" s="14"/>
      <c r="P186" s="14"/>
      <c r="Q186" s="14"/>
    </row>
    <row r="187">
      <c r="A187" s="7">
        <v>2023.0</v>
      </c>
      <c r="B187" s="8" t="s">
        <v>943</v>
      </c>
      <c r="C187" s="12" t="s">
        <v>944</v>
      </c>
      <c r="D187" s="10" t="s">
        <v>183</v>
      </c>
      <c r="E187" s="17" t="s">
        <v>945</v>
      </c>
      <c r="F187" s="18" t="s">
        <v>946</v>
      </c>
      <c r="G187" s="18" t="s">
        <v>18</v>
      </c>
      <c r="H187" s="19" t="s">
        <v>19</v>
      </c>
      <c r="I187" s="20" t="s">
        <v>20</v>
      </c>
      <c r="J187" s="21"/>
      <c r="K187" s="21"/>
      <c r="L187" s="21"/>
      <c r="M187" s="21"/>
      <c r="N187" s="14"/>
      <c r="O187" s="14"/>
      <c r="P187" s="14"/>
      <c r="Q187" s="14"/>
    </row>
    <row r="188">
      <c r="A188" s="7">
        <v>2023.0</v>
      </c>
      <c r="B188" s="8" t="s">
        <v>947</v>
      </c>
      <c r="C188" s="12" t="s">
        <v>948</v>
      </c>
      <c r="D188" s="10" t="s">
        <v>133</v>
      </c>
      <c r="E188" s="17" t="s">
        <v>949</v>
      </c>
      <c r="F188" s="18" t="s">
        <v>950</v>
      </c>
      <c r="G188" s="18" t="s">
        <v>18</v>
      </c>
      <c r="H188" s="19" t="s">
        <v>19</v>
      </c>
      <c r="I188" s="20" t="s">
        <v>20</v>
      </c>
      <c r="J188" s="21"/>
      <c r="K188" s="21"/>
      <c r="L188" s="21"/>
      <c r="M188" s="21"/>
      <c r="N188" s="14"/>
      <c r="O188" s="14"/>
      <c r="P188" s="14"/>
      <c r="Q188" s="14"/>
    </row>
    <row r="189">
      <c r="A189" s="7">
        <v>2021.0</v>
      </c>
      <c r="B189" s="8" t="s">
        <v>951</v>
      </c>
      <c r="C189" s="12" t="s">
        <v>952</v>
      </c>
      <c r="D189" s="10" t="s">
        <v>76</v>
      </c>
      <c r="E189" s="17" t="s">
        <v>953</v>
      </c>
      <c r="F189" s="18" t="s">
        <v>954</v>
      </c>
      <c r="G189" s="18" t="s">
        <v>18</v>
      </c>
      <c r="H189" s="19" t="s">
        <v>19</v>
      </c>
      <c r="I189" s="20" t="s">
        <v>27</v>
      </c>
      <c r="J189" s="21"/>
      <c r="K189" s="21"/>
      <c r="L189" s="21"/>
      <c r="M189" s="20" t="s">
        <v>955</v>
      </c>
      <c r="N189" s="14"/>
      <c r="O189" s="14"/>
      <c r="P189" s="14"/>
      <c r="Q189" s="14"/>
    </row>
    <row r="190">
      <c r="A190" s="7">
        <v>2018.0</v>
      </c>
      <c r="B190" s="8" t="s">
        <v>956</v>
      </c>
      <c r="C190" s="12" t="s">
        <v>957</v>
      </c>
      <c r="D190" s="10" t="s">
        <v>958</v>
      </c>
      <c r="E190" s="17" t="s">
        <v>959</v>
      </c>
      <c r="F190" s="18" t="s">
        <v>960</v>
      </c>
      <c r="G190" s="18" t="s">
        <v>18</v>
      </c>
      <c r="H190" s="19" t="s">
        <v>19</v>
      </c>
      <c r="I190" s="20" t="s">
        <v>20</v>
      </c>
      <c r="J190" s="21"/>
      <c r="K190" s="21"/>
      <c r="L190" s="21"/>
      <c r="M190" s="21"/>
      <c r="N190" s="14"/>
      <c r="O190" s="14"/>
      <c r="P190" s="14"/>
      <c r="Q190" s="14"/>
    </row>
    <row r="191">
      <c r="A191" s="7">
        <v>2021.0</v>
      </c>
      <c r="B191" s="8" t="s">
        <v>961</v>
      </c>
      <c r="C191" s="12" t="s">
        <v>962</v>
      </c>
      <c r="D191" s="10" t="s">
        <v>963</v>
      </c>
      <c r="E191" s="17" t="s">
        <v>964</v>
      </c>
      <c r="F191" s="18" t="s">
        <v>965</v>
      </c>
      <c r="G191" s="18" t="s">
        <v>18</v>
      </c>
      <c r="H191" s="19" t="s">
        <v>19</v>
      </c>
      <c r="I191" s="20" t="s">
        <v>20</v>
      </c>
      <c r="J191" s="21"/>
      <c r="K191" s="21"/>
      <c r="L191" s="21"/>
      <c r="M191" s="21"/>
      <c r="N191" s="14"/>
      <c r="O191" s="14"/>
      <c r="P191" s="14"/>
      <c r="Q191" s="14"/>
    </row>
    <row r="192">
      <c r="A192" s="7">
        <v>2025.0</v>
      </c>
      <c r="B192" s="8" t="s">
        <v>966</v>
      </c>
      <c r="C192" s="12" t="s">
        <v>967</v>
      </c>
      <c r="D192" s="10" t="s">
        <v>523</v>
      </c>
      <c r="E192" s="17" t="s">
        <v>968</v>
      </c>
      <c r="F192" s="18" t="s">
        <v>969</v>
      </c>
      <c r="G192" s="18" t="s">
        <v>18</v>
      </c>
      <c r="H192" s="19" t="s">
        <v>19</v>
      </c>
      <c r="I192" s="20" t="s">
        <v>20</v>
      </c>
      <c r="J192" s="21"/>
      <c r="K192" s="21"/>
      <c r="L192" s="21"/>
      <c r="M192" s="21"/>
      <c r="N192" s="14"/>
      <c r="O192" s="14"/>
      <c r="P192" s="14"/>
      <c r="Q192" s="14"/>
    </row>
    <row r="193">
      <c r="A193" s="7">
        <v>2020.0</v>
      </c>
      <c r="B193" s="8" t="s">
        <v>970</v>
      </c>
      <c r="C193" s="12" t="s">
        <v>971</v>
      </c>
      <c r="D193" s="10" t="s">
        <v>972</v>
      </c>
      <c r="E193" s="17" t="s">
        <v>973</v>
      </c>
      <c r="F193" s="18" t="s">
        <v>974</v>
      </c>
      <c r="G193" s="18" t="s">
        <v>18</v>
      </c>
      <c r="H193" s="19" t="s">
        <v>19</v>
      </c>
      <c r="I193" s="20" t="s">
        <v>20</v>
      </c>
      <c r="J193" s="21"/>
      <c r="K193" s="21"/>
      <c r="L193" s="21"/>
      <c r="M193" s="21"/>
      <c r="N193" s="14"/>
      <c r="O193" s="14"/>
      <c r="P193" s="14"/>
      <c r="Q193" s="14"/>
    </row>
    <row r="194">
      <c r="A194" s="7">
        <v>2022.0</v>
      </c>
      <c r="B194" s="8" t="s">
        <v>975</v>
      </c>
      <c r="C194" s="12" t="s">
        <v>976</v>
      </c>
      <c r="D194" s="10" t="s">
        <v>243</v>
      </c>
      <c r="E194" s="17" t="s">
        <v>977</v>
      </c>
      <c r="F194" s="18" t="s">
        <v>978</v>
      </c>
      <c r="G194" s="18" t="s">
        <v>18</v>
      </c>
      <c r="H194" s="19" t="s">
        <v>19</v>
      </c>
      <c r="I194" s="20" t="s">
        <v>20</v>
      </c>
      <c r="J194" s="21"/>
      <c r="K194" s="21"/>
      <c r="L194" s="21"/>
      <c r="M194" s="20" t="s">
        <v>979</v>
      </c>
      <c r="N194" s="13"/>
      <c r="O194" s="14"/>
      <c r="P194" s="14"/>
      <c r="Q194" s="14"/>
    </row>
    <row r="195">
      <c r="A195" s="7">
        <v>2025.0</v>
      </c>
      <c r="B195" s="8" t="s">
        <v>980</v>
      </c>
      <c r="C195" s="12" t="s">
        <v>981</v>
      </c>
      <c r="D195" s="10" t="s">
        <v>81</v>
      </c>
      <c r="E195" s="17" t="s">
        <v>982</v>
      </c>
      <c r="F195" s="18" t="s">
        <v>983</v>
      </c>
      <c r="G195" s="18" t="s">
        <v>18</v>
      </c>
      <c r="H195" s="19" t="s">
        <v>19</v>
      </c>
      <c r="I195" s="20" t="s">
        <v>20</v>
      </c>
      <c r="J195" s="21"/>
      <c r="K195" s="21"/>
      <c r="L195" s="21"/>
      <c r="M195" s="21"/>
      <c r="N195" s="14"/>
      <c r="O195" s="14"/>
      <c r="P195" s="14"/>
      <c r="Q195" s="14"/>
    </row>
    <row r="196">
      <c r="A196" s="7">
        <v>2018.0</v>
      </c>
      <c r="B196" s="8" t="s">
        <v>984</v>
      </c>
      <c r="C196" s="12" t="s">
        <v>985</v>
      </c>
      <c r="D196" s="10" t="s">
        <v>278</v>
      </c>
      <c r="E196" s="17" t="s">
        <v>986</v>
      </c>
      <c r="F196" s="18" t="s">
        <v>987</v>
      </c>
      <c r="G196" s="18" t="s">
        <v>18</v>
      </c>
      <c r="H196" s="19" t="s">
        <v>19</v>
      </c>
      <c r="I196" s="20" t="s">
        <v>20</v>
      </c>
      <c r="J196" s="21"/>
      <c r="K196" s="21"/>
      <c r="L196" s="21"/>
      <c r="M196" s="21"/>
      <c r="N196" s="14"/>
      <c r="O196" s="14"/>
      <c r="P196" s="14"/>
      <c r="Q196" s="14"/>
    </row>
    <row r="197">
      <c r="A197" s="7">
        <v>2023.0</v>
      </c>
      <c r="B197" s="8" t="s">
        <v>988</v>
      </c>
      <c r="C197" s="12" t="s">
        <v>989</v>
      </c>
      <c r="D197" s="10" t="s">
        <v>64</v>
      </c>
      <c r="E197" s="17" t="s">
        <v>990</v>
      </c>
      <c r="F197" s="18" t="s">
        <v>991</v>
      </c>
      <c r="G197" s="18" t="s">
        <v>18</v>
      </c>
      <c r="H197" s="19" t="s">
        <v>67</v>
      </c>
      <c r="I197" s="20" t="s">
        <v>20</v>
      </c>
      <c r="J197" s="21"/>
      <c r="K197" s="21"/>
      <c r="L197" s="21"/>
      <c r="M197" s="21"/>
      <c r="N197" s="14"/>
      <c r="O197" s="14"/>
      <c r="P197" s="14"/>
      <c r="Q197" s="14"/>
    </row>
    <row r="198">
      <c r="A198" s="7">
        <v>2023.0</v>
      </c>
      <c r="B198" s="8" t="s">
        <v>992</v>
      </c>
      <c r="C198" s="12" t="s">
        <v>993</v>
      </c>
      <c r="D198" s="10" t="s">
        <v>618</v>
      </c>
      <c r="E198" s="17" t="s">
        <v>994</v>
      </c>
      <c r="F198" s="18" t="s">
        <v>995</v>
      </c>
      <c r="G198" s="18" t="s">
        <v>18</v>
      </c>
      <c r="H198" s="19" t="s">
        <v>19</v>
      </c>
      <c r="I198" s="20" t="s">
        <v>20</v>
      </c>
      <c r="J198" s="21"/>
      <c r="K198" s="21"/>
      <c r="L198" s="21"/>
      <c r="M198" s="21"/>
      <c r="N198" s="14"/>
      <c r="O198" s="14"/>
      <c r="P198" s="14"/>
      <c r="Q198" s="14"/>
    </row>
    <row r="199">
      <c r="A199" s="7">
        <v>2025.0</v>
      </c>
      <c r="B199" s="8" t="s">
        <v>996</v>
      </c>
      <c r="C199" s="12" t="s">
        <v>997</v>
      </c>
      <c r="D199" s="10" t="s">
        <v>534</v>
      </c>
      <c r="E199" s="17" t="s">
        <v>998</v>
      </c>
      <c r="F199" s="18" t="s">
        <v>999</v>
      </c>
      <c r="G199" s="18" t="s">
        <v>18</v>
      </c>
      <c r="H199" s="19" t="s">
        <v>19</v>
      </c>
      <c r="I199" s="20" t="s">
        <v>20</v>
      </c>
      <c r="J199" s="21"/>
      <c r="K199" s="21"/>
      <c r="L199" s="21"/>
      <c r="M199" s="21"/>
      <c r="N199" s="14"/>
      <c r="O199" s="14"/>
      <c r="P199" s="14"/>
      <c r="Q199" s="14"/>
    </row>
    <row r="200">
      <c r="A200" s="7">
        <v>2019.0</v>
      </c>
      <c r="B200" s="8" t="s">
        <v>1000</v>
      </c>
      <c r="C200" s="12" t="s">
        <v>1001</v>
      </c>
      <c r="D200" s="10" t="s">
        <v>24</v>
      </c>
      <c r="E200" s="17" t="s">
        <v>1002</v>
      </c>
      <c r="F200" s="18" t="s">
        <v>1003</v>
      </c>
      <c r="G200" s="18" t="s">
        <v>18</v>
      </c>
      <c r="H200" s="19" t="s">
        <v>19</v>
      </c>
      <c r="I200" s="20" t="s">
        <v>20</v>
      </c>
      <c r="J200" s="21"/>
      <c r="K200" s="21"/>
      <c r="L200" s="21"/>
      <c r="M200" s="20" t="s">
        <v>1004</v>
      </c>
      <c r="N200" s="14"/>
      <c r="O200" s="14"/>
      <c r="P200" s="14"/>
      <c r="Q200" s="14"/>
    </row>
    <row r="201">
      <c r="A201" s="7">
        <v>2025.0</v>
      </c>
      <c r="B201" s="8" t="s">
        <v>1005</v>
      </c>
      <c r="C201" s="12" t="s">
        <v>1006</v>
      </c>
      <c r="D201" s="10" t="s">
        <v>928</v>
      </c>
      <c r="E201" s="17" t="s">
        <v>1007</v>
      </c>
      <c r="F201" s="18" t="s">
        <v>1008</v>
      </c>
      <c r="G201" s="18" t="s">
        <v>18</v>
      </c>
      <c r="H201" s="19" t="s">
        <v>19</v>
      </c>
      <c r="I201" s="20" t="s">
        <v>20</v>
      </c>
      <c r="J201" s="21"/>
      <c r="K201" s="21"/>
      <c r="L201" s="21"/>
      <c r="M201" s="20" t="s">
        <v>1009</v>
      </c>
      <c r="N201" s="14"/>
      <c r="O201" s="14"/>
      <c r="P201" s="14"/>
      <c r="Q201" s="14"/>
    </row>
    <row r="202">
      <c r="A202" s="7">
        <v>2024.0</v>
      </c>
      <c r="B202" s="8" t="s">
        <v>1010</v>
      </c>
      <c r="C202" s="12" t="s">
        <v>1011</v>
      </c>
      <c r="D202" s="10" t="s">
        <v>59</v>
      </c>
      <c r="E202" s="17" t="s">
        <v>1012</v>
      </c>
      <c r="F202" s="18" t="s">
        <v>1013</v>
      </c>
      <c r="G202" s="18" t="s">
        <v>18</v>
      </c>
      <c r="H202" s="19" t="s">
        <v>19</v>
      </c>
      <c r="I202" s="20" t="s">
        <v>20</v>
      </c>
      <c r="J202" s="21"/>
      <c r="K202" s="21"/>
      <c r="L202" s="21"/>
      <c r="M202" s="21"/>
      <c r="N202" s="14"/>
      <c r="O202" s="14"/>
      <c r="P202" s="14"/>
      <c r="Q202" s="14"/>
    </row>
    <row r="203">
      <c r="A203" s="7">
        <v>2024.0</v>
      </c>
      <c r="B203" s="8" t="s">
        <v>1014</v>
      </c>
      <c r="C203" s="12" t="s">
        <v>1015</v>
      </c>
      <c r="D203" s="10" t="s">
        <v>59</v>
      </c>
      <c r="E203" s="17" t="s">
        <v>1016</v>
      </c>
      <c r="F203" s="18" t="s">
        <v>1017</v>
      </c>
      <c r="G203" s="18" t="s">
        <v>18</v>
      </c>
      <c r="H203" s="19" t="s">
        <v>19</v>
      </c>
      <c r="I203" s="20" t="s">
        <v>20</v>
      </c>
      <c r="J203" s="21"/>
      <c r="K203" s="21"/>
      <c r="L203" s="21"/>
      <c r="M203" s="21"/>
      <c r="N203" s="14"/>
      <c r="O203" s="14"/>
      <c r="P203" s="14"/>
      <c r="Q203" s="14"/>
    </row>
    <row r="204">
      <c r="A204" s="7">
        <v>2025.0</v>
      </c>
      <c r="B204" s="8" t="s">
        <v>1018</v>
      </c>
      <c r="C204" s="12" t="s">
        <v>1019</v>
      </c>
      <c r="D204" s="10" t="s">
        <v>41</v>
      </c>
      <c r="E204" s="17" t="s">
        <v>1020</v>
      </c>
      <c r="F204" s="18" t="s">
        <v>1021</v>
      </c>
      <c r="G204" s="18" t="s">
        <v>18</v>
      </c>
      <c r="H204" s="19" t="s">
        <v>19</v>
      </c>
      <c r="I204" s="20" t="s">
        <v>20</v>
      </c>
      <c r="J204" s="21"/>
      <c r="K204" s="21"/>
      <c r="L204" s="21"/>
      <c r="M204" s="21"/>
      <c r="N204" s="14"/>
      <c r="O204" s="14"/>
      <c r="P204" s="14"/>
      <c r="Q204" s="14"/>
    </row>
    <row r="205">
      <c r="A205" s="7">
        <v>2022.0</v>
      </c>
      <c r="B205" s="8" t="s">
        <v>1022</v>
      </c>
      <c r="C205" s="12" t="s">
        <v>1023</v>
      </c>
      <c r="D205" s="10" t="s">
        <v>1024</v>
      </c>
      <c r="E205" s="17" t="s">
        <v>1025</v>
      </c>
      <c r="F205" s="18" t="s">
        <v>1026</v>
      </c>
      <c r="G205" s="18" t="s">
        <v>18</v>
      </c>
      <c r="H205" s="19" t="s">
        <v>19</v>
      </c>
      <c r="I205" s="20" t="s">
        <v>20</v>
      </c>
      <c r="J205" s="21"/>
      <c r="K205" s="21"/>
      <c r="L205" s="21"/>
      <c r="M205" s="21"/>
      <c r="N205" s="14"/>
      <c r="O205" s="14"/>
      <c r="P205" s="14"/>
      <c r="Q205" s="14"/>
    </row>
    <row r="206">
      <c r="A206" s="7">
        <v>2024.0</v>
      </c>
      <c r="B206" s="8" t="s">
        <v>1027</v>
      </c>
      <c r="C206" s="12" t="s">
        <v>1028</v>
      </c>
      <c r="D206" s="10" t="s">
        <v>24</v>
      </c>
      <c r="E206" s="17" t="s">
        <v>1029</v>
      </c>
      <c r="F206" s="18" t="s">
        <v>1030</v>
      </c>
      <c r="G206" s="18" t="s">
        <v>18</v>
      </c>
      <c r="H206" s="19" t="s">
        <v>19</v>
      </c>
      <c r="I206" s="20" t="s">
        <v>20</v>
      </c>
      <c r="J206" s="21"/>
      <c r="K206" s="21"/>
      <c r="L206" s="21"/>
      <c r="M206" s="21"/>
      <c r="N206" s="14"/>
      <c r="O206" s="14"/>
      <c r="P206" s="14"/>
      <c r="Q206" s="14"/>
    </row>
    <row r="207">
      <c r="A207" s="7">
        <v>2025.0</v>
      </c>
      <c r="B207" s="8" t="s">
        <v>1031</v>
      </c>
      <c r="C207" s="12" t="s">
        <v>1032</v>
      </c>
      <c r="D207" s="10" t="s">
        <v>243</v>
      </c>
      <c r="E207" s="17" t="s">
        <v>1033</v>
      </c>
      <c r="F207" s="18" t="s">
        <v>1034</v>
      </c>
      <c r="G207" s="18" t="s">
        <v>18</v>
      </c>
      <c r="H207" s="19" t="s">
        <v>19</v>
      </c>
      <c r="I207" s="20" t="s">
        <v>20</v>
      </c>
      <c r="J207" s="21"/>
      <c r="K207" s="21"/>
      <c r="L207" s="21"/>
      <c r="M207" s="21"/>
      <c r="N207" s="14"/>
      <c r="O207" s="14"/>
      <c r="P207" s="14"/>
      <c r="Q207" s="14"/>
    </row>
    <row r="208">
      <c r="A208" s="7">
        <v>2025.0</v>
      </c>
      <c r="B208" s="8" t="s">
        <v>1035</v>
      </c>
      <c r="C208" s="12" t="s">
        <v>1036</v>
      </c>
      <c r="D208" s="10" t="s">
        <v>1037</v>
      </c>
      <c r="E208" s="17" t="s">
        <v>1038</v>
      </c>
      <c r="F208" s="18" t="s">
        <v>1039</v>
      </c>
      <c r="G208" s="18" t="s">
        <v>18</v>
      </c>
      <c r="H208" s="19" t="s">
        <v>19</v>
      </c>
      <c r="I208" s="20" t="s">
        <v>20</v>
      </c>
      <c r="J208" s="21"/>
      <c r="K208" s="21"/>
      <c r="L208" s="21"/>
      <c r="M208" s="21"/>
      <c r="N208" s="14"/>
      <c r="O208" s="14"/>
      <c r="P208" s="14"/>
      <c r="Q208" s="14"/>
    </row>
    <row r="209">
      <c r="A209" s="7">
        <v>2020.0</v>
      </c>
      <c r="B209" s="8" t="s">
        <v>1040</v>
      </c>
      <c r="C209" s="12" t="s">
        <v>1041</v>
      </c>
      <c r="D209" s="10" t="s">
        <v>59</v>
      </c>
      <c r="E209" s="17" t="s">
        <v>1042</v>
      </c>
      <c r="F209" s="18" t="s">
        <v>1043</v>
      </c>
      <c r="G209" s="18" t="s">
        <v>18</v>
      </c>
      <c r="H209" s="19" t="s">
        <v>67</v>
      </c>
      <c r="I209" s="20" t="s">
        <v>20</v>
      </c>
      <c r="J209" s="21"/>
      <c r="K209" s="21"/>
      <c r="L209" s="21"/>
      <c r="M209" s="21"/>
      <c r="N209" s="14"/>
      <c r="O209" s="14"/>
      <c r="P209" s="14"/>
      <c r="Q209" s="14"/>
    </row>
    <row r="210">
      <c r="A210" s="7">
        <v>2025.0</v>
      </c>
      <c r="B210" s="8" t="s">
        <v>1044</v>
      </c>
      <c r="C210" s="12" t="s">
        <v>1045</v>
      </c>
      <c r="D210" s="10" t="s">
        <v>643</v>
      </c>
      <c r="E210" s="17" t="s">
        <v>1046</v>
      </c>
      <c r="F210" s="18" t="s">
        <v>1047</v>
      </c>
      <c r="G210" s="18" t="s">
        <v>18</v>
      </c>
      <c r="H210" s="19" t="s">
        <v>19</v>
      </c>
      <c r="I210" s="20" t="s">
        <v>20</v>
      </c>
      <c r="J210" s="21"/>
      <c r="K210" s="21"/>
      <c r="L210" s="21"/>
      <c r="M210" s="20" t="s">
        <v>1048</v>
      </c>
      <c r="N210" s="14"/>
      <c r="O210" s="14"/>
      <c r="P210" s="14"/>
      <c r="Q210" s="14"/>
    </row>
    <row r="211">
      <c r="A211" s="7">
        <v>2024.0</v>
      </c>
      <c r="B211" s="8" t="s">
        <v>1049</v>
      </c>
      <c r="C211" s="12" t="s">
        <v>1050</v>
      </c>
      <c r="D211" s="10" t="s">
        <v>1051</v>
      </c>
      <c r="E211" s="17" t="s">
        <v>1052</v>
      </c>
      <c r="F211" s="18" t="s">
        <v>1053</v>
      </c>
      <c r="G211" s="18" t="s">
        <v>18</v>
      </c>
      <c r="H211" s="19" t="s">
        <v>19</v>
      </c>
      <c r="I211" s="20" t="s">
        <v>20</v>
      </c>
      <c r="J211" s="21"/>
      <c r="K211" s="21"/>
      <c r="L211" s="21"/>
      <c r="M211" s="21"/>
      <c r="N211" s="14"/>
      <c r="O211" s="14"/>
      <c r="P211" s="14"/>
      <c r="Q211" s="14"/>
    </row>
    <row r="212">
      <c r="A212" s="7">
        <v>2022.0</v>
      </c>
      <c r="B212" s="8" t="s">
        <v>1054</v>
      </c>
      <c r="C212" s="12" t="s">
        <v>1055</v>
      </c>
      <c r="D212" s="10" t="s">
        <v>59</v>
      </c>
      <c r="E212" s="17" t="s">
        <v>1056</v>
      </c>
      <c r="F212" s="18" t="s">
        <v>1057</v>
      </c>
      <c r="G212" s="18" t="s">
        <v>18</v>
      </c>
      <c r="H212" s="19" t="s">
        <v>19</v>
      </c>
      <c r="I212" s="20" t="s">
        <v>20</v>
      </c>
      <c r="J212" s="21"/>
      <c r="K212" s="21"/>
      <c r="L212" s="21"/>
      <c r="M212" s="21"/>
      <c r="N212" s="14"/>
      <c r="O212" s="14"/>
      <c r="P212" s="14"/>
      <c r="Q212" s="14"/>
    </row>
    <row r="213">
      <c r="A213" s="7">
        <v>2018.0</v>
      </c>
      <c r="B213" s="8" t="s">
        <v>1058</v>
      </c>
      <c r="C213" s="12" t="s">
        <v>1059</v>
      </c>
      <c r="D213" s="10" t="s">
        <v>24</v>
      </c>
      <c r="E213" s="17" t="s">
        <v>1060</v>
      </c>
      <c r="F213" s="18" t="s">
        <v>1061</v>
      </c>
      <c r="G213" s="18" t="s">
        <v>18</v>
      </c>
      <c r="H213" s="19" t="s">
        <v>19</v>
      </c>
      <c r="I213" s="20" t="s">
        <v>20</v>
      </c>
      <c r="J213" s="21"/>
      <c r="K213" s="21"/>
      <c r="L213" s="21"/>
      <c r="M213" s="21"/>
      <c r="N213" s="14"/>
      <c r="O213" s="14"/>
      <c r="P213" s="14"/>
      <c r="Q213" s="14"/>
    </row>
    <row r="214">
      <c r="A214" s="7">
        <v>2024.0</v>
      </c>
      <c r="B214" s="8" t="s">
        <v>1062</v>
      </c>
      <c r="C214" s="12" t="s">
        <v>1063</v>
      </c>
      <c r="D214" s="10" t="s">
        <v>41</v>
      </c>
      <c r="E214" s="17" t="s">
        <v>1064</v>
      </c>
      <c r="F214" s="18" t="s">
        <v>1065</v>
      </c>
      <c r="G214" s="18" t="s">
        <v>18</v>
      </c>
      <c r="H214" s="19" t="s">
        <v>19</v>
      </c>
      <c r="I214" s="20" t="s">
        <v>20</v>
      </c>
      <c r="J214" s="21"/>
      <c r="K214" s="21"/>
      <c r="L214" s="21"/>
      <c r="M214" s="21"/>
      <c r="N214" s="14"/>
      <c r="O214" s="14"/>
      <c r="P214" s="14"/>
      <c r="Q214" s="14"/>
    </row>
    <row r="215">
      <c r="A215" s="7">
        <v>2025.0</v>
      </c>
      <c r="B215" s="8" t="s">
        <v>1066</v>
      </c>
      <c r="C215" s="12" t="s">
        <v>1067</v>
      </c>
      <c r="D215" s="10" t="s">
        <v>1068</v>
      </c>
      <c r="E215" s="17" t="s">
        <v>1069</v>
      </c>
      <c r="F215" s="18" t="s">
        <v>1070</v>
      </c>
      <c r="G215" s="18" t="s">
        <v>18</v>
      </c>
      <c r="H215" s="19" t="s">
        <v>19</v>
      </c>
      <c r="I215" s="20" t="s">
        <v>20</v>
      </c>
      <c r="J215" s="21"/>
      <c r="K215" s="21"/>
      <c r="L215" s="21"/>
      <c r="M215" s="21"/>
      <c r="N215" s="14"/>
      <c r="O215" s="14"/>
      <c r="P215" s="14"/>
      <c r="Q215" s="14"/>
    </row>
    <row r="216">
      <c r="A216" s="7">
        <v>2025.0</v>
      </c>
      <c r="B216" s="8" t="s">
        <v>1071</v>
      </c>
      <c r="C216" s="12" t="s">
        <v>1072</v>
      </c>
      <c r="D216" s="10" t="s">
        <v>760</v>
      </c>
      <c r="E216" s="17" t="s">
        <v>1073</v>
      </c>
      <c r="F216" s="18" t="s">
        <v>1074</v>
      </c>
      <c r="G216" s="18" t="s">
        <v>18</v>
      </c>
      <c r="H216" s="19" t="s">
        <v>19</v>
      </c>
      <c r="I216" s="20" t="s">
        <v>20</v>
      </c>
      <c r="J216" s="21"/>
      <c r="K216" s="21"/>
      <c r="L216" s="21"/>
      <c r="M216" s="21"/>
      <c r="N216" s="14"/>
      <c r="O216" s="14"/>
      <c r="P216" s="14"/>
      <c r="Q216" s="14"/>
    </row>
    <row r="217">
      <c r="A217" s="7">
        <v>2025.0</v>
      </c>
      <c r="B217" s="8" t="s">
        <v>1075</v>
      </c>
      <c r="C217" s="12" t="s">
        <v>1076</v>
      </c>
      <c r="D217" s="10" t="s">
        <v>24</v>
      </c>
      <c r="E217" s="17" t="s">
        <v>1077</v>
      </c>
      <c r="F217" s="18" t="s">
        <v>1078</v>
      </c>
      <c r="G217" s="18" t="s">
        <v>18</v>
      </c>
      <c r="H217" s="19" t="s">
        <v>19</v>
      </c>
      <c r="I217" s="20" t="s">
        <v>20</v>
      </c>
      <c r="J217" s="21"/>
      <c r="K217" s="21"/>
      <c r="L217" s="21"/>
      <c r="M217" s="21"/>
      <c r="N217" s="14"/>
      <c r="O217" s="14"/>
      <c r="P217" s="14"/>
      <c r="Q217" s="14"/>
    </row>
    <row r="218">
      <c r="A218" s="7">
        <v>2022.0</v>
      </c>
      <c r="B218" s="8" t="s">
        <v>1079</v>
      </c>
      <c r="C218" s="12" t="s">
        <v>1080</v>
      </c>
      <c r="D218" s="10" t="s">
        <v>232</v>
      </c>
      <c r="E218" s="17" t="s">
        <v>1081</v>
      </c>
      <c r="F218" s="18" t="s">
        <v>1082</v>
      </c>
      <c r="G218" s="18" t="s">
        <v>18</v>
      </c>
      <c r="H218" s="19" t="s">
        <v>19</v>
      </c>
      <c r="I218" s="20" t="s">
        <v>20</v>
      </c>
      <c r="J218" s="21"/>
      <c r="K218" s="21"/>
      <c r="L218" s="21"/>
      <c r="M218" s="21"/>
      <c r="N218" s="14"/>
      <c r="O218" s="14"/>
      <c r="P218" s="14"/>
      <c r="Q218" s="14"/>
    </row>
    <row r="219">
      <c r="A219" s="7">
        <v>2024.0</v>
      </c>
      <c r="B219" s="8" t="s">
        <v>1083</v>
      </c>
      <c r="C219" s="12" t="s">
        <v>1084</v>
      </c>
      <c r="D219" s="10" t="s">
        <v>455</v>
      </c>
      <c r="E219" s="17" t="s">
        <v>1085</v>
      </c>
      <c r="F219" s="18" t="s">
        <v>1086</v>
      </c>
      <c r="G219" s="18" t="s">
        <v>18</v>
      </c>
      <c r="H219" s="19" t="s">
        <v>19</v>
      </c>
      <c r="I219" s="20" t="s">
        <v>20</v>
      </c>
      <c r="J219" s="21"/>
      <c r="K219" s="21"/>
      <c r="L219" s="21"/>
      <c r="M219" s="21"/>
      <c r="N219" s="14"/>
      <c r="O219" s="14"/>
      <c r="P219" s="14"/>
      <c r="Q219" s="14"/>
    </row>
    <row r="220">
      <c r="A220" s="7">
        <v>2020.0</v>
      </c>
      <c r="B220" s="8" t="s">
        <v>1087</v>
      </c>
      <c r="C220" s="12" t="s">
        <v>1088</v>
      </c>
      <c r="D220" s="10" t="s">
        <v>24</v>
      </c>
      <c r="E220" s="17" t="s">
        <v>1089</v>
      </c>
      <c r="F220" s="18" t="s">
        <v>1090</v>
      </c>
      <c r="G220" s="18" t="s">
        <v>18</v>
      </c>
      <c r="H220" s="19" t="s">
        <v>19</v>
      </c>
      <c r="I220" s="20" t="s">
        <v>20</v>
      </c>
      <c r="J220" s="21"/>
      <c r="K220" s="21"/>
      <c r="L220" s="21"/>
      <c r="M220" s="21"/>
      <c r="N220" s="14"/>
      <c r="O220" s="14"/>
      <c r="P220" s="14"/>
      <c r="Q220" s="14"/>
    </row>
    <row r="221">
      <c r="A221" s="7">
        <v>2015.0</v>
      </c>
      <c r="B221" s="8" t="s">
        <v>1091</v>
      </c>
      <c r="C221" s="12" t="s">
        <v>1092</v>
      </c>
      <c r="D221" s="10" t="s">
        <v>232</v>
      </c>
      <c r="E221" s="17" t="s">
        <v>1093</v>
      </c>
      <c r="F221" s="18" t="s">
        <v>1094</v>
      </c>
      <c r="G221" s="18" t="s">
        <v>18</v>
      </c>
      <c r="H221" s="19" t="s">
        <v>19</v>
      </c>
      <c r="I221" s="20" t="s">
        <v>20</v>
      </c>
      <c r="J221" s="21"/>
      <c r="K221" s="21"/>
      <c r="L221" s="21"/>
      <c r="M221" s="21"/>
      <c r="N221" s="14"/>
      <c r="O221" s="14"/>
      <c r="P221" s="14"/>
      <c r="Q221" s="14"/>
    </row>
    <row r="222">
      <c r="A222" s="7">
        <v>2021.0</v>
      </c>
      <c r="B222" s="8" t="s">
        <v>1095</v>
      </c>
      <c r="C222" s="12" t="s">
        <v>1096</v>
      </c>
      <c r="D222" s="10" t="s">
        <v>41</v>
      </c>
      <c r="E222" s="17" t="s">
        <v>1097</v>
      </c>
      <c r="F222" s="18" t="s">
        <v>1098</v>
      </c>
      <c r="G222" s="18" t="s">
        <v>18</v>
      </c>
      <c r="H222" s="19" t="s">
        <v>19</v>
      </c>
      <c r="I222" s="20" t="s">
        <v>20</v>
      </c>
      <c r="J222" s="21"/>
      <c r="K222" s="21"/>
      <c r="L222" s="21"/>
      <c r="M222" s="21"/>
      <c r="N222" s="14"/>
      <c r="O222" s="14"/>
      <c r="P222" s="14"/>
      <c r="Q222" s="14"/>
    </row>
    <row r="223">
      <c r="A223" s="7">
        <v>2024.0</v>
      </c>
      <c r="B223" s="8" t="s">
        <v>1099</v>
      </c>
      <c r="C223" s="12" t="s">
        <v>1100</v>
      </c>
      <c r="D223" s="10" t="s">
        <v>24</v>
      </c>
      <c r="E223" s="17" t="s">
        <v>1101</v>
      </c>
      <c r="F223" s="18" t="s">
        <v>1102</v>
      </c>
      <c r="G223" s="18" t="s">
        <v>18</v>
      </c>
      <c r="H223" s="19" t="s">
        <v>19</v>
      </c>
      <c r="I223" s="20" t="s">
        <v>20</v>
      </c>
      <c r="J223" s="21"/>
      <c r="K223" s="21"/>
      <c r="L223" s="21"/>
      <c r="M223" s="21"/>
      <c r="N223" s="14"/>
      <c r="O223" s="14"/>
      <c r="P223" s="14"/>
      <c r="Q223" s="14"/>
    </row>
    <row r="224">
      <c r="A224" s="7">
        <v>2023.0</v>
      </c>
      <c r="B224" s="8" t="s">
        <v>1103</v>
      </c>
      <c r="C224" s="12" t="s">
        <v>1104</v>
      </c>
      <c r="D224" s="10" t="s">
        <v>760</v>
      </c>
      <c r="E224" s="17" t="s">
        <v>1105</v>
      </c>
      <c r="F224" s="18" t="s">
        <v>1106</v>
      </c>
      <c r="G224" s="18" t="s">
        <v>18</v>
      </c>
      <c r="H224" s="19" t="s">
        <v>19</v>
      </c>
      <c r="I224" s="20" t="s">
        <v>20</v>
      </c>
      <c r="J224" s="21"/>
      <c r="K224" s="21"/>
      <c r="L224" s="21"/>
      <c r="M224" s="21"/>
      <c r="N224" s="14"/>
      <c r="O224" s="14"/>
      <c r="P224" s="14"/>
      <c r="Q224" s="14"/>
    </row>
    <row r="225">
      <c r="A225" s="7">
        <v>2020.0</v>
      </c>
      <c r="B225" s="8" t="s">
        <v>1107</v>
      </c>
      <c r="C225" s="12" t="s">
        <v>1108</v>
      </c>
      <c r="D225" s="10" t="s">
        <v>24</v>
      </c>
      <c r="E225" s="17" t="s">
        <v>1109</v>
      </c>
      <c r="F225" s="18" t="s">
        <v>1110</v>
      </c>
      <c r="G225" s="18" t="s">
        <v>18</v>
      </c>
      <c r="H225" s="19" t="s">
        <v>19</v>
      </c>
      <c r="I225" s="20" t="s">
        <v>20</v>
      </c>
      <c r="J225" s="21"/>
      <c r="K225" s="21"/>
      <c r="L225" s="21"/>
      <c r="M225" s="21"/>
      <c r="N225" s="14"/>
      <c r="O225" s="14"/>
      <c r="P225" s="14"/>
      <c r="Q225" s="14"/>
    </row>
    <row r="226">
      <c r="A226" s="7">
        <v>2022.0</v>
      </c>
      <c r="B226" s="8" t="s">
        <v>1111</v>
      </c>
      <c r="C226" s="12" t="s">
        <v>1112</v>
      </c>
      <c r="D226" s="10" t="s">
        <v>232</v>
      </c>
      <c r="E226" s="17" t="s">
        <v>1113</v>
      </c>
      <c r="F226" s="18" t="s">
        <v>1114</v>
      </c>
      <c r="G226" s="18" t="s">
        <v>18</v>
      </c>
      <c r="H226" s="19" t="s">
        <v>19</v>
      </c>
      <c r="I226" s="20" t="s">
        <v>20</v>
      </c>
      <c r="J226" s="21"/>
      <c r="K226" s="21"/>
      <c r="L226" s="21"/>
      <c r="M226" s="21"/>
      <c r="N226" s="14"/>
      <c r="O226" s="14"/>
      <c r="P226" s="14"/>
      <c r="Q226" s="14"/>
    </row>
    <row r="227">
      <c r="A227" s="7">
        <v>2022.0</v>
      </c>
      <c r="B227" s="8" t="s">
        <v>1115</v>
      </c>
      <c r="C227" s="12" t="s">
        <v>1116</v>
      </c>
      <c r="D227" s="10" t="s">
        <v>1117</v>
      </c>
      <c r="E227" s="17" t="s">
        <v>1118</v>
      </c>
      <c r="F227" s="18" t="s">
        <v>1119</v>
      </c>
      <c r="G227" s="18" t="s">
        <v>18</v>
      </c>
      <c r="H227" s="19" t="s">
        <v>19</v>
      </c>
      <c r="I227" s="20" t="s">
        <v>20</v>
      </c>
      <c r="J227" s="21"/>
      <c r="K227" s="21"/>
      <c r="L227" s="21"/>
      <c r="M227" s="21"/>
      <c r="N227" s="14"/>
      <c r="O227" s="14"/>
      <c r="P227" s="14"/>
      <c r="Q227" s="14"/>
    </row>
    <row r="228">
      <c r="A228" s="7">
        <v>2021.0</v>
      </c>
      <c r="B228" s="8" t="s">
        <v>1120</v>
      </c>
      <c r="C228" s="12" t="s">
        <v>1121</v>
      </c>
      <c r="D228" s="10" t="s">
        <v>760</v>
      </c>
      <c r="E228" s="17" t="s">
        <v>1122</v>
      </c>
      <c r="F228" s="18" t="s">
        <v>1123</v>
      </c>
      <c r="G228" s="18" t="s">
        <v>18</v>
      </c>
      <c r="H228" s="19" t="s">
        <v>19</v>
      </c>
      <c r="I228" s="20" t="s">
        <v>20</v>
      </c>
      <c r="J228" s="21"/>
      <c r="K228" s="21"/>
      <c r="L228" s="21"/>
      <c r="M228" s="21"/>
      <c r="N228" s="14"/>
      <c r="O228" s="14"/>
      <c r="P228" s="14"/>
      <c r="Q228" s="14"/>
    </row>
    <row r="229">
      <c r="A229" s="7">
        <v>2025.0</v>
      </c>
      <c r="B229" s="8" t="s">
        <v>1124</v>
      </c>
      <c r="C229" s="12" t="s">
        <v>1125</v>
      </c>
      <c r="D229" s="10" t="s">
        <v>1126</v>
      </c>
      <c r="E229" s="17" t="s">
        <v>1127</v>
      </c>
      <c r="F229" s="18" t="s">
        <v>1128</v>
      </c>
      <c r="G229" s="18" t="s">
        <v>18</v>
      </c>
      <c r="H229" s="19" t="s">
        <v>19</v>
      </c>
      <c r="I229" s="20" t="s">
        <v>20</v>
      </c>
      <c r="J229" s="21"/>
      <c r="K229" s="21"/>
      <c r="L229" s="21"/>
      <c r="M229" s="21"/>
      <c r="N229" s="14"/>
      <c r="O229" s="14"/>
      <c r="P229" s="14"/>
      <c r="Q229" s="14"/>
    </row>
    <row r="230">
      <c r="A230" s="7">
        <v>2017.0</v>
      </c>
      <c r="B230" s="8" t="s">
        <v>1129</v>
      </c>
      <c r="C230" s="12" t="s">
        <v>1130</v>
      </c>
      <c r="D230" s="10" t="s">
        <v>59</v>
      </c>
      <c r="E230" s="17" t="s">
        <v>1131</v>
      </c>
      <c r="F230" s="18" t="s">
        <v>1132</v>
      </c>
      <c r="G230" s="18" t="s">
        <v>18</v>
      </c>
      <c r="H230" s="19" t="s">
        <v>19</v>
      </c>
      <c r="I230" s="20" t="s">
        <v>20</v>
      </c>
      <c r="J230" s="21"/>
      <c r="K230" s="21"/>
      <c r="L230" s="21"/>
      <c r="M230" s="21"/>
      <c r="N230" s="14"/>
      <c r="O230" s="14"/>
      <c r="P230" s="14"/>
      <c r="Q230" s="14"/>
    </row>
    <row r="231">
      <c r="A231" s="7">
        <v>2022.0</v>
      </c>
      <c r="B231" s="8" t="s">
        <v>1133</v>
      </c>
      <c r="C231" s="12" t="s">
        <v>1134</v>
      </c>
      <c r="D231" s="10" t="s">
        <v>59</v>
      </c>
      <c r="E231" s="17" t="s">
        <v>1135</v>
      </c>
      <c r="F231" s="18" t="s">
        <v>1136</v>
      </c>
      <c r="G231" s="18" t="s">
        <v>18</v>
      </c>
      <c r="H231" s="19" t="s">
        <v>19</v>
      </c>
      <c r="I231" s="20" t="s">
        <v>20</v>
      </c>
      <c r="J231" s="21"/>
      <c r="K231" s="21"/>
      <c r="L231" s="21"/>
      <c r="M231" s="21"/>
      <c r="N231" s="14"/>
      <c r="O231" s="14"/>
      <c r="P231" s="14"/>
      <c r="Q231" s="14"/>
    </row>
    <row r="232">
      <c r="A232" s="7">
        <v>2022.0</v>
      </c>
      <c r="B232" s="8" t="s">
        <v>1137</v>
      </c>
      <c r="C232" s="12" t="s">
        <v>1138</v>
      </c>
      <c r="D232" s="10" t="s">
        <v>59</v>
      </c>
      <c r="E232" s="17" t="s">
        <v>1139</v>
      </c>
      <c r="F232" s="18" t="s">
        <v>1140</v>
      </c>
      <c r="G232" s="18" t="s">
        <v>18</v>
      </c>
      <c r="H232" s="19" t="s">
        <v>19</v>
      </c>
      <c r="I232" s="20" t="s">
        <v>20</v>
      </c>
      <c r="J232" s="21"/>
      <c r="K232" s="21"/>
      <c r="L232" s="21"/>
      <c r="M232" s="21"/>
      <c r="N232" s="14"/>
      <c r="O232" s="14"/>
      <c r="P232" s="14"/>
      <c r="Q232" s="14"/>
    </row>
    <row r="233">
      <c r="A233" s="7">
        <v>2025.0</v>
      </c>
      <c r="B233" s="8" t="s">
        <v>1141</v>
      </c>
      <c r="C233" s="12" t="s">
        <v>1142</v>
      </c>
      <c r="D233" s="10" t="s">
        <v>81</v>
      </c>
      <c r="E233" s="17" t="s">
        <v>1143</v>
      </c>
      <c r="F233" s="18" t="s">
        <v>1144</v>
      </c>
      <c r="G233" s="18" t="s">
        <v>18</v>
      </c>
      <c r="H233" s="19" t="s">
        <v>19</v>
      </c>
      <c r="I233" s="20" t="s">
        <v>20</v>
      </c>
      <c r="J233" s="21"/>
      <c r="K233" s="21"/>
      <c r="L233" s="21"/>
      <c r="M233" s="21"/>
      <c r="N233" s="14"/>
      <c r="O233" s="14"/>
      <c r="P233" s="14"/>
      <c r="Q233" s="14"/>
    </row>
    <row r="234">
      <c r="A234" s="7">
        <v>2018.0</v>
      </c>
      <c r="B234" s="8" t="s">
        <v>1145</v>
      </c>
      <c r="C234" s="12" t="s">
        <v>1146</v>
      </c>
      <c r="D234" s="10" t="s">
        <v>284</v>
      </c>
      <c r="E234" s="17" t="s">
        <v>1147</v>
      </c>
      <c r="F234" s="18" t="s">
        <v>1148</v>
      </c>
      <c r="G234" s="18" t="s">
        <v>18</v>
      </c>
      <c r="H234" s="19" t="s">
        <v>19</v>
      </c>
      <c r="I234" s="20" t="s">
        <v>20</v>
      </c>
      <c r="J234" s="21"/>
      <c r="K234" s="21"/>
      <c r="L234" s="21"/>
      <c r="M234" s="21"/>
      <c r="N234" s="14"/>
      <c r="O234" s="14"/>
      <c r="P234" s="14"/>
      <c r="Q234" s="14"/>
    </row>
    <row r="235">
      <c r="A235" s="7">
        <v>2024.0</v>
      </c>
      <c r="B235" s="8" t="s">
        <v>1149</v>
      </c>
      <c r="C235" s="12" t="s">
        <v>1150</v>
      </c>
      <c r="D235" s="10" t="s">
        <v>24</v>
      </c>
      <c r="E235" s="17" t="s">
        <v>1151</v>
      </c>
      <c r="F235" s="18" t="s">
        <v>1152</v>
      </c>
      <c r="G235" s="18" t="s">
        <v>18</v>
      </c>
      <c r="H235" s="19" t="s">
        <v>19</v>
      </c>
      <c r="I235" s="20" t="s">
        <v>20</v>
      </c>
      <c r="J235" s="21"/>
      <c r="K235" s="21"/>
      <c r="L235" s="21"/>
      <c r="M235" s="20" t="s">
        <v>1153</v>
      </c>
      <c r="N235" s="14"/>
      <c r="O235" s="14"/>
      <c r="P235" s="14"/>
      <c r="Q235" s="14"/>
    </row>
    <row r="236">
      <c r="A236" s="7">
        <v>2024.0</v>
      </c>
      <c r="B236" s="8" t="s">
        <v>1154</v>
      </c>
      <c r="C236" s="12" t="s">
        <v>1155</v>
      </c>
      <c r="D236" s="10" t="s">
        <v>760</v>
      </c>
      <c r="E236" s="17" t="s">
        <v>1156</v>
      </c>
      <c r="F236" s="18" t="s">
        <v>1157</v>
      </c>
      <c r="G236" s="18" t="s">
        <v>18</v>
      </c>
      <c r="H236" s="19" t="s">
        <v>19</v>
      </c>
      <c r="I236" s="20" t="s">
        <v>20</v>
      </c>
      <c r="J236" s="21"/>
      <c r="K236" s="21"/>
      <c r="L236" s="21"/>
      <c r="M236" s="20" t="s">
        <v>1158</v>
      </c>
      <c r="N236" s="13"/>
      <c r="O236" s="13"/>
      <c r="P236" s="14"/>
      <c r="Q236" s="14"/>
    </row>
    <row r="237">
      <c r="A237" s="7">
        <v>2022.0</v>
      </c>
      <c r="B237" s="8" t="s">
        <v>1159</v>
      </c>
      <c r="C237" s="12" t="s">
        <v>1160</v>
      </c>
      <c r="D237" s="10" t="s">
        <v>760</v>
      </c>
      <c r="E237" s="17" t="s">
        <v>1161</v>
      </c>
      <c r="F237" s="18" t="s">
        <v>1162</v>
      </c>
      <c r="G237" s="18" t="s">
        <v>18</v>
      </c>
      <c r="H237" s="19" t="s">
        <v>19</v>
      </c>
      <c r="I237" s="20" t="s">
        <v>20</v>
      </c>
      <c r="J237" s="21"/>
      <c r="K237" s="21"/>
      <c r="L237" s="21"/>
      <c r="M237" s="20" t="s">
        <v>1163</v>
      </c>
      <c r="N237" s="14"/>
      <c r="O237" s="14"/>
      <c r="P237" s="14"/>
      <c r="Q237" s="14"/>
    </row>
    <row r="238">
      <c r="A238" s="7">
        <v>2020.0</v>
      </c>
      <c r="B238" s="8" t="s">
        <v>1164</v>
      </c>
      <c r="C238" s="12" t="s">
        <v>1165</v>
      </c>
      <c r="D238" s="10" t="s">
        <v>59</v>
      </c>
      <c r="E238" s="17" t="s">
        <v>1166</v>
      </c>
      <c r="F238" s="18" t="s">
        <v>1167</v>
      </c>
      <c r="G238" s="18" t="s">
        <v>18</v>
      </c>
      <c r="H238" s="19" t="s">
        <v>19</v>
      </c>
      <c r="I238" s="20" t="s">
        <v>20</v>
      </c>
      <c r="J238" s="21"/>
      <c r="K238" s="21"/>
      <c r="L238" s="21"/>
      <c r="M238" s="20" t="s">
        <v>1168</v>
      </c>
      <c r="N238" s="14"/>
      <c r="O238" s="14"/>
      <c r="P238" s="14"/>
      <c r="Q238" s="14"/>
    </row>
    <row r="239">
      <c r="A239" s="7">
        <v>2020.0</v>
      </c>
      <c r="B239" s="8" t="s">
        <v>1169</v>
      </c>
      <c r="C239" s="12" t="s">
        <v>1170</v>
      </c>
      <c r="D239" s="10" t="s">
        <v>59</v>
      </c>
      <c r="E239" s="17" t="s">
        <v>1171</v>
      </c>
      <c r="F239" s="18" t="s">
        <v>1172</v>
      </c>
      <c r="G239" s="18" t="s">
        <v>18</v>
      </c>
      <c r="H239" s="19" t="s">
        <v>19</v>
      </c>
      <c r="I239" s="20" t="s">
        <v>20</v>
      </c>
      <c r="J239" s="21"/>
      <c r="K239" s="21"/>
      <c r="L239" s="21"/>
      <c r="M239" s="20" t="s">
        <v>1173</v>
      </c>
      <c r="N239" s="14"/>
      <c r="O239" s="14"/>
      <c r="P239" s="14"/>
      <c r="Q239" s="14"/>
    </row>
    <row r="240">
      <c r="A240" s="7">
        <v>2020.0</v>
      </c>
      <c r="B240" s="8" t="s">
        <v>1174</v>
      </c>
      <c r="C240" s="12" t="s">
        <v>1175</v>
      </c>
      <c r="D240" s="10" t="s">
        <v>24</v>
      </c>
      <c r="E240" s="17" t="s">
        <v>1176</v>
      </c>
      <c r="F240" s="18" t="s">
        <v>1177</v>
      </c>
      <c r="G240" s="18" t="s">
        <v>18</v>
      </c>
      <c r="H240" s="19" t="s">
        <v>19</v>
      </c>
      <c r="I240" s="20" t="s">
        <v>20</v>
      </c>
      <c r="J240" s="21"/>
      <c r="K240" s="21"/>
      <c r="L240" s="21"/>
      <c r="M240" s="20" t="s">
        <v>1178</v>
      </c>
      <c r="N240" s="14"/>
      <c r="O240" s="14"/>
      <c r="P240" s="14"/>
      <c r="Q240" s="14"/>
    </row>
    <row r="241">
      <c r="A241" s="7">
        <v>2023.0</v>
      </c>
      <c r="B241" s="8" t="s">
        <v>1179</v>
      </c>
      <c r="C241" s="12" t="s">
        <v>1180</v>
      </c>
      <c r="D241" s="10" t="s">
        <v>30</v>
      </c>
      <c r="E241" s="17" t="s">
        <v>1181</v>
      </c>
      <c r="F241" s="18" t="s">
        <v>1182</v>
      </c>
      <c r="G241" s="18" t="s">
        <v>18</v>
      </c>
      <c r="H241" s="19" t="s">
        <v>19</v>
      </c>
      <c r="I241" s="20" t="s">
        <v>20</v>
      </c>
      <c r="J241" s="21"/>
      <c r="K241" s="21"/>
      <c r="L241" s="21"/>
      <c r="M241" s="20" t="s">
        <v>1183</v>
      </c>
      <c r="N241" s="14"/>
      <c r="O241" s="14"/>
      <c r="P241" s="14"/>
      <c r="Q241" s="14"/>
    </row>
    <row r="242">
      <c r="A242" s="7">
        <v>2023.0</v>
      </c>
      <c r="B242" s="8" t="s">
        <v>1184</v>
      </c>
      <c r="C242" s="12" t="s">
        <v>1185</v>
      </c>
      <c r="D242" s="10" t="s">
        <v>760</v>
      </c>
      <c r="E242" s="17" t="s">
        <v>1186</v>
      </c>
      <c r="F242" s="18" t="s">
        <v>1187</v>
      </c>
      <c r="G242" s="18" t="s">
        <v>18</v>
      </c>
      <c r="H242" s="19" t="s">
        <v>19</v>
      </c>
      <c r="I242" s="20" t="s">
        <v>20</v>
      </c>
      <c r="J242" s="21"/>
      <c r="K242" s="21"/>
      <c r="L242" s="21"/>
      <c r="M242" s="20" t="s">
        <v>1188</v>
      </c>
      <c r="N242" s="14"/>
      <c r="O242" s="14"/>
      <c r="P242" s="14"/>
      <c r="Q242" s="14"/>
    </row>
    <row r="243">
      <c r="A243" s="7">
        <v>2021.0</v>
      </c>
      <c r="B243" s="8" t="s">
        <v>1189</v>
      </c>
      <c r="C243" s="12" t="s">
        <v>1190</v>
      </c>
      <c r="D243" s="10" t="s">
        <v>24</v>
      </c>
      <c r="E243" s="17" t="s">
        <v>1191</v>
      </c>
      <c r="F243" s="18" t="s">
        <v>1192</v>
      </c>
      <c r="G243" s="18" t="s">
        <v>18</v>
      </c>
      <c r="H243" s="19" t="s">
        <v>19</v>
      </c>
      <c r="I243" s="20" t="s">
        <v>1193</v>
      </c>
      <c r="J243" s="21"/>
      <c r="K243" s="21"/>
      <c r="L243" s="21"/>
      <c r="M243" s="21"/>
      <c r="N243" s="14"/>
      <c r="O243" s="14"/>
      <c r="P243" s="14"/>
      <c r="Q243" s="14"/>
    </row>
    <row r="244">
      <c r="A244" s="7">
        <v>2024.0</v>
      </c>
      <c r="B244" s="8" t="s">
        <v>1194</v>
      </c>
      <c r="C244" s="12" t="s">
        <v>1195</v>
      </c>
      <c r="D244" s="10" t="s">
        <v>133</v>
      </c>
      <c r="E244" s="17" t="s">
        <v>1196</v>
      </c>
      <c r="F244" s="18" t="s">
        <v>1197</v>
      </c>
      <c r="G244" s="18" t="s">
        <v>18</v>
      </c>
      <c r="H244" s="19" t="s">
        <v>19</v>
      </c>
      <c r="I244" s="20" t="s">
        <v>20</v>
      </c>
      <c r="J244" s="21"/>
      <c r="K244" s="21"/>
      <c r="L244" s="21"/>
      <c r="M244" s="20" t="s">
        <v>1198</v>
      </c>
      <c r="N244" s="14"/>
      <c r="O244" s="14"/>
      <c r="P244" s="14"/>
      <c r="Q244" s="14"/>
    </row>
    <row r="245">
      <c r="A245" s="7">
        <v>2023.0</v>
      </c>
      <c r="B245" s="8" t="s">
        <v>1199</v>
      </c>
      <c r="C245" s="12" t="s">
        <v>1200</v>
      </c>
      <c r="D245" s="10" t="s">
        <v>760</v>
      </c>
      <c r="E245" s="17" t="s">
        <v>1201</v>
      </c>
      <c r="F245" s="18" t="s">
        <v>1202</v>
      </c>
      <c r="G245" s="18" t="s">
        <v>18</v>
      </c>
      <c r="H245" s="19" t="s">
        <v>19</v>
      </c>
      <c r="I245" s="20" t="s">
        <v>20</v>
      </c>
      <c r="J245" s="21"/>
      <c r="K245" s="21"/>
      <c r="L245" s="21"/>
      <c r="M245" s="20" t="s">
        <v>1203</v>
      </c>
      <c r="N245" s="14"/>
      <c r="O245" s="14"/>
      <c r="P245" s="14"/>
      <c r="Q245" s="14"/>
    </row>
    <row r="246">
      <c r="A246" s="7">
        <v>2017.0</v>
      </c>
      <c r="B246" s="8" t="s">
        <v>1204</v>
      </c>
      <c r="C246" s="12" t="s">
        <v>1205</v>
      </c>
      <c r="D246" s="10" t="s">
        <v>59</v>
      </c>
      <c r="E246" s="17" t="s">
        <v>1206</v>
      </c>
      <c r="F246" s="18" t="s">
        <v>1207</v>
      </c>
      <c r="G246" s="18" t="s">
        <v>18</v>
      </c>
      <c r="H246" s="19" t="s">
        <v>19</v>
      </c>
      <c r="I246" s="20" t="s">
        <v>20</v>
      </c>
      <c r="J246" s="21"/>
      <c r="K246" s="21"/>
      <c r="L246" s="21"/>
      <c r="M246" s="20" t="s">
        <v>1208</v>
      </c>
      <c r="N246" s="14"/>
      <c r="O246" s="14"/>
      <c r="P246" s="14"/>
      <c r="Q246" s="14"/>
    </row>
    <row r="247">
      <c r="A247" s="7">
        <v>2023.0</v>
      </c>
      <c r="B247" s="8" t="s">
        <v>1209</v>
      </c>
      <c r="C247" s="12" t="s">
        <v>1210</v>
      </c>
      <c r="D247" s="10" t="s">
        <v>1211</v>
      </c>
      <c r="E247" s="17" t="s">
        <v>1212</v>
      </c>
      <c r="F247" s="18" t="s">
        <v>1213</v>
      </c>
      <c r="G247" s="18" t="s">
        <v>18</v>
      </c>
      <c r="H247" s="19" t="s">
        <v>19</v>
      </c>
      <c r="I247" s="20" t="s">
        <v>20</v>
      </c>
      <c r="J247" s="21"/>
      <c r="K247" s="21"/>
      <c r="L247" s="21"/>
      <c r="M247" s="20" t="s">
        <v>1214</v>
      </c>
      <c r="N247" s="14"/>
      <c r="O247" s="14"/>
      <c r="P247" s="14"/>
      <c r="Q247" s="14"/>
    </row>
    <row r="248">
      <c r="A248" s="7">
        <v>2019.0</v>
      </c>
      <c r="B248" s="8" t="s">
        <v>1215</v>
      </c>
      <c r="C248" s="12" t="s">
        <v>1216</v>
      </c>
      <c r="D248" s="10" t="s">
        <v>24</v>
      </c>
      <c r="E248" s="17" t="s">
        <v>1217</v>
      </c>
      <c r="F248" s="18" t="s">
        <v>1218</v>
      </c>
      <c r="G248" s="18" t="s">
        <v>18</v>
      </c>
      <c r="H248" s="19" t="s">
        <v>19</v>
      </c>
      <c r="I248" s="20" t="s">
        <v>20</v>
      </c>
      <c r="J248" s="21"/>
      <c r="K248" s="21"/>
      <c r="L248" s="21"/>
      <c r="M248" s="20" t="s">
        <v>1219</v>
      </c>
      <c r="N248" s="14"/>
      <c r="O248" s="14"/>
      <c r="P248" s="14"/>
      <c r="Q248" s="14"/>
    </row>
    <row r="249">
      <c r="A249" s="7">
        <v>2018.0</v>
      </c>
      <c r="B249" s="8" t="s">
        <v>1220</v>
      </c>
      <c r="C249" s="12" t="s">
        <v>1221</v>
      </c>
      <c r="D249" s="10" t="s">
        <v>232</v>
      </c>
      <c r="E249" s="17" t="s">
        <v>1222</v>
      </c>
      <c r="F249" s="18" t="s">
        <v>1223</v>
      </c>
      <c r="G249" s="18" t="s">
        <v>18</v>
      </c>
      <c r="H249" s="19" t="s">
        <v>19</v>
      </c>
      <c r="I249" s="20" t="s">
        <v>20</v>
      </c>
      <c r="J249" s="21"/>
      <c r="K249" s="21"/>
      <c r="L249" s="21"/>
      <c r="M249" s="20" t="s">
        <v>1224</v>
      </c>
      <c r="N249" s="14"/>
      <c r="O249" s="14"/>
      <c r="P249" s="14"/>
      <c r="Q249" s="14"/>
    </row>
    <row r="250">
      <c r="A250" s="7">
        <v>2018.0</v>
      </c>
      <c r="B250" s="8" t="s">
        <v>1225</v>
      </c>
      <c r="C250" s="12" t="s">
        <v>1226</v>
      </c>
      <c r="D250" s="10" t="s">
        <v>59</v>
      </c>
      <c r="E250" s="17" t="s">
        <v>1227</v>
      </c>
      <c r="F250" s="18" t="s">
        <v>1228</v>
      </c>
      <c r="G250" s="18" t="s">
        <v>18</v>
      </c>
      <c r="H250" s="19" t="s">
        <v>19</v>
      </c>
      <c r="I250" s="20" t="s">
        <v>20</v>
      </c>
      <c r="J250" s="21"/>
      <c r="K250" s="21"/>
      <c r="L250" s="21"/>
      <c r="M250" s="20" t="s">
        <v>1229</v>
      </c>
      <c r="N250" s="14"/>
      <c r="O250" s="14"/>
      <c r="P250" s="14"/>
      <c r="Q250" s="14"/>
    </row>
    <row r="251">
      <c r="A251" s="7">
        <v>2023.0</v>
      </c>
      <c r="B251" s="8" t="s">
        <v>1230</v>
      </c>
      <c r="C251" s="12" t="s">
        <v>1231</v>
      </c>
      <c r="D251" s="10" t="s">
        <v>59</v>
      </c>
      <c r="E251" s="17" t="s">
        <v>1232</v>
      </c>
      <c r="F251" s="18" t="s">
        <v>1233</v>
      </c>
      <c r="G251" s="18" t="s">
        <v>18</v>
      </c>
      <c r="H251" s="19" t="s">
        <v>19</v>
      </c>
      <c r="I251" s="20" t="s">
        <v>27</v>
      </c>
      <c r="J251" s="21"/>
      <c r="K251" s="21"/>
      <c r="L251" s="21"/>
      <c r="M251" s="21"/>
      <c r="N251" s="14"/>
      <c r="O251" s="14"/>
      <c r="P251" s="14"/>
      <c r="Q251" s="14"/>
    </row>
    <row r="252">
      <c r="A252" s="7">
        <v>2017.0</v>
      </c>
      <c r="B252" s="8" t="s">
        <v>1234</v>
      </c>
      <c r="C252" s="12" t="s">
        <v>1235</v>
      </c>
      <c r="D252" s="10" t="s">
        <v>30</v>
      </c>
      <c r="E252" s="17" t="s">
        <v>1236</v>
      </c>
      <c r="F252" s="18" t="s">
        <v>1237</v>
      </c>
      <c r="G252" s="18" t="s">
        <v>18</v>
      </c>
      <c r="H252" s="19" t="s">
        <v>19</v>
      </c>
      <c r="I252" s="20" t="s">
        <v>20</v>
      </c>
      <c r="J252" s="21"/>
      <c r="K252" s="21"/>
      <c r="L252" s="21"/>
      <c r="M252" s="20" t="s">
        <v>1238</v>
      </c>
      <c r="N252" s="14"/>
      <c r="O252" s="14"/>
      <c r="P252" s="14"/>
      <c r="Q252" s="14"/>
    </row>
    <row r="253">
      <c r="A253" s="7">
        <v>2019.0</v>
      </c>
      <c r="B253" s="8" t="s">
        <v>1239</v>
      </c>
      <c r="C253" s="12" t="s">
        <v>1240</v>
      </c>
      <c r="D253" s="10" t="s">
        <v>455</v>
      </c>
      <c r="E253" s="17" t="s">
        <v>1241</v>
      </c>
      <c r="F253" s="18" t="s">
        <v>1242</v>
      </c>
      <c r="G253" s="18" t="s">
        <v>18</v>
      </c>
      <c r="H253" s="19" t="s">
        <v>19</v>
      </c>
      <c r="I253" s="20" t="s">
        <v>20</v>
      </c>
      <c r="J253" s="21"/>
      <c r="K253" s="21"/>
      <c r="L253" s="21"/>
      <c r="M253" s="20" t="s">
        <v>1243</v>
      </c>
      <c r="N253" s="14"/>
      <c r="O253" s="14"/>
      <c r="P253" s="14"/>
      <c r="Q253" s="14"/>
    </row>
    <row r="254">
      <c r="A254" s="7">
        <v>2024.0</v>
      </c>
      <c r="B254" s="8" t="s">
        <v>1244</v>
      </c>
      <c r="C254" s="12" t="s">
        <v>1245</v>
      </c>
      <c r="D254" s="10" t="s">
        <v>481</v>
      </c>
      <c r="E254" s="17" t="s">
        <v>1246</v>
      </c>
      <c r="F254" s="18" t="s">
        <v>1247</v>
      </c>
      <c r="G254" s="18" t="s">
        <v>18</v>
      </c>
      <c r="H254" s="19" t="s">
        <v>19</v>
      </c>
      <c r="I254" s="20" t="s">
        <v>20</v>
      </c>
      <c r="J254" s="21"/>
      <c r="K254" s="21"/>
      <c r="L254" s="21"/>
      <c r="M254" s="20" t="s">
        <v>1248</v>
      </c>
      <c r="N254" s="14"/>
      <c r="O254" s="14"/>
      <c r="P254" s="14"/>
      <c r="Q254" s="14"/>
    </row>
    <row r="255">
      <c r="A255" s="7">
        <v>2011.0</v>
      </c>
      <c r="B255" s="8" t="s">
        <v>1249</v>
      </c>
      <c r="C255" s="12" t="s">
        <v>1250</v>
      </c>
      <c r="D255" s="10" t="s">
        <v>455</v>
      </c>
      <c r="E255" s="17" t="s">
        <v>1251</v>
      </c>
      <c r="F255" s="18" t="s">
        <v>1252</v>
      </c>
      <c r="G255" s="18" t="s">
        <v>18</v>
      </c>
      <c r="H255" s="19" t="s">
        <v>19</v>
      </c>
      <c r="I255" s="20" t="s">
        <v>20</v>
      </c>
      <c r="J255" s="21"/>
      <c r="K255" s="21"/>
      <c r="L255" s="21"/>
      <c r="M255" s="20" t="s">
        <v>1253</v>
      </c>
      <c r="N255" s="14"/>
      <c r="O255" s="14"/>
      <c r="P255" s="14"/>
      <c r="Q255" s="14"/>
    </row>
    <row r="256">
      <c r="A256" s="7">
        <v>2021.0</v>
      </c>
      <c r="B256" s="8" t="s">
        <v>1254</v>
      </c>
      <c r="C256" s="12" t="s">
        <v>1255</v>
      </c>
      <c r="D256" s="10" t="s">
        <v>1256</v>
      </c>
      <c r="E256" s="17" t="s">
        <v>1257</v>
      </c>
      <c r="F256" s="18" t="s">
        <v>1258</v>
      </c>
      <c r="G256" s="18" t="s">
        <v>18</v>
      </c>
      <c r="H256" s="19" t="s">
        <v>19</v>
      </c>
      <c r="I256" s="20" t="s">
        <v>20</v>
      </c>
      <c r="J256" s="21"/>
      <c r="K256" s="21"/>
      <c r="L256" s="21"/>
      <c r="M256" s="20" t="s">
        <v>1259</v>
      </c>
      <c r="N256" s="14"/>
      <c r="O256" s="14"/>
      <c r="P256" s="14"/>
      <c r="Q256" s="14"/>
    </row>
    <row r="257">
      <c r="A257" s="7">
        <v>2025.0</v>
      </c>
      <c r="B257" s="8" t="s">
        <v>1260</v>
      </c>
      <c r="C257" s="12" t="s">
        <v>1261</v>
      </c>
      <c r="D257" s="10" t="s">
        <v>232</v>
      </c>
      <c r="E257" s="17" t="s">
        <v>1262</v>
      </c>
      <c r="F257" s="18" t="s">
        <v>1263</v>
      </c>
      <c r="G257" s="18" t="s">
        <v>18</v>
      </c>
      <c r="H257" s="19" t="s">
        <v>19</v>
      </c>
      <c r="I257" s="20" t="s">
        <v>20</v>
      </c>
      <c r="J257" s="21"/>
      <c r="K257" s="21"/>
      <c r="L257" s="21"/>
      <c r="M257" s="20" t="s">
        <v>1264</v>
      </c>
      <c r="N257" s="14"/>
      <c r="O257" s="14"/>
      <c r="P257" s="14"/>
      <c r="Q257" s="14"/>
    </row>
    <row r="258">
      <c r="A258" s="7">
        <v>2023.0</v>
      </c>
      <c r="B258" s="8" t="s">
        <v>1265</v>
      </c>
      <c r="C258" s="12" t="s">
        <v>1266</v>
      </c>
      <c r="D258" s="10" t="s">
        <v>1267</v>
      </c>
      <c r="E258" s="19" t="s">
        <v>1268</v>
      </c>
      <c r="F258" s="18" t="s">
        <v>1269</v>
      </c>
      <c r="G258" s="18" t="s">
        <v>1270</v>
      </c>
      <c r="H258" s="19" t="s">
        <v>19</v>
      </c>
      <c r="I258" s="20" t="s">
        <v>27</v>
      </c>
      <c r="J258" s="21"/>
      <c r="K258" s="21"/>
      <c r="L258" s="21"/>
      <c r="M258" s="20"/>
      <c r="N258" s="14"/>
      <c r="O258" s="14"/>
      <c r="P258" s="14"/>
      <c r="Q258" s="14"/>
    </row>
    <row r="259">
      <c r="A259" s="7">
        <v>2021.0</v>
      </c>
      <c r="B259" s="8" t="s">
        <v>1271</v>
      </c>
      <c r="C259" s="12" t="s">
        <v>1272</v>
      </c>
      <c r="D259" s="10" t="s">
        <v>1273</v>
      </c>
      <c r="E259" s="18" t="s">
        <v>1274</v>
      </c>
      <c r="F259" s="18" t="s">
        <v>1275</v>
      </c>
      <c r="G259" s="18" t="s">
        <v>1270</v>
      </c>
      <c r="H259" s="19" t="s">
        <v>19</v>
      </c>
      <c r="I259" s="20" t="s">
        <v>27</v>
      </c>
      <c r="J259" s="21"/>
      <c r="K259" s="21"/>
      <c r="L259" s="21"/>
      <c r="M259" s="21"/>
      <c r="N259" s="14"/>
      <c r="O259" s="14"/>
      <c r="P259" s="14"/>
      <c r="Q259" s="14"/>
    </row>
    <row r="260">
      <c r="A260" s="7">
        <v>2024.0</v>
      </c>
      <c r="B260" s="8" t="s">
        <v>1276</v>
      </c>
      <c r="C260" s="12" t="s">
        <v>1277</v>
      </c>
      <c r="D260" s="10" t="s">
        <v>1273</v>
      </c>
      <c r="E260" s="18" t="s">
        <v>1278</v>
      </c>
      <c r="F260" s="18" t="s">
        <v>1279</v>
      </c>
      <c r="G260" s="18" t="s">
        <v>1270</v>
      </c>
      <c r="H260" s="19" t="s">
        <v>19</v>
      </c>
      <c r="I260" s="20" t="s">
        <v>1193</v>
      </c>
      <c r="J260" s="21"/>
      <c r="K260" s="21"/>
      <c r="L260" s="21"/>
      <c r="M260" s="20" t="s">
        <v>1280</v>
      </c>
      <c r="N260" s="14"/>
      <c r="O260" s="14"/>
      <c r="P260" s="14"/>
      <c r="Q260" s="14"/>
    </row>
    <row r="261">
      <c r="A261" s="7">
        <v>2016.0</v>
      </c>
      <c r="B261" s="8" t="s">
        <v>1281</v>
      </c>
      <c r="C261" s="12" t="s">
        <v>1282</v>
      </c>
      <c r="D261" s="10" t="s">
        <v>1283</v>
      </c>
      <c r="E261" s="18" t="s">
        <v>1284</v>
      </c>
      <c r="F261" s="18" t="s">
        <v>1285</v>
      </c>
      <c r="G261" s="18" t="s">
        <v>1270</v>
      </c>
      <c r="H261" s="19" t="s">
        <v>19</v>
      </c>
      <c r="I261" s="20" t="s">
        <v>20</v>
      </c>
      <c r="J261" s="21"/>
      <c r="K261" s="21"/>
      <c r="L261" s="21"/>
      <c r="M261" s="20" t="s">
        <v>1286</v>
      </c>
      <c r="N261" s="14"/>
      <c r="O261" s="14"/>
      <c r="P261" s="14"/>
      <c r="Q261" s="14"/>
    </row>
    <row r="262">
      <c r="A262" s="7">
        <v>2020.0</v>
      </c>
      <c r="B262" s="8" t="s">
        <v>1287</v>
      </c>
      <c r="C262" s="12" t="s">
        <v>1288</v>
      </c>
      <c r="D262" s="10" t="s">
        <v>1273</v>
      </c>
      <c r="E262" s="18" t="s">
        <v>1289</v>
      </c>
      <c r="F262" s="18" t="s">
        <v>1290</v>
      </c>
      <c r="G262" s="18" t="s">
        <v>1270</v>
      </c>
      <c r="H262" s="19" t="s">
        <v>19</v>
      </c>
      <c r="I262" s="20" t="s">
        <v>20</v>
      </c>
      <c r="J262" s="21"/>
      <c r="K262" s="21"/>
      <c r="L262" s="21"/>
      <c r="M262" s="20" t="s">
        <v>1291</v>
      </c>
      <c r="N262" s="14"/>
      <c r="O262" s="14"/>
      <c r="P262" s="14"/>
      <c r="Q262" s="14"/>
    </row>
    <row r="263">
      <c r="A263" s="7">
        <v>2024.0</v>
      </c>
      <c r="B263" s="8" t="s">
        <v>1292</v>
      </c>
      <c r="C263" s="12" t="s">
        <v>1293</v>
      </c>
      <c r="D263" s="10" t="s">
        <v>1294</v>
      </c>
      <c r="E263" s="18" t="s">
        <v>1295</v>
      </c>
      <c r="F263" s="18" t="s">
        <v>1296</v>
      </c>
      <c r="G263" s="18" t="s">
        <v>1270</v>
      </c>
      <c r="H263" s="19" t="s">
        <v>19</v>
      </c>
      <c r="I263" s="20" t="s">
        <v>20</v>
      </c>
      <c r="J263" s="21"/>
      <c r="K263" s="21"/>
      <c r="L263" s="21"/>
      <c r="M263" s="20" t="s">
        <v>1297</v>
      </c>
      <c r="N263" s="14"/>
      <c r="O263" s="14"/>
      <c r="P263" s="14"/>
      <c r="Q263" s="14"/>
    </row>
    <row r="264">
      <c r="A264" s="7">
        <v>2022.0</v>
      </c>
      <c r="B264" s="8" t="s">
        <v>1298</v>
      </c>
      <c r="C264" s="12" t="s">
        <v>1299</v>
      </c>
      <c r="D264" s="10" t="s">
        <v>1300</v>
      </c>
      <c r="E264" s="18" t="s">
        <v>1301</v>
      </c>
      <c r="F264" s="18" t="s">
        <v>1302</v>
      </c>
      <c r="G264" s="18" t="s">
        <v>1270</v>
      </c>
      <c r="H264" s="19" t="s">
        <v>19</v>
      </c>
      <c r="I264" s="20" t="s">
        <v>20</v>
      </c>
      <c r="J264" s="21"/>
      <c r="K264" s="21"/>
      <c r="L264" s="21"/>
      <c r="M264" s="20" t="s">
        <v>1303</v>
      </c>
      <c r="N264" s="14"/>
      <c r="O264" s="14"/>
      <c r="P264" s="14"/>
      <c r="Q264" s="14"/>
    </row>
    <row r="265">
      <c r="A265" s="7">
        <v>2024.0</v>
      </c>
      <c r="B265" s="8" t="s">
        <v>1304</v>
      </c>
      <c r="C265" s="12" t="s">
        <v>1305</v>
      </c>
      <c r="D265" s="10" t="s">
        <v>1306</v>
      </c>
      <c r="E265" s="18" t="s">
        <v>1307</v>
      </c>
      <c r="F265" s="18" t="s">
        <v>1308</v>
      </c>
      <c r="G265" s="18" t="s">
        <v>1270</v>
      </c>
      <c r="H265" s="19" t="s">
        <v>67</v>
      </c>
      <c r="I265" s="20" t="s">
        <v>20</v>
      </c>
      <c r="J265" s="21"/>
      <c r="K265" s="21"/>
      <c r="L265" s="21"/>
      <c r="M265" s="20" t="s">
        <v>1309</v>
      </c>
      <c r="N265" s="14"/>
      <c r="O265" s="14"/>
      <c r="P265" s="14"/>
      <c r="Q265" s="14"/>
    </row>
    <row r="266">
      <c r="A266" s="7">
        <v>2021.0</v>
      </c>
      <c r="B266" s="8" t="s">
        <v>489</v>
      </c>
      <c r="C266" s="12" t="s">
        <v>490</v>
      </c>
      <c r="D266" s="10" t="s">
        <v>232</v>
      </c>
      <c r="E266" s="18" t="s">
        <v>1310</v>
      </c>
      <c r="F266" s="18" t="s">
        <v>1311</v>
      </c>
      <c r="G266" s="18" t="s">
        <v>1270</v>
      </c>
      <c r="H266" s="19" t="s">
        <v>19</v>
      </c>
      <c r="I266" s="20" t="s">
        <v>20</v>
      </c>
      <c r="J266" s="21"/>
      <c r="K266" s="21"/>
      <c r="L266" s="21"/>
      <c r="M266" s="20" t="s">
        <v>1312</v>
      </c>
      <c r="N266" s="14"/>
      <c r="O266" s="14"/>
      <c r="P266" s="14"/>
      <c r="Q266" s="14"/>
    </row>
    <row r="267">
      <c r="A267" s="7">
        <v>2024.0</v>
      </c>
      <c r="B267" s="8" t="s">
        <v>1313</v>
      </c>
      <c r="C267" s="12" t="s">
        <v>1314</v>
      </c>
      <c r="D267" s="10" t="s">
        <v>1315</v>
      </c>
      <c r="E267" s="18" t="s">
        <v>1316</v>
      </c>
      <c r="F267" s="18" t="s">
        <v>1317</v>
      </c>
      <c r="G267" s="18" t="s">
        <v>1270</v>
      </c>
      <c r="H267" s="19" t="s">
        <v>19</v>
      </c>
      <c r="I267" s="20" t="s">
        <v>20</v>
      </c>
      <c r="J267" s="21"/>
      <c r="K267" s="21"/>
      <c r="L267" s="21"/>
      <c r="M267" s="20" t="s">
        <v>1318</v>
      </c>
      <c r="N267" s="14"/>
      <c r="O267" s="14"/>
      <c r="P267" s="14"/>
      <c r="Q267" s="14"/>
    </row>
    <row r="268">
      <c r="A268" s="7">
        <v>2024.0</v>
      </c>
      <c r="B268" s="8" t="s">
        <v>1319</v>
      </c>
      <c r="C268" s="12" t="s">
        <v>1320</v>
      </c>
      <c r="D268" s="10" t="s">
        <v>1321</v>
      </c>
      <c r="E268" s="18" t="s">
        <v>1322</v>
      </c>
      <c r="F268" s="18" t="s">
        <v>1323</v>
      </c>
      <c r="G268" s="18" t="s">
        <v>1270</v>
      </c>
      <c r="H268" s="19" t="s">
        <v>19</v>
      </c>
      <c r="I268" s="20" t="s">
        <v>1193</v>
      </c>
      <c r="J268" s="21"/>
      <c r="K268" s="21"/>
      <c r="L268" s="21"/>
      <c r="M268" s="20" t="s">
        <v>1324</v>
      </c>
      <c r="N268" s="14"/>
      <c r="O268" s="14"/>
      <c r="P268" s="14"/>
      <c r="Q268" s="14"/>
    </row>
    <row r="269">
      <c r="A269" s="7">
        <v>2023.0</v>
      </c>
      <c r="B269" s="8" t="s">
        <v>1325</v>
      </c>
      <c r="C269" s="12" t="s">
        <v>1326</v>
      </c>
      <c r="D269" s="10" t="s">
        <v>1327</v>
      </c>
      <c r="E269" s="18" t="s">
        <v>1328</v>
      </c>
      <c r="F269" s="18" t="s">
        <v>1329</v>
      </c>
      <c r="G269" s="18" t="s">
        <v>1270</v>
      </c>
      <c r="H269" s="19" t="s">
        <v>19</v>
      </c>
      <c r="I269" s="20" t="s">
        <v>27</v>
      </c>
      <c r="J269" s="21"/>
      <c r="K269" s="21"/>
      <c r="L269" s="21"/>
      <c r="M269" s="21"/>
      <c r="N269" s="14"/>
      <c r="O269" s="14"/>
      <c r="P269" s="14"/>
      <c r="Q269" s="14"/>
    </row>
    <row r="270">
      <c r="A270" s="7">
        <v>2022.0</v>
      </c>
      <c r="B270" s="8" t="s">
        <v>1330</v>
      </c>
      <c r="C270" s="12" t="s">
        <v>1331</v>
      </c>
      <c r="D270" s="10" t="s">
        <v>1332</v>
      </c>
      <c r="E270" s="18" t="s">
        <v>1333</v>
      </c>
      <c r="F270" s="18" t="s">
        <v>1334</v>
      </c>
      <c r="G270" s="18" t="s">
        <v>1270</v>
      </c>
      <c r="H270" s="19" t="s">
        <v>67</v>
      </c>
      <c r="I270" s="20" t="s">
        <v>20</v>
      </c>
      <c r="J270" s="21"/>
      <c r="K270" s="21"/>
      <c r="L270" s="21"/>
      <c r="M270" s="20" t="s">
        <v>1335</v>
      </c>
      <c r="N270" s="14"/>
      <c r="O270" s="14"/>
      <c r="P270" s="14"/>
      <c r="Q270" s="14"/>
    </row>
    <row r="271">
      <c r="A271" s="7">
        <v>2024.0</v>
      </c>
      <c r="B271" s="8" t="s">
        <v>1336</v>
      </c>
      <c r="C271" s="12" t="s">
        <v>1337</v>
      </c>
      <c r="D271" s="10" t="s">
        <v>1338</v>
      </c>
      <c r="E271" s="18" t="s">
        <v>1339</v>
      </c>
      <c r="F271" s="18" t="s">
        <v>1340</v>
      </c>
      <c r="G271" s="18" t="s">
        <v>1270</v>
      </c>
      <c r="H271" s="19" t="s">
        <v>19</v>
      </c>
      <c r="I271" s="20" t="s">
        <v>1193</v>
      </c>
      <c r="J271" s="21"/>
      <c r="K271" s="21"/>
      <c r="L271" s="21"/>
      <c r="M271" s="20" t="s">
        <v>1341</v>
      </c>
      <c r="N271" s="14"/>
      <c r="O271" s="14"/>
      <c r="P271" s="14"/>
      <c r="Q271" s="14"/>
    </row>
    <row r="272">
      <c r="A272" s="7">
        <v>2023.0</v>
      </c>
      <c r="B272" s="8" t="s">
        <v>1342</v>
      </c>
      <c r="C272" s="12" t="s">
        <v>508</v>
      </c>
      <c r="D272" s="10" t="s">
        <v>232</v>
      </c>
      <c r="E272" s="18" t="s">
        <v>1343</v>
      </c>
      <c r="F272" s="18" t="s">
        <v>1344</v>
      </c>
      <c r="G272" s="18" t="s">
        <v>1270</v>
      </c>
      <c r="H272" s="19" t="s">
        <v>19</v>
      </c>
      <c r="I272" s="20" t="s">
        <v>20</v>
      </c>
      <c r="J272" s="21"/>
      <c r="K272" s="21"/>
      <c r="L272" s="21"/>
      <c r="M272" s="20" t="s">
        <v>1345</v>
      </c>
      <c r="N272" s="14"/>
      <c r="O272" s="14"/>
      <c r="P272" s="14"/>
      <c r="Q272" s="14"/>
    </row>
    <row r="273">
      <c r="A273" s="23">
        <v>2019.0</v>
      </c>
      <c r="B273" s="24" t="s">
        <v>1346</v>
      </c>
      <c r="C273" s="25" t="s">
        <v>1347</v>
      </c>
      <c r="D273" s="26" t="s">
        <v>112</v>
      </c>
      <c r="E273" s="27"/>
      <c r="F273" s="27"/>
      <c r="G273" s="28" t="s">
        <v>1348</v>
      </c>
      <c r="H273" s="25" t="s">
        <v>67</v>
      </c>
      <c r="I273" s="29" t="s">
        <v>27</v>
      </c>
      <c r="J273" s="30"/>
      <c r="K273" s="30"/>
      <c r="L273" s="30"/>
      <c r="M273" s="30"/>
      <c r="N273" s="30"/>
      <c r="O273" s="14"/>
      <c r="P273" s="14"/>
      <c r="Q273" s="14"/>
    </row>
    <row r="274">
      <c r="A274" s="7">
        <v>2025.0</v>
      </c>
      <c r="B274" s="8" t="s">
        <v>1349</v>
      </c>
      <c r="C274" s="12" t="s">
        <v>1350</v>
      </c>
      <c r="D274" s="10" t="s">
        <v>1351</v>
      </c>
      <c r="E274" s="18" t="s">
        <v>1352</v>
      </c>
      <c r="F274" s="18" t="s">
        <v>1353</v>
      </c>
      <c r="G274" s="18" t="s">
        <v>1270</v>
      </c>
      <c r="H274" s="19" t="s">
        <v>19</v>
      </c>
      <c r="I274" s="20" t="s">
        <v>27</v>
      </c>
      <c r="J274" s="21"/>
      <c r="K274" s="21"/>
      <c r="L274" s="21"/>
      <c r="M274" s="21"/>
      <c r="N274" s="14"/>
      <c r="O274" s="14"/>
      <c r="P274" s="14"/>
      <c r="Q274" s="14"/>
    </row>
    <row r="275">
      <c r="A275" s="7">
        <v>2005.0</v>
      </c>
      <c r="B275" s="8" t="s">
        <v>1354</v>
      </c>
      <c r="C275" s="12" t="s">
        <v>1355</v>
      </c>
      <c r="D275" s="10" t="s">
        <v>1356</v>
      </c>
      <c r="E275" s="18" t="s">
        <v>1357</v>
      </c>
      <c r="F275" s="18" t="s">
        <v>1358</v>
      </c>
      <c r="G275" s="18" t="s">
        <v>1270</v>
      </c>
      <c r="H275" s="19" t="s">
        <v>19</v>
      </c>
      <c r="I275" s="20" t="s">
        <v>1193</v>
      </c>
      <c r="J275" s="21"/>
      <c r="K275" s="21"/>
      <c r="L275" s="21"/>
      <c r="M275" s="20" t="s">
        <v>1359</v>
      </c>
      <c r="N275" s="14"/>
      <c r="O275" s="14"/>
      <c r="P275" s="14"/>
      <c r="Q275" s="14"/>
    </row>
    <row r="276">
      <c r="A276" s="7">
        <v>2025.0</v>
      </c>
      <c r="B276" s="8" t="s">
        <v>1360</v>
      </c>
      <c r="C276" s="12" t="s">
        <v>1361</v>
      </c>
      <c r="D276" s="10" t="s">
        <v>1362</v>
      </c>
      <c r="E276" s="18" t="s">
        <v>1363</v>
      </c>
      <c r="F276" s="18" t="s">
        <v>1364</v>
      </c>
      <c r="G276" s="18" t="s">
        <v>1270</v>
      </c>
      <c r="H276" s="19" t="s">
        <v>19</v>
      </c>
      <c r="I276" s="20" t="s">
        <v>20</v>
      </c>
      <c r="J276" s="21"/>
      <c r="K276" s="21"/>
      <c r="L276" s="21"/>
      <c r="M276" s="20" t="s">
        <v>1365</v>
      </c>
      <c r="N276" s="14"/>
      <c r="O276" s="14"/>
      <c r="P276" s="14"/>
      <c r="Q276" s="14"/>
    </row>
    <row r="277">
      <c r="A277" s="7">
        <v>2025.0</v>
      </c>
      <c r="B277" s="8" t="s">
        <v>1366</v>
      </c>
      <c r="C277" s="12" t="s">
        <v>1367</v>
      </c>
      <c r="D277" s="10" t="s">
        <v>1300</v>
      </c>
      <c r="E277" s="18" t="s">
        <v>1368</v>
      </c>
      <c r="F277" s="18" t="s">
        <v>1369</v>
      </c>
      <c r="G277" s="18" t="s">
        <v>1270</v>
      </c>
      <c r="H277" s="19" t="s">
        <v>19</v>
      </c>
      <c r="I277" s="20" t="s">
        <v>20</v>
      </c>
      <c r="J277" s="21"/>
      <c r="K277" s="21"/>
      <c r="L277" s="21"/>
      <c r="M277" s="20" t="s">
        <v>1370</v>
      </c>
      <c r="N277" s="14"/>
      <c r="O277" s="14"/>
      <c r="P277" s="14"/>
      <c r="Q277" s="14"/>
    </row>
    <row r="278">
      <c r="A278" s="7">
        <v>2020.0</v>
      </c>
      <c r="B278" s="8" t="s">
        <v>1371</v>
      </c>
      <c r="C278" s="12" t="s">
        <v>1372</v>
      </c>
      <c r="D278" s="10" t="s">
        <v>1373</v>
      </c>
      <c r="E278" s="18" t="s">
        <v>1374</v>
      </c>
      <c r="F278" s="18" t="s">
        <v>1375</v>
      </c>
      <c r="G278" s="18" t="s">
        <v>1270</v>
      </c>
      <c r="H278" s="19" t="s">
        <v>19</v>
      </c>
      <c r="I278" s="20" t="s">
        <v>20</v>
      </c>
      <c r="J278" s="21"/>
      <c r="K278" s="21"/>
      <c r="L278" s="21"/>
      <c r="M278" s="20" t="s">
        <v>1376</v>
      </c>
      <c r="N278" s="14"/>
      <c r="O278" s="14"/>
      <c r="P278" s="14"/>
      <c r="Q278" s="14"/>
    </row>
    <row r="279">
      <c r="A279" s="7">
        <v>2014.0</v>
      </c>
      <c r="B279" s="8" t="s">
        <v>1377</v>
      </c>
      <c r="C279" s="12" t="s">
        <v>1378</v>
      </c>
      <c r="D279" s="10" t="s">
        <v>1283</v>
      </c>
      <c r="E279" s="18" t="s">
        <v>1379</v>
      </c>
      <c r="F279" s="18" t="s">
        <v>1380</v>
      </c>
      <c r="G279" s="18" t="s">
        <v>1270</v>
      </c>
      <c r="H279" s="19" t="s">
        <v>19</v>
      </c>
      <c r="I279" s="20" t="s">
        <v>20</v>
      </c>
      <c r="J279" s="21"/>
      <c r="K279" s="21"/>
      <c r="L279" s="21"/>
      <c r="M279" s="20" t="s">
        <v>1381</v>
      </c>
      <c r="N279" s="14"/>
      <c r="O279" s="14"/>
      <c r="P279" s="14"/>
      <c r="Q279" s="14"/>
    </row>
    <row r="280">
      <c r="A280" s="7">
        <v>2011.0</v>
      </c>
      <c r="B280" s="8" t="s">
        <v>1382</v>
      </c>
      <c r="C280" s="12" t="s">
        <v>1383</v>
      </c>
      <c r="D280" s="10" t="s">
        <v>1384</v>
      </c>
      <c r="E280" s="18" t="s">
        <v>1385</v>
      </c>
      <c r="F280" s="18" t="s">
        <v>1386</v>
      </c>
      <c r="G280" s="18" t="s">
        <v>1270</v>
      </c>
      <c r="H280" s="19" t="s">
        <v>19</v>
      </c>
      <c r="I280" s="20" t="s">
        <v>20</v>
      </c>
      <c r="J280" s="21"/>
      <c r="K280" s="21"/>
      <c r="L280" s="21"/>
      <c r="M280" s="20" t="s">
        <v>1387</v>
      </c>
      <c r="N280" s="14"/>
      <c r="O280" s="14"/>
      <c r="P280" s="14"/>
      <c r="Q280" s="14"/>
    </row>
    <row r="281">
      <c r="A281" s="7">
        <v>2019.0</v>
      </c>
      <c r="B281" s="8" t="s">
        <v>1388</v>
      </c>
      <c r="C281" s="12" t="s">
        <v>1389</v>
      </c>
      <c r="D281" s="10" t="s">
        <v>1390</v>
      </c>
      <c r="E281" s="18" t="s">
        <v>1391</v>
      </c>
      <c r="F281" s="18" t="s">
        <v>1392</v>
      </c>
      <c r="G281" s="18" t="s">
        <v>1270</v>
      </c>
      <c r="H281" s="19" t="s">
        <v>19</v>
      </c>
      <c r="I281" s="20" t="s">
        <v>1193</v>
      </c>
      <c r="J281" s="21"/>
      <c r="K281" s="21"/>
      <c r="L281" s="21"/>
      <c r="M281" s="20" t="s">
        <v>1393</v>
      </c>
      <c r="N281" s="14"/>
      <c r="O281" s="14"/>
      <c r="P281" s="14"/>
      <c r="Q281" s="14"/>
    </row>
    <row r="282">
      <c r="A282" s="7">
        <v>2025.0</v>
      </c>
      <c r="B282" s="8" t="s">
        <v>1394</v>
      </c>
      <c r="C282" s="12" t="s">
        <v>1395</v>
      </c>
      <c r="D282" s="10" t="s">
        <v>1327</v>
      </c>
      <c r="E282" s="18" t="s">
        <v>1396</v>
      </c>
      <c r="F282" s="18" t="s">
        <v>1397</v>
      </c>
      <c r="G282" s="18" t="s">
        <v>1270</v>
      </c>
      <c r="H282" s="19" t="s">
        <v>19</v>
      </c>
      <c r="I282" s="20" t="s">
        <v>27</v>
      </c>
      <c r="J282" s="21"/>
      <c r="K282" s="21"/>
      <c r="L282" s="21"/>
      <c r="M282" s="21"/>
      <c r="N282" s="14"/>
      <c r="O282" s="14"/>
      <c r="P282" s="14"/>
      <c r="Q282" s="14"/>
    </row>
    <row r="283">
      <c r="A283" s="7">
        <v>2014.0</v>
      </c>
      <c r="B283" s="8" t="s">
        <v>1398</v>
      </c>
      <c r="C283" s="12" t="s">
        <v>1399</v>
      </c>
      <c r="D283" s="10" t="s">
        <v>1283</v>
      </c>
      <c r="E283" s="18" t="s">
        <v>1400</v>
      </c>
      <c r="F283" s="18" t="s">
        <v>1401</v>
      </c>
      <c r="G283" s="18" t="s">
        <v>1270</v>
      </c>
      <c r="H283" s="19" t="s">
        <v>19</v>
      </c>
      <c r="I283" s="20" t="s">
        <v>20</v>
      </c>
      <c r="J283" s="21"/>
      <c r="K283" s="21"/>
      <c r="L283" s="21"/>
      <c r="M283" s="20" t="s">
        <v>1387</v>
      </c>
      <c r="N283" s="14"/>
      <c r="O283" s="14"/>
      <c r="P283" s="14"/>
      <c r="Q283" s="14"/>
    </row>
    <row r="284">
      <c r="A284" s="7">
        <v>2008.0</v>
      </c>
      <c r="B284" s="8" t="s">
        <v>1402</v>
      </c>
      <c r="C284" s="12" t="s">
        <v>1403</v>
      </c>
      <c r="D284" s="10" t="s">
        <v>1404</v>
      </c>
      <c r="E284" s="18" t="s">
        <v>1405</v>
      </c>
      <c r="F284" s="18" t="s">
        <v>1406</v>
      </c>
      <c r="G284" s="18" t="s">
        <v>1270</v>
      </c>
      <c r="H284" s="19" t="s">
        <v>19</v>
      </c>
      <c r="I284" s="20" t="s">
        <v>20</v>
      </c>
      <c r="J284" s="21"/>
      <c r="K284" s="21"/>
      <c r="L284" s="21"/>
      <c r="M284" s="20" t="s">
        <v>1407</v>
      </c>
      <c r="N284" s="14"/>
      <c r="O284" s="14"/>
      <c r="P284" s="14"/>
      <c r="Q284" s="14"/>
    </row>
    <row r="285">
      <c r="A285" s="7">
        <v>2021.0</v>
      </c>
      <c r="B285" s="8" t="s">
        <v>1408</v>
      </c>
      <c r="C285" s="12" t="s">
        <v>1409</v>
      </c>
      <c r="D285" s="10" t="s">
        <v>1410</v>
      </c>
      <c r="E285" s="18" t="s">
        <v>1411</v>
      </c>
      <c r="F285" s="18" t="s">
        <v>1412</v>
      </c>
      <c r="G285" s="18" t="s">
        <v>1270</v>
      </c>
      <c r="H285" s="19" t="s">
        <v>19</v>
      </c>
      <c r="I285" s="20" t="s">
        <v>1193</v>
      </c>
      <c r="J285" s="21"/>
      <c r="K285" s="21"/>
      <c r="L285" s="21"/>
      <c r="M285" s="20" t="s">
        <v>1413</v>
      </c>
      <c r="N285" s="14"/>
      <c r="O285" s="14"/>
      <c r="P285" s="14"/>
      <c r="Q285" s="14"/>
    </row>
    <row r="286">
      <c r="A286" s="7">
        <v>2023.0</v>
      </c>
      <c r="B286" s="8" t="s">
        <v>1414</v>
      </c>
      <c r="C286" s="12" t="s">
        <v>1415</v>
      </c>
      <c r="D286" s="10" t="s">
        <v>1416</v>
      </c>
      <c r="E286" s="18" t="s">
        <v>1417</v>
      </c>
      <c r="F286" s="18" t="s">
        <v>1418</v>
      </c>
      <c r="G286" s="18" t="s">
        <v>1270</v>
      </c>
      <c r="H286" s="19" t="s">
        <v>19</v>
      </c>
      <c r="I286" s="20" t="s">
        <v>1193</v>
      </c>
      <c r="J286" s="21"/>
      <c r="K286" s="21"/>
      <c r="L286" s="21"/>
      <c r="M286" s="20" t="s">
        <v>1419</v>
      </c>
      <c r="N286" s="14"/>
      <c r="O286" s="14"/>
      <c r="P286" s="14"/>
      <c r="Q286" s="14"/>
    </row>
    <row r="287">
      <c r="A287" s="7">
        <v>2023.0</v>
      </c>
      <c r="B287" s="8" t="s">
        <v>1420</v>
      </c>
      <c r="C287" s="12" t="s">
        <v>1421</v>
      </c>
      <c r="D287" s="10" t="s">
        <v>1422</v>
      </c>
      <c r="E287" s="18" t="s">
        <v>1423</v>
      </c>
      <c r="F287" s="18" t="s">
        <v>1424</v>
      </c>
      <c r="G287" s="18" t="s">
        <v>1270</v>
      </c>
      <c r="H287" s="19" t="s">
        <v>19</v>
      </c>
      <c r="I287" s="20" t="s">
        <v>1193</v>
      </c>
      <c r="J287" s="21"/>
      <c r="K287" s="21"/>
      <c r="L287" s="21"/>
      <c r="M287" s="20" t="s">
        <v>1425</v>
      </c>
      <c r="N287" s="14"/>
      <c r="O287" s="14"/>
      <c r="P287" s="14"/>
      <c r="Q287" s="14"/>
    </row>
    <row r="288">
      <c r="A288" s="31">
        <v>2020.0</v>
      </c>
      <c r="B288" s="32" t="s">
        <v>1426</v>
      </c>
      <c r="C288" s="33" t="s">
        <v>1427</v>
      </c>
      <c r="D288" s="34" t="s">
        <v>24</v>
      </c>
      <c r="E288" s="33" t="s">
        <v>1428</v>
      </c>
      <c r="F288" s="33" t="s">
        <v>1429</v>
      </c>
      <c r="G288" s="33" t="s">
        <v>1270</v>
      </c>
      <c r="H288" s="35" t="s">
        <v>67</v>
      </c>
      <c r="I288" s="36" t="s">
        <v>27</v>
      </c>
      <c r="J288" s="37"/>
      <c r="K288" s="37"/>
      <c r="L288" s="37"/>
      <c r="M288" s="37"/>
      <c r="N288" s="37"/>
      <c r="O288" s="14"/>
      <c r="P288" s="14"/>
      <c r="Q288" s="14"/>
    </row>
    <row r="289">
      <c r="A289" s="7">
        <v>2021.0</v>
      </c>
      <c r="B289" s="8" t="s">
        <v>1430</v>
      </c>
      <c r="C289" s="12" t="s">
        <v>1431</v>
      </c>
      <c r="D289" s="10" t="s">
        <v>1024</v>
      </c>
      <c r="E289" s="18" t="s">
        <v>1432</v>
      </c>
      <c r="F289" s="18" t="s">
        <v>1433</v>
      </c>
      <c r="G289" s="18" t="s">
        <v>1270</v>
      </c>
      <c r="H289" s="19" t="s">
        <v>19</v>
      </c>
      <c r="I289" s="20" t="s">
        <v>20</v>
      </c>
      <c r="J289" s="21"/>
      <c r="K289" s="21"/>
      <c r="L289" s="21"/>
      <c r="M289" s="20" t="s">
        <v>1434</v>
      </c>
      <c r="N289" s="14"/>
      <c r="O289" s="14"/>
      <c r="P289" s="14"/>
      <c r="Q289" s="14"/>
    </row>
    <row r="290">
      <c r="A290" s="7">
        <v>2014.0</v>
      </c>
      <c r="B290" s="8" t="s">
        <v>1435</v>
      </c>
      <c r="C290" s="12" t="s">
        <v>1436</v>
      </c>
      <c r="D290" s="10" t="s">
        <v>1283</v>
      </c>
      <c r="E290" s="18" t="s">
        <v>1437</v>
      </c>
      <c r="F290" s="18" t="s">
        <v>1438</v>
      </c>
      <c r="G290" s="18" t="s">
        <v>1270</v>
      </c>
      <c r="H290" s="19" t="s">
        <v>19</v>
      </c>
      <c r="I290" s="20" t="s">
        <v>1193</v>
      </c>
      <c r="J290" s="21"/>
      <c r="K290" s="21"/>
      <c r="L290" s="21"/>
      <c r="M290" s="20" t="s">
        <v>1439</v>
      </c>
      <c r="N290" s="14"/>
      <c r="O290" s="14"/>
      <c r="P290" s="14"/>
      <c r="Q290" s="14"/>
    </row>
    <row r="291">
      <c r="A291" s="7">
        <v>2017.0</v>
      </c>
      <c r="B291" s="8" t="s">
        <v>1440</v>
      </c>
      <c r="C291" s="12" t="s">
        <v>1441</v>
      </c>
      <c r="D291" s="10" t="s">
        <v>1273</v>
      </c>
      <c r="E291" s="18" t="s">
        <v>1442</v>
      </c>
      <c r="F291" s="18" t="s">
        <v>1443</v>
      </c>
      <c r="G291" s="18" t="s">
        <v>1270</v>
      </c>
      <c r="H291" s="19" t="s">
        <v>19</v>
      </c>
      <c r="I291" s="20" t="s">
        <v>27</v>
      </c>
      <c r="J291" s="21"/>
      <c r="K291" s="21"/>
      <c r="L291" s="21"/>
      <c r="M291" s="21"/>
      <c r="N291" s="14"/>
      <c r="O291" s="14"/>
      <c r="P291" s="14"/>
      <c r="Q291" s="14"/>
    </row>
    <row r="292">
      <c r="A292" s="7">
        <v>2025.0</v>
      </c>
      <c r="B292" s="8" t="s">
        <v>1444</v>
      </c>
      <c r="C292" s="12" t="s">
        <v>1445</v>
      </c>
      <c r="D292" s="10" t="s">
        <v>1446</v>
      </c>
      <c r="E292" s="18" t="s">
        <v>1447</v>
      </c>
      <c r="F292" s="18" t="s">
        <v>1448</v>
      </c>
      <c r="G292" s="18" t="s">
        <v>1270</v>
      </c>
      <c r="H292" s="19" t="s">
        <v>19</v>
      </c>
      <c r="I292" s="20" t="s">
        <v>1193</v>
      </c>
      <c r="J292" s="21"/>
      <c r="K292" s="21"/>
      <c r="L292" s="21"/>
      <c r="M292" s="20" t="s">
        <v>1449</v>
      </c>
      <c r="N292" s="14"/>
      <c r="O292" s="14"/>
      <c r="P292" s="14"/>
      <c r="Q292" s="14"/>
    </row>
    <row r="293">
      <c r="A293" s="7">
        <v>2011.0</v>
      </c>
      <c r="B293" s="8" t="s">
        <v>1450</v>
      </c>
      <c r="C293" s="12" t="s">
        <v>1451</v>
      </c>
      <c r="D293" s="10" t="s">
        <v>1452</v>
      </c>
      <c r="E293" s="18" t="s">
        <v>1453</v>
      </c>
      <c r="F293" s="18" t="s">
        <v>1454</v>
      </c>
      <c r="G293" s="18" t="s">
        <v>1270</v>
      </c>
      <c r="H293" s="19" t="s">
        <v>19</v>
      </c>
      <c r="I293" s="20" t="s">
        <v>20</v>
      </c>
      <c r="J293" s="21"/>
      <c r="K293" s="21"/>
      <c r="L293" s="21"/>
      <c r="M293" s="20" t="s">
        <v>1455</v>
      </c>
      <c r="N293" s="14"/>
      <c r="O293" s="14"/>
      <c r="P293" s="14"/>
      <c r="Q293" s="14"/>
    </row>
    <row r="294">
      <c r="A294" s="7">
        <v>2024.0</v>
      </c>
      <c r="B294" s="8" t="s">
        <v>1456</v>
      </c>
      <c r="C294" s="12" t="s">
        <v>1457</v>
      </c>
      <c r="D294" s="10" t="s">
        <v>1458</v>
      </c>
      <c r="E294" s="18" t="s">
        <v>1459</v>
      </c>
      <c r="F294" s="18" t="s">
        <v>1460</v>
      </c>
      <c r="G294" s="18" t="s">
        <v>1270</v>
      </c>
      <c r="H294" s="19" t="s">
        <v>19</v>
      </c>
      <c r="I294" s="20" t="s">
        <v>20</v>
      </c>
      <c r="J294" s="21"/>
      <c r="K294" s="21"/>
      <c r="L294" s="21"/>
      <c r="M294" s="20" t="s">
        <v>1461</v>
      </c>
      <c r="N294" s="14"/>
      <c r="O294" s="14"/>
      <c r="P294" s="14"/>
      <c r="Q294" s="14"/>
    </row>
    <row r="295">
      <c r="A295" s="7">
        <v>2019.0</v>
      </c>
      <c r="B295" s="8" t="s">
        <v>1462</v>
      </c>
      <c r="C295" s="12" t="s">
        <v>1463</v>
      </c>
      <c r="D295" s="10" t="s">
        <v>1327</v>
      </c>
      <c r="E295" s="18" t="s">
        <v>1464</v>
      </c>
      <c r="F295" s="18" t="s">
        <v>1465</v>
      </c>
      <c r="G295" s="18" t="s">
        <v>1270</v>
      </c>
      <c r="H295" s="19" t="s">
        <v>19</v>
      </c>
      <c r="I295" s="20" t="s">
        <v>1193</v>
      </c>
      <c r="J295" s="21"/>
      <c r="K295" s="21"/>
      <c r="L295" s="21"/>
      <c r="M295" s="20" t="s">
        <v>1466</v>
      </c>
      <c r="N295" s="14"/>
      <c r="O295" s="14"/>
      <c r="P295" s="14"/>
      <c r="Q295" s="14"/>
    </row>
    <row r="296">
      <c r="A296" s="7">
        <v>2012.0</v>
      </c>
      <c r="B296" s="8" t="s">
        <v>1467</v>
      </c>
      <c r="C296" s="12" t="s">
        <v>1468</v>
      </c>
      <c r="D296" s="10" t="s">
        <v>1332</v>
      </c>
      <c r="E296" s="18" t="s">
        <v>1469</v>
      </c>
      <c r="F296" s="18" t="s">
        <v>1470</v>
      </c>
      <c r="G296" s="18" t="s">
        <v>1270</v>
      </c>
      <c r="H296" s="19" t="s">
        <v>19</v>
      </c>
      <c r="I296" s="20" t="s">
        <v>20</v>
      </c>
      <c r="J296" s="21"/>
      <c r="K296" s="21"/>
      <c r="L296" s="21"/>
      <c r="M296" s="20" t="s">
        <v>1471</v>
      </c>
      <c r="N296" s="14"/>
      <c r="O296" s="14"/>
      <c r="P296" s="14"/>
      <c r="Q296" s="14"/>
    </row>
    <row r="297">
      <c r="A297" s="7">
        <v>2015.0</v>
      </c>
      <c r="B297" s="8" t="s">
        <v>1472</v>
      </c>
      <c r="C297" s="12" t="s">
        <v>1473</v>
      </c>
      <c r="D297" s="10" t="s">
        <v>1474</v>
      </c>
      <c r="E297" s="18" t="s">
        <v>1475</v>
      </c>
      <c r="F297" s="18" t="s">
        <v>1476</v>
      </c>
      <c r="G297" s="18" t="s">
        <v>1270</v>
      </c>
      <c r="H297" s="19" t="s">
        <v>19</v>
      </c>
      <c r="I297" s="20" t="s">
        <v>1193</v>
      </c>
      <c r="J297" s="21"/>
      <c r="K297" s="21"/>
      <c r="L297" s="21"/>
      <c r="M297" s="20" t="s">
        <v>1477</v>
      </c>
      <c r="N297" s="14"/>
      <c r="O297" s="14"/>
      <c r="P297" s="14"/>
      <c r="Q297" s="14"/>
    </row>
    <row r="298">
      <c r="A298" s="7">
        <v>2018.0</v>
      </c>
      <c r="B298" s="8" t="s">
        <v>1478</v>
      </c>
      <c r="C298" s="12" t="s">
        <v>1479</v>
      </c>
      <c r="D298" s="10" t="s">
        <v>1480</v>
      </c>
      <c r="E298" s="18" t="s">
        <v>1481</v>
      </c>
      <c r="F298" s="18" t="s">
        <v>1482</v>
      </c>
      <c r="G298" s="18" t="s">
        <v>1270</v>
      </c>
      <c r="H298" s="19" t="s">
        <v>19</v>
      </c>
      <c r="I298" s="20" t="s">
        <v>1193</v>
      </c>
      <c r="J298" s="21"/>
      <c r="K298" s="21"/>
      <c r="L298" s="21"/>
      <c r="M298" s="20" t="s">
        <v>1466</v>
      </c>
      <c r="N298" s="14"/>
      <c r="O298" s="14"/>
      <c r="P298" s="14"/>
      <c r="Q298" s="14"/>
    </row>
    <row r="299">
      <c r="A299" s="7">
        <v>2016.0</v>
      </c>
      <c r="B299" s="8" t="s">
        <v>1483</v>
      </c>
      <c r="C299" s="12" t="s">
        <v>1484</v>
      </c>
      <c r="D299" s="10" t="s">
        <v>1485</v>
      </c>
      <c r="E299" s="18" t="s">
        <v>1486</v>
      </c>
      <c r="F299" s="18" t="s">
        <v>1487</v>
      </c>
      <c r="G299" s="18" t="s">
        <v>1270</v>
      </c>
      <c r="H299" s="19" t="s">
        <v>19</v>
      </c>
      <c r="I299" s="20" t="s">
        <v>1193</v>
      </c>
      <c r="J299" s="21"/>
      <c r="K299" s="21"/>
      <c r="L299" s="21"/>
      <c r="M299" s="20" t="s">
        <v>1488</v>
      </c>
      <c r="N299" s="13" t="s">
        <v>1489</v>
      </c>
      <c r="O299" s="14"/>
      <c r="P299" s="14"/>
      <c r="Q299" s="14"/>
    </row>
    <row r="300">
      <c r="A300" s="7">
        <v>2024.0</v>
      </c>
      <c r="B300" s="8" t="s">
        <v>1490</v>
      </c>
      <c r="C300" s="12" t="s">
        <v>1491</v>
      </c>
      <c r="D300" s="10" t="s">
        <v>1492</v>
      </c>
      <c r="E300" s="18" t="s">
        <v>1493</v>
      </c>
      <c r="F300" s="18" t="s">
        <v>1494</v>
      </c>
      <c r="G300" s="18" t="s">
        <v>1270</v>
      </c>
      <c r="H300" s="19" t="s">
        <v>19</v>
      </c>
      <c r="I300" s="20" t="s">
        <v>20</v>
      </c>
      <c r="J300" s="21"/>
      <c r="K300" s="21"/>
      <c r="L300" s="21"/>
      <c r="M300" s="20" t="s">
        <v>1495</v>
      </c>
      <c r="N300" s="14"/>
      <c r="O300" s="14"/>
      <c r="P300" s="14"/>
      <c r="Q300" s="14"/>
    </row>
    <row r="301">
      <c r="A301" s="7">
        <v>2017.0</v>
      </c>
      <c r="B301" s="8" t="s">
        <v>1496</v>
      </c>
      <c r="C301" s="12" t="s">
        <v>1497</v>
      </c>
      <c r="D301" s="10" t="s">
        <v>1474</v>
      </c>
      <c r="E301" s="18" t="s">
        <v>1498</v>
      </c>
      <c r="F301" s="19" t="s">
        <v>1499</v>
      </c>
      <c r="G301" s="18" t="s">
        <v>1270</v>
      </c>
      <c r="H301" s="19" t="s">
        <v>19</v>
      </c>
      <c r="I301" s="20" t="s">
        <v>1193</v>
      </c>
      <c r="J301" s="21"/>
      <c r="K301" s="21"/>
      <c r="L301" s="21"/>
      <c r="M301" s="20" t="s">
        <v>1500</v>
      </c>
      <c r="N301" s="14"/>
      <c r="O301" s="14"/>
      <c r="P301" s="14"/>
      <c r="Q301" s="14"/>
    </row>
    <row r="302">
      <c r="A302" s="7">
        <v>2024.0</v>
      </c>
      <c r="B302" s="8" t="s">
        <v>1501</v>
      </c>
      <c r="C302" s="12" t="s">
        <v>1502</v>
      </c>
      <c r="D302" s="10" t="s">
        <v>1492</v>
      </c>
      <c r="E302" s="18" t="s">
        <v>1503</v>
      </c>
      <c r="F302" s="18" t="s">
        <v>1504</v>
      </c>
      <c r="G302" s="18" t="s">
        <v>1270</v>
      </c>
      <c r="H302" s="19" t="s">
        <v>19</v>
      </c>
      <c r="I302" s="20" t="s">
        <v>20</v>
      </c>
      <c r="J302" s="21"/>
      <c r="K302" s="21"/>
      <c r="L302" s="21"/>
      <c r="M302" s="20" t="s">
        <v>1505</v>
      </c>
      <c r="N302" s="14"/>
      <c r="O302" s="14"/>
      <c r="P302" s="14"/>
      <c r="Q302" s="14"/>
    </row>
    <row r="303">
      <c r="A303" s="7">
        <v>2019.0</v>
      </c>
      <c r="B303" s="8" t="s">
        <v>1506</v>
      </c>
      <c r="C303" s="12" t="s">
        <v>1507</v>
      </c>
      <c r="D303" s="10" t="s">
        <v>1508</v>
      </c>
      <c r="E303" s="18" t="s">
        <v>1509</v>
      </c>
      <c r="F303" s="18" t="s">
        <v>1510</v>
      </c>
      <c r="G303" s="18" t="s">
        <v>1270</v>
      </c>
      <c r="H303" s="19" t="s">
        <v>19</v>
      </c>
      <c r="I303" s="20" t="s">
        <v>20</v>
      </c>
      <c r="J303" s="21"/>
      <c r="K303" s="21"/>
      <c r="L303" s="21"/>
      <c r="M303" s="20" t="s">
        <v>1511</v>
      </c>
      <c r="N303" s="14"/>
      <c r="O303" s="14"/>
      <c r="P303" s="14"/>
      <c r="Q303" s="14"/>
    </row>
    <row r="304">
      <c r="A304" s="7">
        <v>2025.0</v>
      </c>
      <c r="B304" s="8" t="s">
        <v>1512</v>
      </c>
      <c r="C304" s="12" t="s">
        <v>1513</v>
      </c>
      <c r="D304" s="10" t="s">
        <v>1373</v>
      </c>
      <c r="E304" s="18" t="s">
        <v>1514</v>
      </c>
      <c r="F304" s="18" t="s">
        <v>1515</v>
      </c>
      <c r="G304" s="18" t="s">
        <v>1270</v>
      </c>
      <c r="H304" s="19" t="s">
        <v>19</v>
      </c>
      <c r="I304" s="20" t="s">
        <v>1193</v>
      </c>
      <c r="J304" s="21"/>
      <c r="K304" s="21"/>
      <c r="L304" s="21"/>
      <c r="M304" s="20" t="s">
        <v>1516</v>
      </c>
      <c r="N304" s="14"/>
      <c r="O304" s="14"/>
      <c r="P304" s="14"/>
      <c r="Q304" s="14"/>
    </row>
    <row r="305">
      <c r="A305" s="7">
        <v>2019.0</v>
      </c>
      <c r="B305" s="8" t="s">
        <v>1517</v>
      </c>
      <c r="C305" s="12" t="s">
        <v>1518</v>
      </c>
      <c r="D305" s="10" t="s">
        <v>1373</v>
      </c>
      <c r="E305" s="18" t="s">
        <v>1519</v>
      </c>
      <c r="F305" s="18" t="s">
        <v>1520</v>
      </c>
      <c r="G305" s="18" t="s">
        <v>1270</v>
      </c>
      <c r="H305" s="19" t="s">
        <v>19</v>
      </c>
      <c r="I305" s="20" t="s">
        <v>1193</v>
      </c>
      <c r="J305" s="21"/>
      <c r="K305" s="21"/>
      <c r="L305" s="21"/>
      <c r="M305" s="20" t="s">
        <v>1521</v>
      </c>
      <c r="N305" s="14"/>
      <c r="O305" s="14"/>
      <c r="P305" s="14"/>
      <c r="Q305" s="14"/>
    </row>
    <row r="306">
      <c r="A306" s="7">
        <v>2024.0</v>
      </c>
      <c r="B306" s="8" t="s">
        <v>1522</v>
      </c>
      <c r="C306" s="12" t="s">
        <v>1523</v>
      </c>
      <c r="D306" s="10" t="s">
        <v>1524</v>
      </c>
      <c r="E306" s="18" t="s">
        <v>1525</v>
      </c>
      <c r="F306" s="18" t="s">
        <v>1526</v>
      </c>
      <c r="G306" s="18" t="s">
        <v>1270</v>
      </c>
      <c r="H306" s="19" t="s">
        <v>19</v>
      </c>
      <c r="I306" s="20" t="s">
        <v>20</v>
      </c>
      <c r="J306" s="21"/>
      <c r="K306" s="21"/>
      <c r="L306" s="21"/>
      <c r="M306" s="20" t="s">
        <v>1527</v>
      </c>
      <c r="N306" s="14"/>
      <c r="O306" s="14"/>
      <c r="P306" s="14"/>
      <c r="Q306" s="14"/>
    </row>
    <row r="307">
      <c r="A307" s="7">
        <v>2011.0</v>
      </c>
      <c r="B307" s="8" t="s">
        <v>1528</v>
      </c>
      <c r="C307" s="12" t="s">
        <v>1529</v>
      </c>
      <c r="D307" s="10" t="s">
        <v>1530</v>
      </c>
      <c r="E307" s="18" t="s">
        <v>1531</v>
      </c>
      <c r="F307" s="18" t="s">
        <v>1532</v>
      </c>
      <c r="G307" s="18" t="s">
        <v>1270</v>
      </c>
      <c r="H307" s="19" t="s">
        <v>19</v>
      </c>
      <c r="I307" s="20" t="s">
        <v>20</v>
      </c>
      <c r="J307" s="21"/>
      <c r="K307" s="21"/>
      <c r="L307" s="21"/>
      <c r="M307" s="20" t="s">
        <v>1533</v>
      </c>
      <c r="N307" s="14"/>
      <c r="O307" s="14"/>
      <c r="P307" s="14"/>
      <c r="Q307" s="14"/>
    </row>
    <row r="308">
      <c r="A308" s="7">
        <v>2018.0</v>
      </c>
      <c r="B308" s="8" t="s">
        <v>1534</v>
      </c>
      <c r="C308" s="12" t="s">
        <v>1535</v>
      </c>
      <c r="D308" s="10" t="s">
        <v>1373</v>
      </c>
      <c r="E308" s="18" t="s">
        <v>1536</v>
      </c>
      <c r="F308" s="18" t="s">
        <v>1537</v>
      </c>
      <c r="G308" s="18" t="s">
        <v>1270</v>
      </c>
      <c r="H308" s="19" t="s">
        <v>19</v>
      </c>
      <c r="I308" s="20" t="s">
        <v>1193</v>
      </c>
      <c r="J308" s="21"/>
      <c r="K308" s="21"/>
      <c r="L308" s="21"/>
      <c r="M308" s="20" t="s">
        <v>1538</v>
      </c>
      <c r="N308" s="14"/>
      <c r="O308" s="14"/>
      <c r="P308" s="14"/>
      <c r="Q308" s="14"/>
    </row>
    <row r="309">
      <c r="A309" s="7">
        <v>2023.0</v>
      </c>
      <c r="B309" s="8" t="s">
        <v>1539</v>
      </c>
      <c r="C309" s="12" t="s">
        <v>1540</v>
      </c>
      <c r="D309" s="10" t="s">
        <v>1541</v>
      </c>
      <c r="E309" s="18" t="s">
        <v>1542</v>
      </c>
      <c r="F309" s="18" t="s">
        <v>1543</v>
      </c>
      <c r="G309" s="18" t="s">
        <v>1270</v>
      </c>
      <c r="H309" s="19" t="s">
        <v>19</v>
      </c>
      <c r="I309" s="20" t="s">
        <v>20</v>
      </c>
      <c r="J309" s="21"/>
      <c r="K309" s="21"/>
      <c r="L309" s="21"/>
      <c r="M309" s="20" t="s">
        <v>1544</v>
      </c>
      <c r="N309" s="14"/>
      <c r="O309" s="14"/>
      <c r="P309" s="14"/>
      <c r="Q309" s="14"/>
    </row>
    <row r="310">
      <c r="A310" s="7">
        <v>2024.0</v>
      </c>
      <c r="B310" s="8" t="s">
        <v>1545</v>
      </c>
      <c r="C310" s="12" t="s">
        <v>1546</v>
      </c>
      <c r="D310" s="10" t="s">
        <v>1547</v>
      </c>
      <c r="E310" s="18" t="s">
        <v>1548</v>
      </c>
      <c r="F310" s="18" t="s">
        <v>1549</v>
      </c>
      <c r="G310" s="18" t="s">
        <v>1270</v>
      </c>
      <c r="H310" s="19" t="s">
        <v>19</v>
      </c>
      <c r="I310" s="20" t="s">
        <v>20</v>
      </c>
      <c r="J310" s="21"/>
      <c r="K310" s="21"/>
      <c r="L310" s="21"/>
      <c r="M310" s="20" t="s">
        <v>1550</v>
      </c>
      <c r="N310" s="14"/>
      <c r="O310" s="14"/>
      <c r="P310" s="14"/>
      <c r="Q310" s="14"/>
    </row>
    <row r="311">
      <c r="A311" s="7">
        <v>2022.0</v>
      </c>
      <c r="B311" s="8" t="s">
        <v>1551</v>
      </c>
      <c r="C311" s="12" t="s">
        <v>1552</v>
      </c>
      <c r="D311" s="10" t="s">
        <v>1553</v>
      </c>
      <c r="E311" s="18" t="s">
        <v>1554</v>
      </c>
      <c r="F311" s="18" t="s">
        <v>1555</v>
      </c>
      <c r="G311" s="18" t="s">
        <v>1270</v>
      </c>
      <c r="H311" s="19" t="s">
        <v>19</v>
      </c>
      <c r="I311" s="20" t="s">
        <v>20</v>
      </c>
      <c r="J311" s="21"/>
      <c r="K311" s="21"/>
      <c r="L311" s="21"/>
      <c r="M311" s="20" t="s">
        <v>1556</v>
      </c>
      <c r="N311" s="14"/>
      <c r="O311" s="14"/>
      <c r="P311" s="14"/>
      <c r="Q311" s="14"/>
    </row>
    <row r="312">
      <c r="A312" s="7">
        <v>2025.0</v>
      </c>
      <c r="B312" s="8" t="s">
        <v>1557</v>
      </c>
      <c r="C312" s="12" t="s">
        <v>1558</v>
      </c>
      <c r="D312" s="10" t="s">
        <v>1422</v>
      </c>
      <c r="E312" s="18" t="s">
        <v>1559</v>
      </c>
      <c r="F312" s="18" t="s">
        <v>1560</v>
      </c>
      <c r="G312" s="18" t="s">
        <v>1270</v>
      </c>
      <c r="H312" s="19" t="s">
        <v>19</v>
      </c>
      <c r="I312" s="20" t="s">
        <v>1193</v>
      </c>
      <c r="J312" s="21"/>
      <c r="K312" s="21"/>
      <c r="L312" s="21"/>
      <c r="M312" s="20" t="s">
        <v>1561</v>
      </c>
      <c r="N312" s="14"/>
      <c r="O312" s="14"/>
      <c r="P312" s="14"/>
      <c r="Q312" s="14"/>
    </row>
    <row r="313">
      <c r="A313" s="23">
        <v>2020.0</v>
      </c>
      <c r="B313" s="24" t="s">
        <v>1562</v>
      </c>
      <c r="C313" s="25" t="s">
        <v>1563</v>
      </c>
      <c r="D313" s="26" t="s">
        <v>1327</v>
      </c>
      <c r="E313" s="28" t="s">
        <v>1564</v>
      </c>
      <c r="F313" s="27"/>
      <c r="G313" s="28" t="s">
        <v>1348</v>
      </c>
      <c r="H313" s="25" t="s">
        <v>67</v>
      </c>
      <c r="I313" s="29" t="s">
        <v>27</v>
      </c>
      <c r="J313" s="30"/>
      <c r="K313" s="30"/>
      <c r="L313" s="30"/>
      <c r="M313" s="30"/>
      <c r="N313" s="30"/>
      <c r="O313" s="14"/>
      <c r="P313" s="14"/>
      <c r="Q313" s="14"/>
    </row>
    <row r="314">
      <c r="A314" s="7">
        <v>2020.0</v>
      </c>
      <c r="B314" s="8" t="s">
        <v>1565</v>
      </c>
      <c r="C314" s="12" t="s">
        <v>1566</v>
      </c>
      <c r="D314" s="10" t="s">
        <v>1567</v>
      </c>
      <c r="E314" s="18" t="s">
        <v>1568</v>
      </c>
      <c r="F314" s="18" t="s">
        <v>1569</v>
      </c>
      <c r="G314" s="18" t="s">
        <v>1270</v>
      </c>
      <c r="H314" s="19" t="s">
        <v>19</v>
      </c>
      <c r="I314" s="20" t="s">
        <v>20</v>
      </c>
      <c r="J314" s="21"/>
      <c r="K314" s="21"/>
      <c r="L314" s="21"/>
      <c r="M314" s="20" t="s">
        <v>1570</v>
      </c>
      <c r="N314" s="14"/>
      <c r="O314" s="14"/>
      <c r="P314" s="14"/>
      <c r="Q314" s="14"/>
    </row>
    <row r="315">
      <c r="A315" s="7">
        <v>2020.0</v>
      </c>
      <c r="B315" s="8" t="s">
        <v>1571</v>
      </c>
      <c r="C315" s="12" t="s">
        <v>1572</v>
      </c>
      <c r="D315" s="10" t="s">
        <v>1573</v>
      </c>
      <c r="E315" s="18" t="s">
        <v>1574</v>
      </c>
      <c r="F315" s="18" t="s">
        <v>1575</v>
      </c>
      <c r="G315" s="18" t="s">
        <v>1270</v>
      </c>
      <c r="H315" s="19" t="s">
        <v>19</v>
      </c>
      <c r="I315" s="20" t="s">
        <v>20</v>
      </c>
      <c r="J315" s="21"/>
      <c r="K315" s="21"/>
      <c r="L315" s="21"/>
      <c r="M315" s="20" t="s">
        <v>1576</v>
      </c>
      <c r="N315" s="14"/>
      <c r="O315" s="14"/>
      <c r="P315" s="14"/>
      <c r="Q315" s="14"/>
    </row>
    <row r="316">
      <c r="A316" s="7">
        <v>2022.0</v>
      </c>
      <c r="B316" s="8" t="s">
        <v>1577</v>
      </c>
      <c r="C316" s="12" t="s">
        <v>1578</v>
      </c>
      <c r="D316" s="10" t="s">
        <v>1579</v>
      </c>
      <c r="E316" s="18" t="s">
        <v>1580</v>
      </c>
      <c r="F316" s="18" t="s">
        <v>1581</v>
      </c>
      <c r="G316" s="18" t="s">
        <v>1270</v>
      </c>
      <c r="H316" s="19" t="s">
        <v>19</v>
      </c>
      <c r="I316" s="20" t="s">
        <v>20</v>
      </c>
      <c r="J316" s="21"/>
      <c r="K316" s="21"/>
      <c r="L316" s="21"/>
      <c r="M316" s="20" t="s">
        <v>1582</v>
      </c>
      <c r="N316" s="14"/>
      <c r="O316" s="14"/>
      <c r="P316" s="14"/>
      <c r="Q316" s="14"/>
    </row>
    <row r="317">
      <c r="A317" s="7">
        <v>2023.0</v>
      </c>
      <c r="B317" s="8" t="s">
        <v>1583</v>
      </c>
      <c r="C317" s="12" t="s">
        <v>1584</v>
      </c>
      <c r="D317" s="10" t="s">
        <v>1294</v>
      </c>
      <c r="E317" s="18" t="s">
        <v>1585</v>
      </c>
      <c r="F317" s="18" t="s">
        <v>1586</v>
      </c>
      <c r="G317" s="18" t="s">
        <v>1270</v>
      </c>
      <c r="H317" s="19" t="s">
        <v>19</v>
      </c>
      <c r="I317" s="20" t="s">
        <v>20</v>
      </c>
      <c r="J317" s="21"/>
      <c r="K317" s="21"/>
      <c r="L317" s="21"/>
      <c r="M317" s="20" t="s">
        <v>1587</v>
      </c>
      <c r="N317" s="14"/>
      <c r="O317" s="14"/>
      <c r="P317" s="14"/>
      <c r="Q317" s="14"/>
    </row>
    <row r="318">
      <c r="A318" s="7">
        <v>2025.0</v>
      </c>
      <c r="B318" s="8" t="s">
        <v>1588</v>
      </c>
      <c r="C318" s="12" t="s">
        <v>1589</v>
      </c>
      <c r="D318" s="10" t="s">
        <v>1373</v>
      </c>
      <c r="E318" s="18" t="s">
        <v>1590</v>
      </c>
      <c r="F318" s="18" t="s">
        <v>1591</v>
      </c>
      <c r="G318" s="18" t="s">
        <v>1270</v>
      </c>
      <c r="H318" s="19" t="s">
        <v>19</v>
      </c>
      <c r="I318" s="20" t="s">
        <v>27</v>
      </c>
      <c r="J318" s="21"/>
      <c r="K318" s="21"/>
      <c r="L318" s="21"/>
      <c r="M318" s="21"/>
      <c r="N318" s="14"/>
      <c r="O318" s="14"/>
      <c r="P318" s="14"/>
      <c r="Q318" s="14"/>
    </row>
    <row r="319">
      <c r="A319" s="7">
        <v>2024.0</v>
      </c>
      <c r="B319" s="8" t="s">
        <v>1592</v>
      </c>
      <c r="C319" s="12" t="s">
        <v>1593</v>
      </c>
      <c r="D319" s="10" t="s">
        <v>1524</v>
      </c>
      <c r="E319" s="18" t="s">
        <v>1594</v>
      </c>
      <c r="F319" s="18" t="s">
        <v>1595</v>
      </c>
      <c r="G319" s="18" t="s">
        <v>1270</v>
      </c>
      <c r="H319" s="19" t="s">
        <v>19</v>
      </c>
      <c r="I319" s="20" t="s">
        <v>20</v>
      </c>
      <c r="J319" s="21"/>
      <c r="K319" s="21"/>
      <c r="L319" s="21"/>
      <c r="M319" s="20" t="s">
        <v>1596</v>
      </c>
      <c r="N319" s="14"/>
      <c r="O319" s="14"/>
      <c r="P319" s="14"/>
      <c r="Q319" s="14"/>
    </row>
    <row r="320">
      <c r="A320" s="7">
        <v>2021.0</v>
      </c>
      <c r="B320" s="8" t="s">
        <v>1597</v>
      </c>
      <c r="C320" s="12" t="s">
        <v>1598</v>
      </c>
      <c r="D320" s="10" t="s">
        <v>1599</v>
      </c>
      <c r="E320" s="18" t="s">
        <v>1600</v>
      </c>
      <c r="F320" s="18" t="s">
        <v>1601</v>
      </c>
      <c r="G320" s="18" t="s">
        <v>1270</v>
      </c>
      <c r="H320" s="19" t="s">
        <v>19</v>
      </c>
      <c r="I320" s="20" t="s">
        <v>1193</v>
      </c>
      <c r="J320" s="21"/>
      <c r="K320" s="21"/>
      <c r="L320" s="21"/>
      <c r="M320" s="20" t="s">
        <v>1602</v>
      </c>
      <c r="N320" s="14"/>
      <c r="O320" s="14"/>
      <c r="P320" s="14"/>
      <c r="Q320" s="14"/>
    </row>
    <row r="321">
      <c r="A321" s="31">
        <v>2025.0</v>
      </c>
      <c r="B321" s="32" t="s">
        <v>1603</v>
      </c>
      <c r="C321" s="33" t="s">
        <v>1604</v>
      </c>
      <c r="D321" s="34" t="s">
        <v>1605</v>
      </c>
      <c r="E321" s="18" t="s">
        <v>1606</v>
      </c>
      <c r="F321" s="18" t="s">
        <v>1607</v>
      </c>
      <c r="G321" s="18" t="s">
        <v>1270</v>
      </c>
      <c r="H321" s="19" t="s">
        <v>19</v>
      </c>
      <c r="I321" s="20" t="s">
        <v>20</v>
      </c>
      <c r="J321" s="21"/>
      <c r="K321" s="21"/>
      <c r="L321" s="21"/>
      <c r="M321" s="20" t="s">
        <v>1608</v>
      </c>
      <c r="N321" s="37"/>
      <c r="O321" s="37"/>
      <c r="P321" s="37"/>
      <c r="Q321" s="37"/>
    </row>
    <row r="322">
      <c r="A322" s="31">
        <v>2013.0</v>
      </c>
      <c r="B322" s="32" t="s">
        <v>1609</v>
      </c>
      <c r="C322" s="33" t="s">
        <v>1610</v>
      </c>
      <c r="D322" s="34" t="s">
        <v>1611</v>
      </c>
      <c r="E322" s="38"/>
      <c r="F322" s="33" t="s">
        <v>1612</v>
      </c>
      <c r="G322" s="33" t="s">
        <v>1270</v>
      </c>
      <c r="H322" s="35" t="s">
        <v>19</v>
      </c>
      <c r="I322" s="36" t="s">
        <v>1193</v>
      </c>
      <c r="J322" s="37"/>
      <c r="K322" s="37"/>
      <c r="L322" s="37"/>
      <c r="M322" s="36" t="s">
        <v>1613</v>
      </c>
      <c r="N322" s="37"/>
      <c r="O322" s="37"/>
      <c r="P322" s="37"/>
      <c r="Q322" s="37"/>
    </row>
    <row r="323">
      <c r="A323" s="31">
        <v>2023.0</v>
      </c>
      <c r="B323" s="32" t="s">
        <v>1614</v>
      </c>
      <c r="C323" s="33" t="s">
        <v>1615</v>
      </c>
      <c r="D323" s="34" t="s">
        <v>1616</v>
      </c>
      <c r="E323" s="33" t="s">
        <v>1617</v>
      </c>
      <c r="F323" s="33" t="s">
        <v>1618</v>
      </c>
      <c r="G323" s="33" t="s">
        <v>1270</v>
      </c>
      <c r="H323" s="35" t="s">
        <v>19</v>
      </c>
      <c r="I323" s="36" t="s">
        <v>1193</v>
      </c>
      <c r="J323" s="37"/>
      <c r="K323" s="37"/>
      <c r="L323" s="37"/>
      <c r="M323" s="36" t="s">
        <v>1619</v>
      </c>
      <c r="N323" s="37"/>
      <c r="O323" s="37"/>
      <c r="P323" s="37"/>
      <c r="Q323" s="37"/>
    </row>
    <row r="324">
      <c r="A324" s="31">
        <v>2021.0</v>
      </c>
      <c r="B324" s="32" t="s">
        <v>1620</v>
      </c>
      <c r="C324" s="33" t="s">
        <v>1621</v>
      </c>
      <c r="D324" s="34" t="s">
        <v>1622</v>
      </c>
      <c r="E324" s="33" t="s">
        <v>1623</v>
      </c>
      <c r="F324" s="33" t="s">
        <v>1624</v>
      </c>
      <c r="G324" s="33" t="s">
        <v>1270</v>
      </c>
      <c r="H324" s="35" t="s">
        <v>19</v>
      </c>
      <c r="I324" s="36" t="s">
        <v>20</v>
      </c>
      <c r="J324" s="37"/>
      <c r="K324" s="37"/>
      <c r="L324" s="37"/>
      <c r="M324" s="36" t="s">
        <v>1625</v>
      </c>
      <c r="N324" s="37"/>
      <c r="O324" s="37"/>
      <c r="P324" s="37"/>
      <c r="Q324" s="37"/>
    </row>
    <row r="325">
      <c r="A325" s="31">
        <v>2022.0</v>
      </c>
      <c r="B325" s="32" t="s">
        <v>1626</v>
      </c>
      <c r="C325" s="33" t="s">
        <v>1627</v>
      </c>
      <c r="D325" s="34" t="s">
        <v>1327</v>
      </c>
      <c r="E325" s="33" t="s">
        <v>1628</v>
      </c>
      <c r="F325" s="33" t="s">
        <v>1629</v>
      </c>
      <c r="G325" s="33" t="s">
        <v>1270</v>
      </c>
      <c r="H325" s="35" t="s">
        <v>19</v>
      </c>
      <c r="I325" s="36" t="s">
        <v>27</v>
      </c>
      <c r="J325" s="37"/>
      <c r="K325" s="37"/>
      <c r="L325" s="37"/>
      <c r="M325" s="37"/>
      <c r="N325" s="37"/>
      <c r="O325" s="37"/>
      <c r="P325" s="37"/>
      <c r="Q325" s="37"/>
    </row>
    <row r="326">
      <c r="A326" s="31">
        <v>2020.0</v>
      </c>
      <c r="B326" s="32" t="s">
        <v>1630</v>
      </c>
      <c r="C326" s="33" t="s">
        <v>1631</v>
      </c>
      <c r="D326" s="34" t="s">
        <v>1632</v>
      </c>
      <c r="E326" s="33" t="s">
        <v>1633</v>
      </c>
      <c r="F326" s="33" t="s">
        <v>1634</v>
      </c>
      <c r="G326" s="33" t="s">
        <v>1270</v>
      </c>
      <c r="H326" s="35" t="s">
        <v>19</v>
      </c>
      <c r="I326" s="36" t="s">
        <v>20</v>
      </c>
      <c r="J326" s="37"/>
      <c r="K326" s="37"/>
      <c r="L326" s="37"/>
      <c r="M326" s="36" t="s">
        <v>1635</v>
      </c>
      <c r="N326" s="37"/>
      <c r="O326" s="37"/>
      <c r="P326" s="37"/>
      <c r="Q326" s="37"/>
    </row>
    <row r="327">
      <c r="A327" s="31">
        <v>2022.0</v>
      </c>
      <c r="B327" s="32" t="s">
        <v>1636</v>
      </c>
      <c r="C327" s="33" t="s">
        <v>1637</v>
      </c>
      <c r="D327" s="34" t="s">
        <v>1638</v>
      </c>
      <c r="E327" s="33" t="s">
        <v>1639</v>
      </c>
      <c r="F327" s="33" t="s">
        <v>1640</v>
      </c>
      <c r="G327" s="33" t="s">
        <v>1270</v>
      </c>
      <c r="H327" s="35" t="s">
        <v>19</v>
      </c>
      <c r="I327" s="36" t="s">
        <v>20</v>
      </c>
      <c r="J327" s="37"/>
      <c r="K327" s="37"/>
      <c r="L327" s="37"/>
      <c r="M327" s="36" t="s">
        <v>1641</v>
      </c>
      <c r="N327" s="37"/>
      <c r="O327" s="37"/>
      <c r="P327" s="37"/>
      <c r="Q327" s="37"/>
    </row>
    <row r="328">
      <c r="A328" s="31">
        <v>2015.0</v>
      </c>
      <c r="B328" s="32" t="s">
        <v>1642</v>
      </c>
      <c r="C328" s="33" t="s">
        <v>1643</v>
      </c>
      <c r="D328" s="34" t="s">
        <v>1644</v>
      </c>
      <c r="E328" s="33" t="s">
        <v>1645</v>
      </c>
      <c r="F328" s="33" t="s">
        <v>1646</v>
      </c>
      <c r="G328" s="33" t="s">
        <v>1270</v>
      </c>
      <c r="H328" s="35" t="s">
        <v>19</v>
      </c>
      <c r="I328" s="36" t="s">
        <v>20</v>
      </c>
      <c r="J328" s="37"/>
      <c r="K328" s="37"/>
      <c r="L328" s="37"/>
      <c r="M328" s="36" t="s">
        <v>1647</v>
      </c>
      <c r="N328" s="37"/>
      <c r="O328" s="37"/>
      <c r="P328" s="37"/>
      <c r="Q328" s="37"/>
    </row>
    <row r="329">
      <c r="A329" s="31">
        <v>2017.0</v>
      </c>
      <c r="B329" s="32" t="s">
        <v>1648</v>
      </c>
      <c r="C329" s="33" t="s">
        <v>1649</v>
      </c>
      <c r="D329" s="34" t="s">
        <v>1650</v>
      </c>
      <c r="E329" s="33" t="s">
        <v>1651</v>
      </c>
      <c r="F329" s="33" t="s">
        <v>1652</v>
      </c>
      <c r="G329" s="33" t="s">
        <v>1270</v>
      </c>
      <c r="H329" s="35" t="s">
        <v>19</v>
      </c>
      <c r="I329" s="36" t="s">
        <v>20</v>
      </c>
      <c r="J329" s="37"/>
      <c r="K329" s="37"/>
      <c r="L329" s="37"/>
      <c r="M329" s="36" t="s">
        <v>1653</v>
      </c>
      <c r="N329" s="37"/>
      <c r="O329" s="37"/>
      <c r="P329" s="37"/>
      <c r="Q329" s="37"/>
    </row>
    <row r="330">
      <c r="A330" s="31">
        <v>2014.0</v>
      </c>
      <c r="B330" s="32" t="s">
        <v>1654</v>
      </c>
      <c r="C330" s="33" t="s">
        <v>1655</v>
      </c>
      <c r="D330" s="34" t="s">
        <v>1492</v>
      </c>
      <c r="E330" s="33" t="s">
        <v>1656</v>
      </c>
      <c r="F330" s="33" t="s">
        <v>1657</v>
      </c>
      <c r="G330" s="33" t="s">
        <v>1270</v>
      </c>
      <c r="H330" s="35" t="s">
        <v>19</v>
      </c>
      <c r="I330" s="36" t="s">
        <v>20</v>
      </c>
      <c r="J330" s="37"/>
      <c r="K330" s="37"/>
      <c r="L330" s="37"/>
      <c r="M330" s="36" t="s">
        <v>1658</v>
      </c>
      <c r="N330" s="37"/>
      <c r="O330" s="37"/>
      <c r="P330" s="37"/>
      <c r="Q330" s="37"/>
    </row>
    <row r="331">
      <c r="A331" s="31">
        <v>2025.0</v>
      </c>
      <c r="B331" s="32" t="s">
        <v>1659</v>
      </c>
      <c r="C331" s="33" t="s">
        <v>1660</v>
      </c>
      <c r="D331" s="34" t="s">
        <v>1661</v>
      </c>
      <c r="E331" s="33" t="s">
        <v>1662</v>
      </c>
      <c r="F331" s="33" t="s">
        <v>1663</v>
      </c>
      <c r="G331" s="33" t="s">
        <v>1270</v>
      </c>
      <c r="H331" s="35" t="s">
        <v>19</v>
      </c>
      <c r="I331" s="36" t="s">
        <v>20</v>
      </c>
      <c r="J331" s="37"/>
      <c r="K331" s="37"/>
      <c r="L331" s="37"/>
      <c r="M331" s="36" t="s">
        <v>1664</v>
      </c>
      <c r="N331" s="37"/>
      <c r="O331" s="37"/>
      <c r="P331" s="37"/>
      <c r="Q331" s="37"/>
    </row>
    <row r="332">
      <c r="A332" s="31">
        <v>2025.0</v>
      </c>
      <c r="B332" s="32" t="s">
        <v>1665</v>
      </c>
      <c r="C332" s="33" t="s">
        <v>1666</v>
      </c>
      <c r="D332" s="34" t="s">
        <v>1667</v>
      </c>
      <c r="E332" s="33" t="s">
        <v>1668</v>
      </c>
      <c r="F332" s="33" t="s">
        <v>1669</v>
      </c>
      <c r="G332" s="33" t="s">
        <v>1270</v>
      </c>
      <c r="H332" s="35" t="s">
        <v>67</v>
      </c>
      <c r="I332" s="36" t="s">
        <v>20</v>
      </c>
      <c r="J332" s="37"/>
      <c r="K332" s="37"/>
      <c r="L332" s="37"/>
      <c r="M332" s="36" t="s">
        <v>1670</v>
      </c>
      <c r="N332" s="37"/>
      <c r="O332" s="37"/>
      <c r="P332" s="37"/>
      <c r="Q332" s="37"/>
    </row>
    <row r="333">
      <c r="A333" s="31">
        <v>2022.0</v>
      </c>
      <c r="B333" s="32" t="s">
        <v>1671</v>
      </c>
      <c r="C333" s="33" t="s">
        <v>1672</v>
      </c>
      <c r="D333" s="34" t="s">
        <v>1673</v>
      </c>
      <c r="E333" s="33" t="s">
        <v>1674</v>
      </c>
      <c r="F333" s="33" t="s">
        <v>1675</v>
      </c>
      <c r="G333" s="33" t="s">
        <v>1270</v>
      </c>
      <c r="H333" s="35" t="s">
        <v>19</v>
      </c>
      <c r="I333" s="36" t="s">
        <v>20</v>
      </c>
      <c r="J333" s="37"/>
      <c r="K333" s="37"/>
      <c r="L333" s="37"/>
      <c r="M333" s="36" t="s">
        <v>1676</v>
      </c>
      <c r="N333" s="37"/>
      <c r="O333" s="37"/>
      <c r="P333" s="37"/>
      <c r="Q333" s="37"/>
    </row>
    <row r="334">
      <c r="A334" s="7">
        <v>2021.0</v>
      </c>
      <c r="B334" s="8" t="s">
        <v>1677</v>
      </c>
      <c r="C334" s="12" t="s">
        <v>1678</v>
      </c>
      <c r="D334" s="10" t="s">
        <v>1327</v>
      </c>
      <c r="E334" s="18" t="s">
        <v>1679</v>
      </c>
      <c r="F334" s="18" t="s">
        <v>1680</v>
      </c>
      <c r="G334" s="18" t="s">
        <v>1270</v>
      </c>
      <c r="H334" s="19" t="s">
        <v>67</v>
      </c>
      <c r="I334" s="20" t="s">
        <v>27</v>
      </c>
      <c r="J334" s="21"/>
      <c r="K334" s="21"/>
      <c r="L334" s="21"/>
      <c r="M334" s="21"/>
      <c r="N334" s="14"/>
      <c r="O334" s="37"/>
      <c r="P334" s="37"/>
      <c r="Q334" s="37"/>
    </row>
    <row r="335">
      <c r="A335" s="31">
        <v>2022.0</v>
      </c>
      <c r="B335" s="32" t="s">
        <v>1681</v>
      </c>
      <c r="C335" s="33" t="s">
        <v>1682</v>
      </c>
      <c r="D335" s="34" t="s">
        <v>1683</v>
      </c>
      <c r="E335" s="33" t="s">
        <v>1684</v>
      </c>
      <c r="F335" s="33" t="s">
        <v>1685</v>
      </c>
      <c r="G335" s="33" t="s">
        <v>1270</v>
      </c>
      <c r="H335" s="35" t="s">
        <v>19</v>
      </c>
      <c r="I335" s="36" t="s">
        <v>20</v>
      </c>
      <c r="J335" s="37"/>
      <c r="K335" s="37"/>
      <c r="L335" s="37"/>
      <c r="M335" s="36" t="s">
        <v>1686</v>
      </c>
      <c r="N335" s="37"/>
      <c r="O335" s="37"/>
      <c r="P335" s="37"/>
      <c r="Q335" s="37"/>
    </row>
    <row r="336">
      <c r="A336" s="31">
        <v>2020.0</v>
      </c>
      <c r="B336" s="32" t="s">
        <v>1687</v>
      </c>
      <c r="C336" s="33" t="s">
        <v>1688</v>
      </c>
      <c r="D336" s="34" t="s">
        <v>1689</v>
      </c>
      <c r="E336" s="33" t="s">
        <v>1690</v>
      </c>
      <c r="F336" s="33" t="s">
        <v>1691</v>
      </c>
      <c r="G336" s="33" t="s">
        <v>1270</v>
      </c>
      <c r="H336" s="35" t="s">
        <v>19</v>
      </c>
      <c r="I336" s="36" t="s">
        <v>20</v>
      </c>
      <c r="J336" s="37"/>
      <c r="K336" s="37"/>
      <c r="L336" s="37"/>
      <c r="M336" s="36" t="s">
        <v>1692</v>
      </c>
      <c r="N336" s="37"/>
      <c r="O336" s="37"/>
      <c r="P336" s="37"/>
      <c r="Q336" s="37"/>
    </row>
    <row r="337">
      <c r="A337" s="31">
        <v>2024.0</v>
      </c>
      <c r="B337" s="32" t="s">
        <v>1693</v>
      </c>
      <c r="C337" s="33" t="s">
        <v>1694</v>
      </c>
      <c r="D337" s="34" t="s">
        <v>1573</v>
      </c>
      <c r="E337" s="33" t="s">
        <v>1695</v>
      </c>
      <c r="F337" s="33" t="s">
        <v>1696</v>
      </c>
      <c r="G337" s="33" t="s">
        <v>1270</v>
      </c>
      <c r="H337" s="35" t="s">
        <v>19</v>
      </c>
      <c r="I337" s="36" t="s">
        <v>27</v>
      </c>
      <c r="J337" s="37"/>
      <c r="K337" s="37"/>
      <c r="L337" s="37"/>
      <c r="M337" s="37"/>
      <c r="N337" s="37"/>
      <c r="O337" s="37"/>
      <c r="P337" s="37"/>
      <c r="Q337" s="37"/>
    </row>
    <row r="338">
      <c r="A338" s="31">
        <v>2014.0</v>
      </c>
      <c r="B338" s="32" t="s">
        <v>1697</v>
      </c>
      <c r="C338" s="33" t="s">
        <v>1698</v>
      </c>
      <c r="D338" s="34" t="s">
        <v>1404</v>
      </c>
      <c r="E338" s="33" t="s">
        <v>1699</v>
      </c>
      <c r="F338" s="33" t="s">
        <v>1700</v>
      </c>
      <c r="G338" s="33" t="s">
        <v>1270</v>
      </c>
      <c r="H338" s="35" t="s">
        <v>19</v>
      </c>
      <c r="I338" s="36" t="s">
        <v>20</v>
      </c>
      <c r="J338" s="37"/>
      <c r="K338" s="37"/>
      <c r="L338" s="37"/>
      <c r="M338" s="36" t="s">
        <v>1701</v>
      </c>
      <c r="N338" s="37"/>
      <c r="O338" s="37"/>
      <c r="P338" s="37"/>
      <c r="Q338" s="37"/>
    </row>
    <row r="339">
      <c r="A339" s="31">
        <v>2023.0</v>
      </c>
      <c r="B339" s="32" t="s">
        <v>1702</v>
      </c>
      <c r="C339" s="33" t="s">
        <v>1703</v>
      </c>
      <c r="D339" s="34" t="s">
        <v>1704</v>
      </c>
      <c r="E339" s="33" t="s">
        <v>1705</v>
      </c>
      <c r="F339" s="33" t="s">
        <v>1706</v>
      </c>
      <c r="G339" s="33" t="s">
        <v>1270</v>
      </c>
      <c r="H339" s="35" t="s">
        <v>19</v>
      </c>
      <c r="I339" s="36" t="s">
        <v>20</v>
      </c>
      <c r="J339" s="37"/>
      <c r="K339" s="37"/>
      <c r="L339" s="37"/>
      <c r="M339" s="36" t="s">
        <v>1707</v>
      </c>
      <c r="N339" s="37"/>
      <c r="O339" s="37"/>
      <c r="P339" s="37"/>
      <c r="Q339" s="37"/>
    </row>
    <row r="340">
      <c r="A340" s="31">
        <v>2025.0</v>
      </c>
      <c r="B340" s="32" t="s">
        <v>1708</v>
      </c>
      <c r="C340" s="33" t="s">
        <v>1709</v>
      </c>
      <c r="D340" s="34" t="s">
        <v>1710</v>
      </c>
      <c r="E340" s="33" t="s">
        <v>1711</v>
      </c>
      <c r="F340" s="33" t="s">
        <v>1712</v>
      </c>
      <c r="G340" s="33" t="s">
        <v>1270</v>
      </c>
      <c r="H340" s="35" t="s">
        <v>19</v>
      </c>
      <c r="I340" s="36" t="s">
        <v>20</v>
      </c>
      <c r="J340" s="37"/>
      <c r="K340" s="37"/>
      <c r="L340" s="37"/>
      <c r="M340" s="36" t="s">
        <v>1713</v>
      </c>
      <c r="N340" s="37"/>
      <c r="O340" s="37"/>
      <c r="P340" s="37"/>
      <c r="Q340" s="37"/>
    </row>
    <row r="341">
      <c r="A341" s="31">
        <v>2022.0</v>
      </c>
      <c r="B341" s="32" t="s">
        <v>1714</v>
      </c>
      <c r="C341" s="33" t="s">
        <v>1715</v>
      </c>
      <c r="D341" s="34" t="s">
        <v>1327</v>
      </c>
      <c r="E341" s="33" t="s">
        <v>1716</v>
      </c>
      <c r="F341" s="33" t="s">
        <v>1717</v>
      </c>
      <c r="G341" s="33" t="s">
        <v>1270</v>
      </c>
      <c r="H341" s="35" t="s">
        <v>67</v>
      </c>
      <c r="I341" s="36" t="s">
        <v>20</v>
      </c>
      <c r="J341" s="37"/>
      <c r="K341" s="37"/>
      <c r="L341" s="37"/>
      <c r="M341" s="36" t="s">
        <v>1718</v>
      </c>
      <c r="N341" s="36"/>
      <c r="O341" s="37"/>
      <c r="P341" s="37"/>
      <c r="Q341" s="37"/>
    </row>
    <row r="342">
      <c r="A342" s="31">
        <v>2020.0</v>
      </c>
      <c r="B342" s="32" t="s">
        <v>1719</v>
      </c>
      <c r="C342" s="33" t="s">
        <v>1720</v>
      </c>
      <c r="D342" s="34" t="s">
        <v>1721</v>
      </c>
      <c r="E342" s="33" t="s">
        <v>1722</v>
      </c>
      <c r="F342" s="33" t="s">
        <v>1723</v>
      </c>
      <c r="G342" s="33" t="s">
        <v>1270</v>
      </c>
      <c r="H342" s="35" t="s">
        <v>19</v>
      </c>
      <c r="I342" s="36" t="s">
        <v>20</v>
      </c>
      <c r="J342" s="37"/>
      <c r="K342" s="37"/>
      <c r="L342" s="37"/>
      <c r="M342" s="36" t="s">
        <v>1724</v>
      </c>
      <c r="N342" s="37"/>
      <c r="O342" s="37"/>
      <c r="P342" s="37"/>
      <c r="Q342" s="37"/>
    </row>
    <row r="343">
      <c r="A343" s="31">
        <v>2019.0</v>
      </c>
      <c r="B343" s="32" t="s">
        <v>1725</v>
      </c>
      <c r="C343" s="33" t="s">
        <v>1726</v>
      </c>
      <c r="D343" s="34" t="s">
        <v>1727</v>
      </c>
      <c r="E343" s="33" t="s">
        <v>1728</v>
      </c>
      <c r="F343" s="33" t="s">
        <v>1729</v>
      </c>
      <c r="G343" s="33" t="s">
        <v>1270</v>
      </c>
      <c r="H343" s="35" t="s">
        <v>19</v>
      </c>
      <c r="I343" s="36" t="s">
        <v>27</v>
      </c>
      <c r="J343" s="37"/>
      <c r="K343" s="37"/>
      <c r="L343" s="37"/>
      <c r="M343" s="37"/>
      <c r="N343" s="37"/>
      <c r="O343" s="37"/>
      <c r="P343" s="37"/>
      <c r="Q343" s="37"/>
    </row>
    <row r="344">
      <c r="A344" s="31">
        <v>2014.0</v>
      </c>
      <c r="B344" s="32" t="s">
        <v>1730</v>
      </c>
      <c r="C344" s="33" t="s">
        <v>1731</v>
      </c>
      <c r="D344" s="34" t="s">
        <v>1404</v>
      </c>
      <c r="E344" s="33" t="s">
        <v>1732</v>
      </c>
      <c r="F344" s="33" t="s">
        <v>1733</v>
      </c>
      <c r="G344" s="33" t="s">
        <v>1270</v>
      </c>
      <c r="H344" s="35" t="s">
        <v>19</v>
      </c>
      <c r="I344" s="36" t="s">
        <v>20</v>
      </c>
      <c r="J344" s="37"/>
      <c r="K344" s="37"/>
      <c r="L344" s="37"/>
      <c r="M344" s="36" t="s">
        <v>1734</v>
      </c>
      <c r="N344" s="37"/>
      <c r="O344" s="37"/>
      <c r="P344" s="37"/>
      <c r="Q344" s="37"/>
    </row>
    <row r="345">
      <c r="A345" s="31">
        <v>2021.0</v>
      </c>
      <c r="B345" s="32" t="s">
        <v>1735</v>
      </c>
      <c r="C345" s="33" t="s">
        <v>1736</v>
      </c>
      <c r="D345" s="34" t="s">
        <v>1373</v>
      </c>
      <c r="E345" s="33" t="s">
        <v>1737</v>
      </c>
      <c r="F345" s="33" t="s">
        <v>1738</v>
      </c>
      <c r="G345" s="33" t="s">
        <v>1270</v>
      </c>
      <c r="H345" s="35" t="s">
        <v>19</v>
      </c>
      <c r="I345" s="36" t="s">
        <v>27</v>
      </c>
      <c r="J345" s="37"/>
      <c r="K345" s="37"/>
      <c r="L345" s="37"/>
      <c r="M345" s="37"/>
      <c r="N345" s="37"/>
      <c r="O345" s="37"/>
      <c r="P345" s="37"/>
      <c r="Q345" s="37"/>
    </row>
    <row r="346">
      <c r="A346" s="31">
        <v>2024.0</v>
      </c>
      <c r="B346" s="32" t="s">
        <v>1739</v>
      </c>
      <c r="C346" s="33" t="s">
        <v>1740</v>
      </c>
      <c r="D346" s="34" t="s">
        <v>1741</v>
      </c>
      <c r="E346" s="33" t="s">
        <v>1742</v>
      </c>
      <c r="F346" s="33" t="s">
        <v>1743</v>
      </c>
      <c r="G346" s="33" t="s">
        <v>1270</v>
      </c>
      <c r="H346" s="35" t="s">
        <v>19</v>
      </c>
      <c r="I346" s="36" t="s">
        <v>20</v>
      </c>
      <c r="J346" s="37"/>
      <c r="K346" s="37"/>
      <c r="L346" s="37"/>
      <c r="M346" s="36" t="s">
        <v>1744</v>
      </c>
      <c r="N346" s="37"/>
      <c r="O346" s="37"/>
      <c r="P346" s="37"/>
      <c r="Q346" s="37"/>
    </row>
    <row r="347">
      <c r="A347" s="31">
        <v>2013.0</v>
      </c>
      <c r="B347" s="32" t="s">
        <v>1745</v>
      </c>
      <c r="C347" s="33" t="s">
        <v>1746</v>
      </c>
      <c r="D347" s="34" t="s">
        <v>1704</v>
      </c>
      <c r="E347" s="33" t="s">
        <v>1747</v>
      </c>
      <c r="F347" s="33" t="s">
        <v>1748</v>
      </c>
      <c r="G347" s="33" t="s">
        <v>1270</v>
      </c>
      <c r="H347" s="35" t="s">
        <v>19</v>
      </c>
      <c r="I347" s="36" t="s">
        <v>20</v>
      </c>
      <c r="J347" s="37"/>
      <c r="K347" s="37"/>
      <c r="L347" s="37"/>
      <c r="M347" s="36" t="s">
        <v>1749</v>
      </c>
      <c r="N347" s="37"/>
      <c r="O347" s="37"/>
      <c r="P347" s="37"/>
      <c r="Q347" s="37"/>
    </row>
    <row r="348">
      <c r="A348" s="31">
        <v>2012.0</v>
      </c>
      <c r="B348" s="32" t="s">
        <v>1750</v>
      </c>
      <c r="C348" s="33" t="s">
        <v>1751</v>
      </c>
      <c r="D348" s="34" t="s">
        <v>1474</v>
      </c>
      <c r="E348" s="33" t="s">
        <v>1752</v>
      </c>
      <c r="F348" s="33" t="s">
        <v>1753</v>
      </c>
      <c r="G348" s="33" t="s">
        <v>1270</v>
      </c>
      <c r="H348" s="35" t="s">
        <v>19</v>
      </c>
      <c r="I348" s="36" t="s">
        <v>1193</v>
      </c>
      <c r="J348" s="37"/>
      <c r="K348" s="37"/>
      <c r="L348" s="37"/>
      <c r="M348" s="36" t="s">
        <v>1754</v>
      </c>
      <c r="N348" s="37"/>
      <c r="O348" s="37"/>
      <c r="P348" s="37"/>
      <c r="Q348" s="37"/>
    </row>
    <row r="349">
      <c r="A349" s="31">
        <v>2023.0</v>
      </c>
      <c r="B349" s="32" t="s">
        <v>1755</v>
      </c>
      <c r="C349" s="33" t="s">
        <v>1756</v>
      </c>
      <c r="D349" s="34" t="s">
        <v>1757</v>
      </c>
      <c r="E349" s="33" t="s">
        <v>1758</v>
      </c>
      <c r="F349" s="33" t="s">
        <v>1759</v>
      </c>
      <c r="G349" s="33" t="s">
        <v>1270</v>
      </c>
      <c r="H349" s="35" t="s">
        <v>19</v>
      </c>
      <c r="I349" s="36" t="s">
        <v>27</v>
      </c>
      <c r="J349" s="37"/>
      <c r="K349" s="37"/>
      <c r="L349" s="37"/>
      <c r="M349" s="37"/>
      <c r="N349" s="37"/>
      <c r="O349" s="37"/>
      <c r="P349" s="37"/>
      <c r="Q349" s="37"/>
    </row>
    <row r="350">
      <c r="A350" s="31">
        <v>2022.0</v>
      </c>
      <c r="B350" s="32" t="s">
        <v>1760</v>
      </c>
      <c r="C350" s="33" t="s">
        <v>1761</v>
      </c>
      <c r="D350" s="34" t="s">
        <v>1762</v>
      </c>
      <c r="E350" s="33" t="s">
        <v>1763</v>
      </c>
      <c r="F350" s="33" t="s">
        <v>1764</v>
      </c>
      <c r="G350" s="33" t="s">
        <v>1270</v>
      </c>
      <c r="H350" s="35" t="s">
        <v>19</v>
      </c>
      <c r="I350" s="36" t="s">
        <v>27</v>
      </c>
      <c r="J350" s="37"/>
      <c r="K350" s="37"/>
      <c r="L350" s="37"/>
      <c r="M350" s="37"/>
      <c r="N350" s="37"/>
      <c r="O350" s="37"/>
      <c r="P350" s="37"/>
      <c r="Q350" s="37"/>
    </row>
    <row r="351">
      <c r="A351" s="31">
        <v>2009.0</v>
      </c>
      <c r="B351" s="32" t="s">
        <v>1765</v>
      </c>
      <c r="C351" s="33" t="s">
        <v>1766</v>
      </c>
      <c r="D351" s="34" t="s">
        <v>1767</v>
      </c>
      <c r="E351" s="33" t="s">
        <v>1768</v>
      </c>
      <c r="F351" s="33" t="s">
        <v>1769</v>
      </c>
      <c r="G351" s="33" t="s">
        <v>1270</v>
      </c>
      <c r="H351" s="35" t="s">
        <v>19</v>
      </c>
      <c r="I351" s="36" t="s">
        <v>1193</v>
      </c>
      <c r="J351" s="37"/>
      <c r="K351" s="37"/>
      <c r="L351" s="37"/>
      <c r="M351" s="36" t="s">
        <v>1770</v>
      </c>
      <c r="N351" s="37"/>
      <c r="O351" s="37"/>
      <c r="P351" s="37"/>
      <c r="Q351" s="37"/>
    </row>
    <row r="352">
      <c r="A352" s="31">
        <v>2020.0</v>
      </c>
      <c r="B352" s="32" t="s">
        <v>1771</v>
      </c>
      <c r="C352" s="33" t="s">
        <v>1772</v>
      </c>
      <c r="D352" s="34" t="s">
        <v>1689</v>
      </c>
      <c r="E352" s="33" t="s">
        <v>1773</v>
      </c>
      <c r="F352" s="33" t="s">
        <v>1774</v>
      </c>
      <c r="G352" s="33" t="s">
        <v>1270</v>
      </c>
      <c r="H352" s="35" t="s">
        <v>19</v>
      </c>
      <c r="I352" s="36" t="s">
        <v>20</v>
      </c>
      <c r="J352" s="37"/>
      <c r="K352" s="37"/>
      <c r="L352" s="37"/>
      <c r="M352" s="36" t="s">
        <v>1775</v>
      </c>
      <c r="N352" s="37"/>
      <c r="O352" s="37"/>
      <c r="P352" s="37"/>
      <c r="Q352" s="37"/>
    </row>
    <row r="353">
      <c r="A353" s="31">
        <v>2024.0</v>
      </c>
      <c r="B353" s="32" t="s">
        <v>1776</v>
      </c>
      <c r="C353" s="33" t="s">
        <v>1777</v>
      </c>
      <c r="D353" s="34" t="s">
        <v>1778</v>
      </c>
      <c r="E353" s="33" t="s">
        <v>1779</v>
      </c>
      <c r="F353" s="33" t="s">
        <v>1780</v>
      </c>
      <c r="G353" s="33" t="s">
        <v>1270</v>
      </c>
      <c r="H353" s="35" t="s">
        <v>19</v>
      </c>
      <c r="I353" s="36" t="s">
        <v>20</v>
      </c>
      <c r="J353" s="37"/>
      <c r="K353" s="37"/>
      <c r="L353" s="37"/>
      <c r="M353" s="36" t="s">
        <v>1781</v>
      </c>
      <c r="N353" s="37"/>
      <c r="O353" s="37"/>
      <c r="P353" s="37"/>
      <c r="Q353" s="37"/>
    </row>
    <row r="354">
      <c r="A354" s="31">
        <v>2018.0</v>
      </c>
      <c r="B354" s="32" t="s">
        <v>1782</v>
      </c>
      <c r="C354" s="33" t="s">
        <v>1783</v>
      </c>
      <c r="D354" s="34" t="s">
        <v>1784</v>
      </c>
      <c r="E354" s="33" t="s">
        <v>1785</v>
      </c>
      <c r="F354" s="33" t="s">
        <v>1786</v>
      </c>
      <c r="G354" s="33" t="s">
        <v>1270</v>
      </c>
      <c r="H354" s="35" t="s">
        <v>19</v>
      </c>
      <c r="I354" s="36" t="s">
        <v>27</v>
      </c>
      <c r="J354" s="37"/>
      <c r="K354" s="37"/>
      <c r="L354" s="37"/>
      <c r="M354" s="37"/>
      <c r="N354" s="37"/>
      <c r="O354" s="37"/>
      <c r="P354" s="37"/>
      <c r="Q354" s="37"/>
    </row>
    <row r="355">
      <c r="A355" s="31">
        <v>2023.0</v>
      </c>
      <c r="B355" s="32" t="s">
        <v>1787</v>
      </c>
      <c r="C355" s="33" t="s">
        <v>1788</v>
      </c>
      <c r="D355" s="34" t="s">
        <v>1789</v>
      </c>
      <c r="E355" s="33" t="s">
        <v>1790</v>
      </c>
      <c r="F355" s="33" t="s">
        <v>1791</v>
      </c>
      <c r="G355" s="33" t="s">
        <v>1270</v>
      </c>
      <c r="H355" s="35" t="s">
        <v>19</v>
      </c>
      <c r="I355" s="36" t="s">
        <v>20</v>
      </c>
      <c r="J355" s="37"/>
      <c r="K355" s="37"/>
      <c r="L355" s="37"/>
      <c r="M355" s="36" t="s">
        <v>1792</v>
      </c>
      <c r="N355" s="37"/>
      <c r="O355" s="37"/>
      <c r="P355" s="37"/>
      <c r="Q355" s="37"/>
    </row>
    <row r="356">
      <c r="A356" s="31">
        <v>2017.0</v>
      </c>
      <c r="B356" s="32" t="s">
        <v>1793</v>
      </c>
      <c r="C356" s="33" t="s">
        <v>1794</v>
      </c>
      <c r="D356" s="34" t="s">
        <v>1795</v>
      </c>
      <c r="E356" s="33" t="s">
        <v>1796</v>
      </c>
      <c r="F356" s="33" t="s">
        <v>1797</v>
      </c>
      <c r="G356" s="33" t="s">
        <v>1270</v>
      </c>
      <c r="H356" s="35" t="s">
        <v>19</v>
      </c>
      <c r="I356" s="36" t="s">
        <v>20</v>
      </c>
      <c r="J356" s="37"/>
      <c r="K356" s="37"/>
      <c r="L356" s="37"/>
      <c r="M356" s="36" t="s">
        <v>1798</v>
      </c>
      <c r="N356" s="37"/>
      <c r="O356" s="37"/>
      <c r="P356" s="37"/>
      <c r="Q356" s="37"/>
    </row>
    <row r="357">
      <c r="A357" s="31">
        <v>2013.0</v>
      </c>
      <c r="B357" s="32" t="s">
        <v>1799</v>
      </c>
      <c r="C357" s="33" t="s">
        <v>1800</v>
      </c>
      <c r="D357" s="34" t="s">
        <v>1673</v>
      </c>
      <c r="E357" s="33" t="s">
        <v>1801</v>
      </c>
      <c r="F357" s="33" t="s">
        <v>1802</v>
      </c>
      <c r="G357" s="33" t="s">
        <v>1270</v>
      </c>
      <c r="H357" s="35" t="s">
        <v>19</v>
      </c>
      <c r="I357" s="36" t="s">
        <v>1193</v>
      </c>
      <c r="J357" s="37"/>
      <c r="K357" s="37"/>
      <c r="L357" s="37"/>
      <c r="M357" s="36" t="s">
        <v>1471</v>
      </c>
      <c r="N357" s="37"/>
      <c r="O357" s="37"/>
      <c r="P357" s="37"/>
      <c r="Q357" s="37"/>
    </row>
    <row r="358">
      <c r="A358" s="31">
        <v>2017.0</v>
      </c>
      <c r="B358" s="32" t="s">
        <v>1803</v>
      </c>
      <c r="C358" s="33" t="s">
        <v>1804</v>
      </c>
      <c r="D358" s="34" t="s">
        <v>1789</v>
      </c>
      <c r="E358" s="33" t="s">
        <v>1805</v>
      </c>
      <c r="F358" s="33" t="s">
        <v>1806</v>
      </c>
      <c r="G358" s="33" t="s">
        <v>1270</v>
      </c>
      <c r="H358" s="35" t="s">
        <v>19</v>
      </c>
      <c r="I358" s="36" t="s">
        <v>1193</v>
      </c>
      <c r="J358" s="37"/>
      <c r="K358" s="37"/>
      <c r="L358" s="37"/>
      <c r="M358" s="36" t="s">
        <v>1807</v>
      </c>
      <c r="N358" s="37"/>
      <c r="O358" s="37"/>
      <c r="P358" s="37"/>
      <c r="Q358" s="37"/>
    </row>
    <row r="359">
      <c r="A359" s="31">
        <v>2019.0</v>
      </c>
      <c r="B359" s="32" t="s">
        <v>1808</v>
      </c>
      <c r="C359" s="33" t="s">
        <v>1809</v>
      </c>
      <c r="D359" s="34" t="s">
        <v>1762</v>
      </c>
      <c r="E359" s="33" t="s">
        <v>1810</v>
      </c>
      <c r="F359" s="33" t="s">
        <v>1811</v>
      </c>
      <c r="G359" s="33" t="s">
        <v>1270</v>
      </c>
      <c r="H359" s="35" t="s">
        <v>19</v>
      </c>
      <c r="I359" s="36" t="s">
        <v>27</v>
      </c>
      <c r="J359" s="37"/>
      <c r="K359" s="37"/>
      <c r="L359" s="37"/>
      <c r="M359" s="37"/>
      <c r="N359" s="37"/>
      <c r="O359" s="37"/>
      <c r="P359" s="37"/>
      <c r="Q359" s="37"/>
    </row>
    <row r="360">
      <c r="A360" s="31">
        <v>2018.0</v>
      </c>
      <c r="B360" s="32" t="s">
        <v>1812</v>
      </c>
      <c r="C360" s="33" t="s">
        <v>1813</v>
      </c>
      <c r="D360" s="34" t="s">
        <v>1553</v>
      </c>
      <c r="E360" s="33" t="s">
        <v>1814</v>
      </c>
      <c r="F360" s="33" t="s">
        <v>1815</v>
      </c>
      <c r="G360" s="33" t="s">
        <v>1270</v>
      </c>
      <c r="H360" s="35" t="s">
        <v>19</v>
      </c>
      <c r="I360" s="36" t="s">
        <v>20</v>
      </c>
      <c r="J360" s="37"/>
      <c r="K360" s="37"/>
      <c r="L360" s="37"/>
      <c r="M360" s="36" t="s">
        <v>1816</v>
      </c>
      <c r="N360" s="37"/>
      <c r="O360" s="37"/>
      <c r="P360" s="37"/>
      <c r="Q360" s="37"/>
    </row>
    <row r="361">
      <c r="A361" s="31">
        <v>2011.0</v>
      </c>
      <c r="B361" s="32" t="s">
        <v>1817</v>
      </c>
      <c r="C361" s="33" t="s">
        <v>1818</v>
      </c>
      <c r="D361" s="34" t="s">
        <v>1819</v>
      </c>
      <c r="E361" s="33" t="s">
        <v>1820</v>
      </c>
      <c r="F361" s="33" t="s">
        <v>1821</v>
      </c>
      <c r="G361" s="33" t="s">
        <v>1270</v>
      </c>
      <c r="H361" s="35" t="s">
        <v>19</v>
      </c>
      <c r="I361" s="36" t="s">
        <v>1193</v>
      </c>
      <c r="J361" s="37"/>
      <c r="K361" s="37"/>
      <c r="L361" s="37"/>
      <c r="M361" s="36" t="s">
        <v>1822</v>
      </c>
      <c r="N361" s="37"/>
      <c r="O361" s="37"/>
      <c r="P361" s="37"/>
      <c r="Q361" s="37"/>
    </row>
    <row r="362">
      <c r="A362" s="31">
        <v>2023.0</v>
      </c>
      <c r="B362" s="32" t="s">
        <v>1823</v>
      </c>
      <c r="C362" s="33" t="s">
        <v>1824</v>
      </c>
      <c r="D362" s="34" t="s">
        <v>1567</v>
      </c>
      <c r="E362" s="33" t="s">
        <v>1825</v>
      </c>
      <c r="F362" s="33" t="s">
        <v>1826</v>
      </c>
      <c r="G362" s="33" t="s">
        <v>1270</v>
      </c>
      <c r="H362" s="35" t="s">
        <v>19</v>
      </c>
      <c r="I362" s="36" t="s">
        <v>20</v>
      </c>
      <c r="J362" s="37"/>
      <c r="K362" s="37"/>
      <c r="L362" s="37"/>
      <c r="M362" s="36" t="s">
        <v>1827</v>
      </c>
      <c r="N362" s="37"/>
      <c r="O362" s="37"/>
      <c r="P362" s="37"/>
      <c r="Q362" s="37"/>
    </row>
    <row r="363">
      <c r="A363" s="31">
        <v>2020.0</v>
      </c>
      <c r="B363" s="32" t="s">
        <v>1828</v>
      </c>
      <c r="C363" s="33" t="s">
        <v>1829</v>
      </c>
      <c r="D363" s="34" t="s">
        <v>1830</v>
      </c>
      <c r="E363" s="33" t="s">
        <v>1831</v>
      </c>
      <c r="F363" s="33" t="s">
        <v>1832</v>
      </c>
      <c r="G363" s="33" t="s">
        <v>1270</v>
      </c>
      <c r="H363" s="35" t="s">
        <v>19</v>
      </c>
      <c r="I363" s="36" t="s">
        <v>20</v>
      </c>
      <c r="J363" s="37"/>
      <c r="K363" s="37"/>
      <c r="L363" s="37"/>
      <c r="M363" s="36" t="s">
        <v>1833</v>
      </c>
      <c r="N363" s="37"/>
      <c r="O363" s="37"/>
      <c r="P363" s="37"/>
      <c r="Q363" s="37"/>
    </row>
    <row r="364">
      <c r="A364" s="31">
        <v>2015.0</v>
      </c>
      <c r="B364" s="32" t="s">
        <v>1834</v>
      </c>
      <c r="C364" s="33" t="s">
        <v>1835</v>
      </c>
      <c r="D364" s="34" t="s">
        <v>1789</v>
      </c>
      <c r="E364" s="33" t="s">
        <v>1836</v>
      </c>
      <c r="F364" s="33" t="s">
        <v>1837</v>
      </c>
      <c r="G364" s="33" t="s">
        <v>1270</v>
      </c>
      <c r="H364" s="35" t="s">
        <v>19</v>
      </c>
      <c r="I364" s="36" t="s">
        <v>20</v>
      </c>
      <c r="J364" s="37"/>
      <c r="K364" s="37"/>
      <c r="L364" s="37"/>
      <c r="M364" s="36" t="s">
        <v>1838</v>
      </c>
      <c r="N364" s="37"/>
      <c r="O364" s="37"/>
      <c r="P364" s="37"/>
      <c r="Q364" s="37"/>
    </row>
    <row r="365">
      <c r="A365" s="31">
        <v>2020.0</v>
      </c>
      <c r="B365" s="32" t="s">
        <v>1597</v>
      </c>
      <c r="C365" s="33" t="s">
        <v>1839</v>
      </c>
      <c r="D365" s="34" t="s">
        <v>1599</v>
      </c>
      <c r="E365" s="33" t="s">
        <v>1840</v>
      </c>
      <c r="F365" s="33" t="s">
        <v>1841</v>
      </c>
      <c r="G365" s="33" t="s">
        <v>1270</v>
      </c>
      <c r="H365" s="35" t="s">
        <v>19</v>
      </c>
      <c r="I365" s="36" t="s">
        <v>20</v>
      </c>
      <c r="J365" s="37"/>
      <c r="K365" s="37"/>
      <c r="L365" s="37"/>
      <c r="M365" s="36" t="s">
        <v>1842</v>
      </c>
      <c r="N365" s="37"/>
      <c r="O365" s="37"/>
      <c r="P365" s="37"/>
      <c r="Q365" s="37"/>
    </row>
    <row r="366">
      <c r="A366" s="31">
        <v>2024.0</v>
      </c>
      <c r="B366" s="32" t="s">
        <v>1843</v>
      </c>
      <c r="C366" s="33" t="s">
        <v>1844</v>
      </c>
      <c r="D366" s="34" t="s">
        <v>1789</v>
      </c>
      <c r="E366" s="33" t="s">
        <v>1845</v>
      </c>
      <c r="F366" s="33" t="s">
        <v>1846</v>
      </c>
      <c r="G366" s="33" t="s">
        <v>1270</v>
      </c>
      <c r="H366" s="35" t="s">
        <v>19</v>
      </c>
      <c r="I366" s="36" t="s">
        <v>20</v>
      </c>
      <c r="J366" s="37"/>
      <c r="K366" s="37"/>
      <c r="L366" s="37"/>
      <c r="M366" s="36" t="s">
        <v>1847</v>
      </c>
      <c r="N366" s="37"/>
      <c r="O366" s="37"/>
      <c r="P366" s="37"/>
      <c r="Q366" s="37"/>
    </row>
    <row r="367">
      <c r="A367" s="31">
        <v>2022.0</v>
      </c>
      <c r="B367" s="32" t="s">
        <v>1848</v>
      </c>
      <c r="C367" s="33" t="s">
        <v>1849</v>
      </c>
      <c r="D367" s="34" t="s">
        <v>1850</v>
      </c>
      <c r="E367" s="33" t="s">
        <v>1851</v>
      </c>
      <c r="F367" s="33" t="s">
        <v>1852</v>
      </c>
      <c r="G367" s="33" t="s">
        <v>1270</v>
      </c>
      <c r="H367" s="35" t="s">
        <v>19</v>
      </c>
      <c r="I367" s="36" t="s">
        <v>20</v>
      </c>
      <c r="J367" s="37"/>
      <c r="K367" s="37"/>
      <c r="L367" s="37"/>
      <c r="M367" s="36" t="s">
        <v>1853</v>
      </c>
      <c r="N367" s="37"/>
      <c r="O367" s="37"/>
      <c r="P367" s="37"/>
      <c r="Q367" s="37"/>
    </row>
    <row r="368">
      <c r="A368" s="31">
        <v>2007.0</v>
      </c>
      <c r="B368" s="32" t="s">
        <v>1854</v>
      </c>
      <c r="C368" s="33" t="s">
        <v>1855</v>
      </c>
      <c r="D368" s="34" t="s">
        <v>1856</v>
      </c>
      <c r="E368" s="33" t="s">
        <v>1857</v>
      </c>
      <c r="F368" s="33" t="s">
        <v>1858</v>
      </c>
      <c r="G368" s="33" t="s">
        <v>1270</v>
      </c>
      <c r="H368" s="35" t="s">
        <v>67</v>
      </c>
      <c r="I368" s="36" t="s">
        <v>20</v>
      </c>
      <c r="J368" s="37"/>
      <c r="K368" s="37"/>
      <c r="L368" s="37"/>
      <c r="M368" s="36" t="s">
        <v>1859</v>
      </c>
      <c r="N368" s="37"/>
      <c r="O368" s="37"/>
      <c r="P368" s="37"/>
      <c r="Q368" s="37"/>
    </row>
    <row r="369">
      <c r="A369" s="31">
        <v>2012.0</v>
      </c>
      <c r="B369" s="32" t="s">
        <v>1860</v>
      </c>
      <c r="C369" s="33" t="s">
        <v>1861</v>
      </c>
      <c r="D369" s="34" t="s">
        <v>1850</v>
      </c>
      <c r="E369" s="33" t="s">
        <v>1862</v>
      </c>
      <c r="F369" s="33" t="s">
        <v>1863</v>
      </c>
      <c r="G369" s="33" t="s">
        <v>1270</v>
      </c>
      <c r="H369" s="35" t="s">
        <v>19</v>
      </c>
      <c r="I369" s="36" t="s">
        <v>20</v>
      </c>
      <c r="J369" s="37"/>
      <c r="K369" s="37"/>
      <c r="L369" s="37"/>
      <c r="M369" s="36" t="s">
        <v>1864</v>
      </c>
      <c r="N369" s="36"/>
      <c r="O369" s="37"/>
      <c r="P369" s="37"/>
      <c r="Q369" s="37"/>
    </row>
    <row r="370">
      <c r="A370" s="31">
        <v>2015.0</v>
      </c>
      <c r="B370" s="32" t="s">
        <v>1865</v>
      </c>
      <c r="C370" s="35" t="s">
        <v>1866</v>
      </c>
      <c r="D370" s="34" t="s">
        <v>1611</v>
      </c>
      <c r="E370" s="38"/>
      <c r="F370" s="33" t="s">
        <v>1867</v>
      </c>
      <c r="G370" s="33" t="s">
        <v>1270</v>
      </c>
      <c r="H370" s="35" t="s">
        <v>19</v>
      </c>
      <c r="I370" s="36" t="s">
        <v>20</v>
      </c>
      <c r="J370" s="37"/>
      <c r="K370" s="37"/>
      <c r="L370" s="37"/>
      <c r="M370" s="36" t="s">
        <v>1868</v>
      </c>
      <c r="N370" s="37"/>
      <c r="O370" s="37"/>
      <c r="P370" s="37"/>
      <c r="Q370" s="37"/>
    </row>
    <row r="371">
      <c r="A371" s="31">
        <v>2016.0</v>
      </c>
      <c r="B371" s="32" t="s">
        <v>1869</v>
      </c>
      <c r="C371" s="33" t="s">
        <v>1870</v>
      </c>
      <c r="D371" s="34" t="s">
        <v>1492</v>
      </c>
      <c r="E371" s="33" t="s">
        <v>1871</v>
      </c>
      <c r="F371" s="33" t="s">
        <v>1872</v>
      </c>
      <c r="G371" s="33" t="s">
        <v>1270</v>
      </c>
      <c r="H371" s="35" t="s">
        <v>19</v>
      </c>
      <c r="I371" s="36" t="s">
        <v>20</v>
      </c>
      <c r="J371" s="37"/>
      <c r="K371" s="37"/>
      <c r="L371" s="37"/>
      <c r="M371" s="36" t="s">
        <v>1873</v>
      </c>
      <c r="N371" s="37"/>
      <c r="O371" s="37"/>
      <c r="P371" s="37"/>
      <c r="Q371" s="37"/>
    </row>
    <row r="372">
      <c r="A372" s="31">
        <v>2015.0</v>
      </c>
      <c r="B372" s="32" t="s">
        <v>1874</v>
      </c>
      <c r="C372" s="33" t="s">
        <v>1875</v>
      </c>
      <c r="D372" s="34" t="s">
        <v>1644</v>
      </c>
      <c r="E372" s="33" t="s">
        <v>1876</v>
      </c>
      <c r="F372" s="33" t="s">
        <v>1877</v>
      </c>
      <c r="G372" s="33" t="s">
        <v>1270</v>
      </c>
      <c r="H372" s="35" t="s">
        <v>19</v>
      </c>
      <c r="I372" s="36" t="s">
        <v>20</v>
      </c>
      <c r="J372" s="37"/>
      <c r="K372" s="37"/>
      <c r="L372" s="37"/>
      <c r="M372" s="36" t="s">
        <v>1878</v>
      </c>
      <c r="N372" s="37"/>
      <c r="O372" s="37"/>
      <c r="P372" s="37"/>
      <c r="Q372" s="37"/>
    </row>
    <row r="373">
      <c r="A373" s="31">
        <v>2021.0</v>
      </c>
      <c r="B373" s="32" t="s">
        <v>1879</v>
      </c>
      <c r="C373" s="33" t="s">
        <v>1880</v>
      </c>
      <c r="D373" s="34" t="s">
        <v>1553</v>
      </c>
      <c r="E373" s="33" t="s">
        <v>1881</v>
      </c>
      <c r="F373" s="33" t="s">
        <v>1882</v>
      </c>
      <c r="G373" s="33" t="s">
        <v>1270</v>
      </c>
      <c r="H373" s="35" t="s">
        <v>19</v>
      </c>
      <c r="I373" s="36" t="s">
        <v>20</v>
      </c>
      <c r="J373" s="37"/>
      <c r="K373" s="37"/>
      <c r="L373" s="37"/>
      <c r="M373" s="36" t="s">
        <v>1883</v>
      </c>
      <c r="N373" s="37"/>
      <c r="O373" s="37"/>
      <c r="P373" s="37"/>
      <c r="Q373" s="37"/>
    </row>
    <row r="374">
      <c r="A374" s="31">
        <v>2025.0</v>
      </c>
      <c r="B374" s="32" t="s">
        <v>1884</v>
      </c>
      <c r="C374" s="33" t="s">
        <v>1885</v>
      </c>
      <c r="D374" s="34" t="s">
        <v>1886</v>
      </c>
      <c r="E374" s="33" t="s">
        <v>1887</v>
      </c>
      <c r="F374" s="33" t="s">
        <v>1888</v>
      </c>
      <c r="G374" s="33" t="s">
        <v>1270</v>
      </c>
      <c r="H374" s="35" t="s">
        <v>19</v>
      </c>
      <c r="I374" s="36" t="s">
        <v>20</v>
      </c>
      <c r="J374" s="37"/>
      <c r="K374" s="37"/>
      <c r="L374" s="37"/>
      <c r="M374" s="36" t="s">
        <v>1889</v>
      </c>
      <c r="N374" s="37"/>
      <c r="O374" s="37"/>
      <c r="P374" s="37"/>
      <c r="Q374" s="37"/>
    </row>
    <row r="375">
      <c r="A375" s="31">
        <v>2016.0</v>
      </c>
      <c r="B375" s="32" t="s">
        <v>1890</v>
      </c>
      <c r="C375" s="33" t="s">
        <v>1891</v>
      </c>
      <c r="D375" s="34" t="s">
        <v>1492</v>
      </c>
      <c r="E375" s="33" t="s">
        <v>1892</v>
      </c>
      <c r="F375" s="33" t="s">
        <v>1893</v>
      </c>
      <c r="G375" s="33" t="s">
        <v>1270</v>
      </c>
      <c r="H375" s="35" t="s">
        <v>19</v>
      </c>
      <c r="I375" s="36" t="s">
        <v>20</v>
      </c>
      <c r="J375" s="37"/>
      <c r="K375" s="37"/>
      <c r="L375" s="37"/>
      <c r="M375" s="36" t="s">
        <v>1894</v>
      </c>
      <c r="N375" s="37"/>
      <c r="O375" s="37"/>
      <c r="P375" s="37"/>
      <c r="Q375" s="37"/>
    </row>
    <row r="376">
      <c r="A376" s="31">
        <v>2016.0</v>
      </c>
      <c r="B376" s="32" t="s">
        <v>1895</v>
      </c>
      <c r="C376" s="33" t="s">
        <v>1896</v>
      </c>
      <c r="D376" s="34" t="s">
        <v>1704</v>
      </c>
      <c r="E376" s="33" t="s">
        <v>1897</v>
      </c>
      <c r="F376" s="33" t="s">
        <v>1898</v>
      </c>
      <c r="G376" s="33" t="s">
        <v>1270</v>
      </c>
      <c r="H376" s="35" t="s">
        <v>19</v>
      </c>
      <c r="I376" s="36" t="s">
        <v>20</v>
      </c>
      <c r="J376" s="37"/>
      <c r="K376" s="37"/>
      <c r="L376" s="37"/>
      <c r="M376" s="36" t="s">
        <v>1899</v>
      </c>
      <c r="N376" s="37"/>
      <c r="O376" s="37"/>
      <c r="P376" s="37"/>
      <c r="Q376" s="37"/>
    </row>
    <row r="377">
      <c r="A377" s="31">
        <v>2020.0</v>
      </c>
      <c r="B377" s="32" t="s">
        <v>1900</v>
      </c>
      <c r="C377" s="33" t="s">
        <v>1901</v>
      </c>
      <c r="D377" s="34" t="s">
        <v>1902</v>
      </c>
      <c r="E377" s="33" t="s">
        <v>1903</v>
      </c>
      <c r="F377" s="33" t="s">
        <v>1904</v>
      </c>
      <c r="G377" s="33" t="s">
        <v>1270</v>
      </c>
      <c r="H377" s="35" t="s">
        <v>19</v>
      </c>
      <c r="I377" s="36" t="s">
        <v>20</v>
      </c>
      <c r="J377" s="37"/>
      <c r="K377" s="37"/>
      <c r="L377" s="37"/>
      <c r="M377" s="36" t="s">
        <v>1905</v>
      </c>
      <c r="N377" s="37"/>
      <c r="O377" s="37"/>
      <c r="P377" s="37"/>
      <c r="Q377" s="37"/>
    </row>
    <row r="378">
      <c r="A378" s="31">
        <v>2015.0</v>
      </c>
      <c r="B378" s="32" t="s">
        <v>1906</v>
      </c>
      <c r="C378" s="35" t="s">
        <v>1907</v>
      </c>
      <c r="D378" s="34" t="s">
        <v>1611</v>
      </c>
      <c r="E378" s="38"/>
      <c r="F378" s="33" t="s">
        <v>1908</v>
      </c>
      <c r="G378" s="33" t="s">
        <v>1270</v>
      </c>
      <c r="H378" s="35" t="s">
        <v>19</v>
      </c>
      <c r="I378" s="36" t="s">
        <v>20</v>
      </c>
      <c r="J378" s="37"/>
      <c r="K378" s="37"/>
      <c r="L378" s="37"/>
      <c r="M378" s="36" t="s">
        <v>1909</v>
      </c>
      <c r="N378" s="37"/>
      <c r="O378" s="37"/>
      <c r="P378" s="37"/>
      <c r="Q378" s="37"/>
    </row>
    <row r="379">
      <c r="A379" s="31">
        <v>2018.0</v>
      </c>
      <c r="B379" s="32" t="s">
        <v>1910</v>
      </c>
      <c r="C379" s="33" t="s">
        <v>1911</v>
      </c>
      <c r="D379" s="34" t="s">
        <v>1912</v>
      </c>
      <c r="E379" s="33" t="s">
        <v>1913</v>
      </c>
      <c r="F379" s="33" t="s">
        <v>1914</v>
      </c>
      <c r="G379" s="33" t="s">
        <v>1270</v>
      </c>
      <c r="H379" s="35" t="s">
        <v>19</v>
      </c>
      <c r="I379" s="36" t="s">
        <v>20</v>
      </c>
      <c r="J379" s="37"/>
      <c r="K379" s="37"/>
      <c r="L379" s="37"/>
      <c r="M379" s="36" t="s">
        <v>1915</v>
      </c>
      <c r="N379" s="37"/>
      <c r="O379" s="37"/>
      <c r="P379" s="37"/>
      <c r="Q379" s="37"/>
    </row>
    <row r="380">
      <c r="A380" s="31">
        <v>2014.0</v>
      </c>
      <c r="B380" s="32" t="s">
        <v>1916</v>
      </c>
      <c r="C380" s="33" t="s">
        <v>1917</v>
      </c>
      <c r="D380" s="34" t="s">
        <v>1644</v>
      </c>
      <c r="E380" s="33" t="s">
        <v>1918</v>
      </c>
      <c r="F380" s="33" t="s">
        <v>1919</v>
      </c>
      <c r="G380" s="33" t="s">
        <v>1270</v>
      </c>
      <c r="H380" s="35" t="s">
        <v>19</v>
      </c>
      <c r="I380" s="36" t="s">
        <v>20</v>
      </c>
      <c r="J380" s="37"/>
      <c r="K380" s="37"/>
      <c r="L380" s="37"/>
      <c r="M380" s="36" t="s">
        <v>1920</v>
      </c>
      <c r="N380" s="37"/>
      <c r="O380" s="37"/>
      <c r="P380" s="37"/>
      <c r="Q380" s="37"/>
    </row>
    <row r="381">
      <c r="A381" s="31">
        <v>2023.0</v>
      </c>
      <c r="B381" s="32" t="s">
        <v>1921</v>
      </c>
      <c r="C381" s="33" t="s">
        <v>1922</v>
      </c>
      <c r="D381" s="34" t="s">
        <v>1923</v>
      </c>
      <c r="E381" s="33" t="s">
        <v>1924</v>
      </c>
      <c r="F381" s="33" t="s">
        <v>1925</v>
      </c>
      <c r="G381" s="33" t="s">
        <v>1270</v>
      </c>
      <c r="H381" s="35" t="s">
        <v>19</v>
      </c>
      <c r="I381" s="36" t="s">
        <v>27</v>
      </c>
      <c r="J381" s="37"/>
      <c r="K381" s="37"/>
      <c r="L381" s="37"/>
      <c r="M381" s="37"/>
      <c r="N381" s="37"/>
      <c r="O381" s="37"/>
      <c r="P381" s="37"/>
      <c r="Q381" s="37"/>
    </row>
    <row r="382">
      <c r="A382" s="31">
        <v>2014.0</v>
      </c>
      <c r="B382" s="32" t="s">
        <v>1926</v>
      </c>
      <c r="C382" s="33" t="s">
        <v>1927</v>
      </c>
      <c r="D382" s="34" t="s">
        <v>1784</v>
      </c>
      <c r="E382" s="33" t="s">
        <v>1928</v>
      </c>
      <c r="F382" s="33" t="s">
        <v>1929</v>
      </c>
      <c r="G382" s="33" t="s">
        <v>1270</v>
      </c>
      <c r="H382" s="35" t="s">
        <v>19</v>
      </c>
      <c r="I382" s="36" t="s">
        <v>20</v>
      </c>
      <c r="J382" s="37"/>
      <c r="K382" s="37"/>
      <c r="L382" s="37"/>
      <c r="M382" s="36" t="s">
        <v>1930</v>
      </c>
      <c r="N382" s="37"/>
      <c r="O382" s="37"/>
      <c r="P382" s="37"/>
      <c r="Q382" s="37"/>
    </row>
    <row r="383">
      <c r="A383" s="31">
        <v>2018.0</v>
      </c>
      <c r="B383" s="32" t="s">
        <v>1931</v>
      </c>
      <c r="C383" s="33" t="s">
        <v>1932</v>
      </c>
      <c r="D383" s="34" t="s">
        <v>1933</v>
      </c>
      <c r="E383" s="33" t="s">
        <v>1934</v>
      </c>
      <c r="F383" s="33" t="s">
        <v>1935</v>
      </c>
      <c r="G383" s="33" t="s">
        <v>1270</v>
      </c>
      <c r="H383" s="35" t="s">
        <v>19</v>
      </c>
      <c r="I383" s="36" t="s">
        <v>20</v>
      </c>
      <c r="J383" s="37"/>
      <c r="K383" s="37"/>
      <c r="L383" s="37"/>
      <c r="M383" s="36" t="s">
        <v>1936</v>
      </c>
      <c r="N383" s="37"/>
      <c r="O383" s="37"/>
      <c r="P383" s="37"/>
      <c r="Q383" s="37"/>
    </row>
    <row r="384">
      <c r="A384" s="31">
        <v>2023.0</v>
      </c>
      <c r="B384" s="32" t="s">
        <v>1937</v>
      </c>
      <c r="C384" s="33" t="s">
        <v>1938</v>
      </c>
      <c r="D384" s="34" t="s">
        <v>1294</v>
      </c>
      <c r="E384" s="33" t="s">
        <v>1939</v>
      </c>
      <c r="F384" s="33" t="s">
        <v>1940</v>
      </c>
      <c r="G384" s="33" t="s">
        <v>1270</v>
      </c>
      <c r="H384" s="35" t="s">
        <v>67</v>
      </c>
      <c r="I384" s="36" t="s">
        <v>20</v>
      </c>
      <c r="J384" s="37"/>
      <c r="K384" s="37"/>
      <c r="L384" s="37"/>
      <c r="M384" s="36" t="s">
        <v>1941</v>
      </c>
      <c r="N384" s="37"/>
      <c r="O384" s="37"/>
      <c r="P384" s="37"/>
      <c r="Q384" s="37"/>
    </row>
    <row r="385">
      <c r="A385" s="31">
        <v>2014.0</v>
      </c>
      <c r="B385" s="32" t="s">
        <v>1942</v>
      </c>
      <c r="C385" s="33" t="s">
        <v>1943</v>
      </c>
      <c r="D385" s="34" t="s">
        <v>1944</v>
      </c>
      <c r="E385" s="33" t="s">
        <v>1945</v>
      </c>
      <c r="F385" s="33" t="s">
        <v>1946</v>
      </c>
      <c r="G385" s="33" t="s">
        <v>1270</v>
      </c>
      <c r="H385" s="35" t="s">
        <v>19</v>
      </c>
      <c r="I385" s="36" t="s">
        <v>20</v>
      </c>
      <c r="J385" s="37"/>
      <c r="K385" s="37"/>
      <c r="L385" s="37"/>
      <c r="M385" s="36" t="s">
        <v>1947</v>
      </c>
      <c r="N385" s="37"/>
      <c r="O385" s="37"/>
      <c r="P385" s="37"/>
      <c r="Q385" s="37"/>
    </row>
    <row r="386">
      <c r="A386" s="31">
        <v>2020.0</v>
      </c>
      <c r="B386" s="32" t="s">
        <v>1948</v>
      </c>
      <c r="C386" s="33" t="s">
        <v>1949</v>
      </c>
      <c r="D386" s="34" t="s">
        <v>1912</v>
      </c>
      <c r="E386" s="33" t="s">
        <v>1950</v>
      </c>
      <c r="F386" s="33" t="s">
        <v>1951</v>
      </c>
      <c r="G386" s="33" t="s">
        <v>1270</v>
      </c>
      <c r="H386" s="35" t="s">
        <v>19</v>
      </c>
      <c r="I386" s="36" t="s">
        <v>27</v>
      </c>
      <c r="J386" s="37"/>
      <c r="K386" s="37"/>
      <c r="L386" s="37"/>
      <c r="M386" s="37"/>
      <c r="N386" s="37"/>
      <c r="O386" s="37"/>
      <c r="P386" s="37"/>
      <c r="Q386" s="37"/>
    </row>
    <row r="387">
      <c r="A387" s="31">
        <v>2019.0</v>
      </c>
      <c r="B387" s="32" t="s">
        <v>1952</v>
      </c>
      <c r="C387" s="33" t="s">
        <v>1953</v>
      </c>
      <c r="D387" s="34" t="s">
        <v>1954</v>
      </c>
      <c r="E387" s="33" t="s">
        <v>1955</v>
      </c>
      <c r="F387" s="33" t="s">
        <v>1956</v>
      </c>
      <c r="G387" s="33" t="s">
        <v>1270</v>
      </c>
      <c r="H387" s="35" t="s">
        <v>19</v>
      </c>
      <c r="I387" s="36" t="s">
        <v>20</v>
      </c>
      <c r="J387" s="37"/>
      <c r="K387" s="37"/>
      <c r="L387" s="37"/>
      <c r="M387" s="36" t="s">
        <v>1957</v>
      </c>
      <c r="N387" s="37"/>
      <c r="O387" s="37"/>
      <c r="P387" s="37"/>
      <c r="Q387" s="37"/>
    </row>
    <row r="388">
      <c r="A388" s="31">
        <v>2020.0</v>
      </c>
      <c r="B388" s="32" t="s">
        <v>1958</v>
      </c>
      <c r="C388" s="33" t="s">
        <v>1959</v>
      </c>
      <c r="D388" s="34" t="s">
        <v>1960</v>
      </c>
      <c r="E388" s="33" t="s">
        <v>1961</v>
      </c>
      <c r="F388" s="33" t="s">
        <v>1962</v>
      </c>
      <c r="G388" s="33" t="s">
        <v>1270</v>
      </c>
      <c r="H388" s="35" t="s">
        <v>19</v>
      </c>
      <c r="I388" s="36" t="s">
        <v>20</v>
      </c>
      <c r="J388" s="37"/>
      <c r="K388" s="37"/>
      <c r="L388" s="37"/>
      <c r="M388" s="36" t="s">
        <v>1963</v>
      </c>
      <c r="N388" s="36"/>
      <c r="O388" s="37"/>
      <c r="P388" s="37"/>
      <c r="Q388" s="37"/>
    </row>
    <row r="389">
      <c r="A389" s="31">
        <v>2024.0</v>
      </c>
      <c r="B389" s="32" t="s">
        <v>1964</v>
      </c>
      <c r="C389" s="33" t="s">
        <v>1965</v>
      </c>
      <c r="D389" s="34" t="s">
        <v>1492</v>
      </c>
      <c r="E389" s="33" t="s">
        <v>1966</v>
      </c>
      <c r="F389" s="33" t="s">
        <v>1967</v>
      </c>
      <c r="G389" s="33" t="s">
        <v>1270</v>
      </c>
      <c r="H389" s="35" t="s">
        <v>19</v>
      </c>
      <c r="I389" s="36" t="s">
        <v>20</v>
      </c>
      <c r="J389" s="37"/>
      <c r="K389" s="37"/>
      <c r="L389" s="37"/>
      <c r="M389" s="36" t="s">
        <v>1968</v>
      </c>
      <c r="N389" s="37"/>
      <c r="O389" s="37"/>
      <c r="P389" s="37"/>
      <c r="Q389" s="37"/>
    </row>
    <row r="390">
      <c r="A390" s="23">
        <v>2021.0</v>
      </c>
      <c r="B390" s="24" t="s">
        <v>1969</v>
      </c>
      <c r="C390" s="28" t="s">
        <v>1970</v>
      </c>
      <c r="D390" s="26" t="s">
        <v>1971</v>
      </c>
      <c r="E390" s="27"/>
      <c r="F390" s="27"/>
      <c r="G390" s="28" t="s">
        <v>1348</v>
      </c>
      <c r="H390" s="25" t="s">
        <v>67</v>
      </c>
      <c r="I390" s="29" t="s">
        <v>27</v>
      </c>
      <c r="J390" s="30"/>
      <c r="K390" s="30"/>
      <c r="L390" s="30"/>
      <c r="M390" s="30"/>
      <c r="N390" s="30"/>
      <c r="O390" s="37"/>
      <c r="P390" s="37"/>
      <c r="Q390" s="37"/>
    </row>
    <row r="391">
      <c r="A391" s="31">
        <v>2014.0</v>
      </c>
      <c r="B391" s="32" t="s">
        <v>1972</v>
      </c>
      <c r="C391" s="33" t="s">
        <v>1973</v>
      </c>
      <c r="D391" s="34" t="s">
        <v>1667</v>
      </c>
      <c r="E391" s="33" t="s">
        <v>1974</v>
      </c>
      <c r="F391" s="33" t="s">
        <v>1975</v>
      </c>
      <c r="G391" s="33" t="s">
        <v>1270</v>
      </c>
      <c r="H391" s="35" t="s">
        <v>19</v>
      </c>
      <c r="I391" s="36" t="s">
        <v>20</v>
      </c>
      <c r="J391" s="37"/>
      <c r="K391" s="37"/>
      <c r="L391" s="37"/>
      <c r="M391" s="36" t="s">
        <v>1976</v>
      </c>
      <c r="N391" s="37"/>
      <c r="O391" s="37"/>
      <c r="P391" s="37"/>
      <c r="Q391" s="37"/>
    </row>
    <row r="392">
      <c r="A392" s="31">
        <v>2021.0</v>
      </c>
      <c r="B392" s="32" t="s">
        <v>1977</v>
      </c>
      <c r="C392" s="33" t="s">
        <v>1978</v>
      </c>
      <c r="D392" s="34" t="s">
        <v>1979</v>
      </c>
      <c r="E392" s="33" t="s">
        <v>1980</v>
      </c>
      <c r="F392" s="33" t="s">
        <v>1981</v>
      </c>
      <c r="G392" s="33" t="s">
        <v>1270</v>
      </c>
      <c r="H392" s="35" t="s">
        <v>19</v>
      </c>
      <c r="I392" s="36" t="s">
        <v>20</v>
      </c>
      <c r="J392" s="37"/>
      <c r="K392" s="37"/>
      <c r="L392" s="37"/>
      <c r="M392" s="36" t="s">
        <v>1982</v>
      </c>
      <c r="N392" s="37"/>
      <c r="O392" s="37"/>
      <c r="P392" s="37"/>
      <c r="Q392" s="37"/>
    </row>
    <row r="393">
      <c r="A393" s="31">
        <v>2019.0</v>
      </c>
      <c r="B393" s="32" t="s">
        <v>1983</v>
      </c>
      <c r="C393" s="33" t="s">
        <v>1984</v>
      </c>
      <c r="D393" s="34" t="s">
        <v>1850</v>
      </c>
      <c r="E393" s="33" t="s">
        <v>1985</v>
      </c>
      <c r="F393" s="33" t="s">
        <v>1986</v>
      </c>
      <c r="G393" s="33" t="s">
        <v>1270</v>
      </c>
      <c r="H393" s="35" t="s">
        <v>19</v>
      </c>
      <c r="I393" s="36" t="s">
        <v>20</v>
      </c>
      <c r="J393" s="37"/>
      <c r="K393" s="37"/>
      <c r="L393" s="37"/>
      <c r="M393" s="36" t="s">
        <v>1987</v>
      </c>
      <c r="N393" s="37"/>
      <c r="O393" s="37"/>
      <c r="P393" s="37"/>
      <c r="Q393" s="37"/>
    </row>
    <row r="394">
      <c r="A394" s="31">
        <v>2023.0</v>
      </c>
      <c r="B394" s="32" t="s">
        <v>1988</v>
      </c>
      <c r="C394" s="33" t="s">
        <v>1989</v>
      </c>
      <c r="D394" s="34" t="s">
        <v>1784</v>
      </c>
      <c r="E394" s="33" t="s">
        <v>1990</v>
      </c>
      <c r="F394" s="33" t="s">
        <v>1991</v>
      </c>
      <c r="G394" s="33" t="s">
        <v>1270</v>
      </c>
      <c r="H394" s="35" t="s">
        <v>19</v>
      </c>
      <c r="I394" s="36" t="s">
        <v>27</v>
      </c>
      <c r="J394" s="37"/>
      <c r="K394" s="37"/>
      <c r="L394" s="37"/>
      <c r="M394" s="37"/>
      <c r="N394" s="37"/>
      <c r="O394" s="37"/>
      <c r="P394" s="37"/>
      <c r="Q394" s="37"/>
    </row>
    <row r="395">
      <c r="A395" s="31">
        <v>2013.0</v>
      </c>
      <c r="B395" s="32" t="s">
        <v>1992</v>
      </c>
      <c r="C395" s="33" t="s">
        <v>1993</v>
      </c>
      <c r="D395" s="34" t="s">
        <v>1850</v>
      </c>
      <c r="E395" s="33" t="s">
        <v>1994</v>
      </c>
      <c r="F395" s="33" t="s">
        <v>1995</v>
      </c>
      <c r="G395" s="33" t="s">
        <v>1270</v>
      </c>
      <c r="H395" s="35" t="s">
        <v>19</v>
      </c>
      <c r="I395" s="36" t="s">
        <v>20</v>
      </c>
      <c r="J395" s="37"/>
      <c r="K395" s="37"/>
      <c r="L395" s="37"/>
      <c r="M395" s="36" t="s">
        <v>1996</v>
      </c>
      <c r="N395" s="37"/>
      <c r="O395" s="37"/>
      <c r="P395" s="37"/>
      <c r="Q395" s="37"/>
    </row>
    <row r="396">
      <c r="A396" s="31">
        <v>2013.0</v>
      </c>
      <c r="B396" s="32" t="s">
        <v>1997</v>
      </c>
      <c r="C396" s="33" t="s">
        <v>1998</v>
      </c>
      <c r="D396" s="34" t="s">
        <v>1999</v>
      </c>
      <c r="E396" s="33" t="s">
        <v>2000</v>
      </c>
      <c r="F396" s="33" t="s">
        <v>2001</v>
      </c>
      <c r="G396" s="33" t="s">
        <v>1270</v>
      </c>
      <c r="H396" s="35" t="s">
        <v>19</v>
      </c>
      <c r="I396" s="36" t="s">
        <v>20</v>
      </c>
      <c r="J396" s="37"/>
      <c r="K396" s="37"/>
      <c r="L396" s="37"/>
      <c r="M396" s="36" t="s">
        <v>2002</v>
      </c>
      <c r="N396" s="37"/>
      <c r="O396" s="37"/>
      <c r="P396" s="37"/>
      <c r="Q396" s="37"/>
    </row>
    <row r="397">
      <c r="A397" s="31">
        <v>2014.0</v>
      </c>
      <c r="B397" s="32" t="s">
        <v>2003</v>
      </c>
      <c r="C397" s="33" t="s">
        <v>2004</v>
      </c>
      <c r="D397" s="34" t="s">
        <v>1850</v>
      </c>
      <c r="E397" s="33" t="s">
        <v>2005</v>
      </c>
      <c r="F397" s="33" t="s">
        <v>2006</v>
      </c>
      <c r="G397" s="33" t="s">
        <v>1270</v>
      </c>
      <c r="H397" s="35" t="s">
        <v>19</v>
      </c>
      <c r="I397" s="36" t="s">
        <v>20</v>
      </c>
      <c r="J397" s="37"/>
      <c r="K397" s="37"/>
      <c r="L397" s="37"/>
      <c r="M397" s="36" t="s">
        <v>2007</v>
      </c>
      <c r="N397" s="37"/>
      <c r="O397" s="37"/>
      <c r="P397" s="37"/>
      <c r="Q397" s="37"/>
    </row>
    <row r="398">
      <c r="A398" s="31">
        <v>2019.0</v>
      </c>
      <c r="B398" s="32" t="s">
        <v>2008</v>
      </c>
      <c r="C398" s="33" t="s">
        <v>2009</v>
      </c>
      <c r="D398" s="34" t="s">
        <v>1954</v>
      </c>
      <c r="E398" s="33" t="s">
        <v>2010</v>
      </c>
      <c r="F398" s="33" t="s">
        <v>2011</v>
      </c>
      <c r="G398" s="33" t="s">
        <v>1270</v>
      </c>
      <c r="H398" s="35" t="s">
        <v>19</v>
      </c>
      <c r="I398" s="36" t="s">
        <v>20</v>
      </c>
      <c r="J398" s="37"/>
      <c r="K398" s="37"/>
      <c r="L398" s="37"/>
      <c r="M398" s="36" t="s">
        <v>2012</v>
      </c>
      <c r="N398" s="37"/>
      <c r="O398" s="37"/>
      <c r="P398" s="37"/>
      <c r="Q398" s="37"/>
    </row>
    <row r="399">
      <c r="A399" s="31">
        <v>2016.0</v>
      </c>
      <c r="B399" s="32" t="s">
        <v>2013</v>
      </c>
      <c r="C399" s="33" t="s">
        <v>2014</v>
      </c>
      <c r="D399" s="34" t="s">
        <v>1850</v>
      </c>
      <c r="E399" s="33" t="s">
        <v>2015</v>
      </c>
      <c r="F399" s="33" t="s">
        <v>2016</v>
      </c>
      <c r="G399" s="33" t="s">
        <v>1270</v>
      </c>
      <c r="H399" s="35" t="s">
        <v>19</v>
      </c>
      <c r="I399" s="36" t="s">
        <v>20</v>
      </c>
      <c r="J399" s="37"/>
      <c r="K399" s="37"/>
      <c r="L399" s="37"/>
      <c r="M399" s="36" t="s">
        <v>2017</v>
      </c>
      <c r="N399" s="37"/>
      <c r="O399" s="37"/>
      <c r="P399" s="37"/>
      <c r="Q399" s="37"/>
    </row>
    <row r="400">
      <c r="A400" s="31">
        <v>2017.0</v>
      </c>
      <c r="B400" s="32" t="s">
        <v>2018</v>
      </c>
      <c r="C400" s="33" t="s">
        <v>2019</v>
      </c>
      <c r="D400" s="34" t="s">
        <v>2020</v>
      </c>
      <c r="E400" s="33" t="s">
        <v>2021</v>
      </c>
      <c r="F400" s="33" t="s">
        <v>2022</v>
      </c>
      <c r="G400" s="33" t="s">
        <v>1270</v>
      </c>
      <c r="H400" s="35" t="s">
        <v>19</v>
      </c>
      <c r="I400" s="36" t="s">
        <v>20</v>
      </c>
      <c r="J400" s="37"/>
      <c r="K400" s="37"/>
      <c r="L400" s="37"/>
      <c r="M400" s="36" t="s">
        <v>2023</v>
      </c>
      <c r="N400" s="37"/>
      <c r="O400" s="37"/>
      <c r="P400" s="37"/>
      <c r="Q400" s="37"/>
    </row>
    <row r="401">
      <c r="A401" s="31">
        <v>2015.0</v>
      </c>
      <c r="B401" s="32" t="s">
        <v>2024</v>
      </c>
      <c r="C401" s="33" t="s">
        <v>2025</v>
      </c>
      <c r="D401" s="34" t="s">
        <v>1404</v>
      </c>
      <c r="E401" s="33" t="s">
        <v>2026</v>
      </c>
      <c r="F401" s="33" t="s">
        <v>2027</v>
      </c>
      <c r="G401" s="33" t="s">
        <v>1270</v>
      </c>
      <c r="H401" s="35" t="s">
        <v>67</v>
      </c>
      <c r="I401" s="36" t="s">
        <v>20</v>
      </c>
      <c r="J401" s="37"/>
      <c r="K401" s="37"/>
      <c r="L401" s="37"/>
      <c r="M401" s="36" t="s">
        <v>2028</v>
      </c>
      <c r="N401" s="37"/>
      <c r="O401" s="37"/>
      <c r="P401" s="37"/>
      <c r="Q401" s="37"/>
    </row>
    <row r="402">
      <c r="A402" s="31">
        <v>2009.0</v>
      </c>
      <c r="B402" s="32" t="s">
        <v>2029</v>
      </c>
      <c r="C402" s="35" t="s">
        <v>2030</v>
      </c>
      <c r="D402" s="34" t="s">
        <v>2031</v>
      </c>
      <c r="E402" s="38"/>
      <c r="F402" s="33" t="s">
        <v>2032</v>
      </c>
      <c r="G402" s="33" t="s">
        <v>1270</v>
      </c>
      <c r="H402" s="35" t="s">
        <v>19</v>
      </c>
      <c r="I402" s="36" t="s">
        <v>20</v>
      </c>
      <c r="J402" s="37"/>
      <c r="K402" s="37"/>
      <c r="L402" s="37"/>
      <c r="M402" s="36" t="s">
        <v>2033</v>
      </c>
      <c r="N402" s="37"/>
      <c r="O402" s="37"/>
      <c r="P402" s="37"/>
      <c r="Q402" s="37"/>
    </row>
    <row r="403">
      <c r="A403" s="31">
        <v>2019.0</v>
      </c>
      <c r="B403" s="32" t="s">
        <v>2034</v>
      </c>
      <c r="C403" s="33" t="s">
        <v>2035</v>
      </c>
      <c r="D403" s="34" t="s">
        <v>760</v>
      </c>
      <c r="E403" s="33" t="s">
        <v>2036</v>
      </c>
      <c r="F403" s="33" t="s">
        <v>2037</v>
      </c>
      <c r="G403" s="33" t="s">
        <v>1270</v>
      </c>
      <c r="H403" s="35" t="s">
        <v>19</v>
      </c>
      <c r="I403" s="36" t="s">
        <v>20</v>
      </c>
      <c r="J403" s="37"/>
      <c r="K403" s="37"/>
      <c r="L403" s="37"/>
      <c r="M403" s="36" t="s">
        <v>2038</v>
      </c>
      <c r="N403" s="37"/>
      <c r="O403" s="37"/>
      <c r="P403" s="37"/>
      <c r="Q403" s="37"/>
    </row>
    <row r="404">
      <c r="A404" s="31">
        <v>2018.0</v>
      </c>
      <c r="B404" s="32" t="s">
        <v>2039</v>
      </c>
      <c r="C404" s="33" t="s">
        <v>2040</v>
      </c>
      <c r="D404" s="34" t="s">
        <v>1416</v>
      </c>
      <c r="E404" s="33" t="s">
        <v>2041</v>
      </c>
      <c r="F404" s="33" t="s">
        <v>2042</v>
      </c>
      <c r="G404" s="33" t="s">
        <v>1270</v>
      </c>
      <c r="H404" s="35" t="s">
        <v>19</v>
      </c>
      <c r="I404" s="36" t="s">
        <v>20</v>
      </c>
      <c r="J404" s="37"/>
      <c r="K404" s="37"/>
      <c r="L404" s="37"/>
      <c r="M404" s="36" t="s">
        <v>2043</v>
      </c>
      <c r="N404" s="37"/>
      <c r="O404" s="37"/>
      <c r="P404" s="37"/>
      <c r="Q404" s="37"/>
    </row>
    <row r="405">
      <c r="A405" s="31">
        <v>2015.0</v>
      </c>
      <c r="B405" s="32" t="s">
        <v>2044</v>
      </c>
      <c r="C405" s="33" t="s">
        <v>2045</v>
      </c>
      <c r="D405" s="34" t="s">
        <v>1704</v>
      </c>
      <c r="E405" s="33" t="s">
        <v>2046</v>
      </c>
      <c r="F405" s="33" t="s">
        <v>2047</v>
      </c>
      <c r="G405" s="33" t="s">
        <v>1270</v>
      </c>
      <c r="H405" s="35" t="s">
        <v>19</v>
      </c>
      <c r="I405" s="36" t="s">
        <v>20</v>
      </c>
      <c r="J405" s="37"/>
      <c r="K405" s="37"/>
      <c r="L405" s="37"/>
      <c r="M405" s="36" t="s">
        <v>2048</v>
      </c>
      <c r="N405" s="37"/>
      <c r="O405" s="37"/>
      <c r="P405" s="37"/>
      <c r="Q405" s="37"/>
    </row>
    <row r="406">
      <c r="A406" s="31">
        <v>2022.0</v>
      </c>
      <c r="B406" s="32" t="s">
        <v>2049</v>
      </c>
      <c r="C406" s="33" t="s">
        <v>2050</v>
      </c>
      <c r="D406" s="34" t="s">
        <v>1373</v>
      </c>
      <c r="E406" s="33" t="s">
        <v>2051</v>
      </c>
      <c r="F406" s="33" t="s">
        <v>2052</v>
      </c>
      <c r="G406" s="33" t="s">
        <v>1270</v>
      </c>
      <c r="H406" s="35" t="s">
        <v>19</v>
      </c>
      <c r="I406" s="36" t="s">
        <v>27</v>
      </c>
      <c r="J406" s="37"/>
      <c r="K406" s="37"/>
      <c r="L406" s="37"/>
      <c r="M406" s="37"/>
      <c r="N406" s="37"/>
      <c r="O406" s="37"/>
      <c r="P406" s="37"/>
      <c r="Q406" s="37"/>
    </row>
    <row r="407">
      <c r="A407" s="31">
        <v>2016.0</v>
      </c>
      <c r="B407" s="32" t="s">
        <v>2053</v>
      </c>
      <c r="C407" s="33" t="s">
        <v>2054</v>
      </c>
      <c r="D407" s="34" t="s">
        <v>1789</v>
      </c>
      <c r="E407" s="33" t="s">
        <v>2055</v>
      </c>
      <c r="F407" s="33" t="s">
        <v>2056</v>
      </c>
      <c r="G407" s="33" t="s">
        <v>1270</v>
      </c>
      <c r="H407" s="35" t="s">
        <v>19</v>
      </c>
      <c r="I407" s="36" t="s">
        <v>20</v>
      </c>
      <c r="J407" s="37"/>
      <c r="K407" s="37"/>
      <c r="L407" s="37"/>
      <c r="M407" s="36" t="s">
        <v>2057</v>
      </c>
      <c r="N407" s="37"/>
      <c r="O407" s="37"/>
      <c r="P407" s="37"/>
      <c r="Q407" s="37"/>
    </row>
    <row r="408">
      <c r="A408" s="31">
        <v>2016.0</v>
      </c>
      <c r="B408" s="32" t="s">
        <v>2058</v>
      </c>
      <c r="C408" s="33" t="s">
        <v>2059</v>
      </c>
      <c r="D408" s="34" t="s">
        <v>1492</v>
      </c>
      <c r="E408" s="33" t="s">
        <v>2060</v>
      </c>
      <c r="F408" s="33" t="s">
        <v>2061</v>
      </c>
      <c r="G408" s="33" t="s">
        <v>1270</v>
      </c>
      <c r="H408" s="35" t="s">
        <v>19</v>
      </c>
      <c r="I408" s="36" t="s">
        <v>20</v>
      </c>
      <c r="J408" s="37"/>
      <c r="K408" s="37"/>
      <c r="L408" s="37"/>
      <c r="M408" s="36" t="s">
        <v>2062</v>
      </c>
      <c r="N408" s="37"/>
      <c r="O408" s="37"/>
      <c r="P408" s="37"/>
      <c r="Q408" s="37"/>
    </row>
    <row r="409">
      <c r="A409" s="31">
        <v>2017.0</v>
      </c>
      <c r="B409" s="32" t="s">
        <v>2063</v>
      </c>
      <c r="C409" s="33" t="s">
        <v>2064</v>
      </c>
      <c r="D409" s="34" t="s">
        <v>1327</v>
      </c>
      <c r="E409" s="33" t="s">
        <v>2065</v>
      </c>
      <c r="F409" s="33" t="s">
        <v>2066</v>
      </c>
      <c r="G409" s="33" t="s">
        <v>1270</v>
      </c>
      <c r="H409" s="35" t="s">
        <v>67</v>
      </c>
      <c r="I409" s="36" t="s">
        <v>20</v>
      </c>
      <c r="J409" s="37"/>
      <c r="K409" s="37"/>
      <c r="L409" s="37"/>
      <c r="M409" s="36" t="s">
        <v>2067</v>
      </c>
      <c r="N409" s="37"/>
      <c r="O409" s="37"/>
      <c r="P409" s="37"/>
      <c r="Q409" s="37"/>
    </row>
    <row r="410">
      <c r="A410" s="31">
        <v>2016.0</v>
      </c>
      <c r="B410" s="32" t="s">
        <v>2068</v>
      </c>
      <c r="C410" s="33" t="s">
        <v>2069</v>
      </c>
      <c r="D410" s="34" t="s">
        <v>2070</v>
      </c>
      <c r="E410" s="33" t="s">
        <v>2071</v>
      </c>
      <c r="F410" s="33" t="s">
        <v>2072</v>
      </c>
      <c r="G410" s="33" t="s">
        <v>1270</v>
      </c>
      <c r="H410" s="35" t="s">
        <v>19</v>
      </c>
      <c r="I410" s="36" t="s">
        <v>20</v>
      </c>
      <c r="J410" s="37"/>
      <c r="K410" s="37"/>
      <c r="L410" s="37"/>
      <c r="M410" s="36" t="s">
        <v>2073</v>
      </c>
      <c r="N410" s="37"/>
      <c r="O410" s="37"/>
      <c r="P410" s="37"/>
      <c r="Q410" s="37"/>
    </row>
    <row r="411">
      <c r="A411" s="31">
        <v>2017.0</v>
      </c>
      <c r="B411" s="32" t="s">
        <v>2074</v>
      </c>
      <c r="C411" s="33" t="s">
        <v>2075</v>
      </c>
      <c r="D411" s="34" t="s">
        <v>1492</v>
      </c>
      <c r="E411" s="33" t="s">
        <v>2076</v>
      </c>
      <c r="F411" s="33" t="s">
        <v>2077</v>
      </c>
      <c r="G411" s="33" t="s">
        <v>1270</v>
      </c>
      <c r="H411" s="35" t="s">
        <v>19</v>
      </c>
      <c r="I411" s="36" t="s">
        <v>20</v>
      </c>
      <c r="J411" s="37"/>
      <c r="K411" s="37"/>
      <c r="L411" s="37"/>
      <c r="M411" s="36" t="s">
        <v>2078</v>
      </c>
      <c r="N411" s="37"/>
      <c r="O411" s="37"/>
      <c r="P411" s="37"/>
      <c r="Q411" s="37"/>
    </row>
    <row r="412">
      <c r="A412" s="31">
        <v>2022.0</v>
      </c>
      <c r="B412" s="32" t="s">
        <v>2079</v>
      </c>
      <c r="C412" s="33" t="s">
        <v>2080</v>
      </c>
      <c r="D412" s="34" t="s">
        <v>1644</v>
      </c>
      <c r="E412" s="33" t="s">
        <v>2081</v>
      </c>
      <c r="F412" s="33" t="s">
        <v>2082</v>
      </c>
      <c r="G412" s="33" t="s">
        <v>1270</v>
      </c>
      <c r="H412" s="35" t="s">
        <v>19</v>
      </c>
      <c r="I412" s="36" t="s">
        <v>20</v>
      </c>
      <c r="J412" s="37"/>
      <c r="K412" s="37"/>
      <c r="L412" s="37"/>
      <c r="M412" s="36" t="s">
        <v>2083</v>
      </c>
      <c r="N412" s="37"/>
      <c r="O412" s="37"/>
      <c r="P412" s="37"/>
      <c r="Q412" s="37"/>
    </row>
    <row r="413">
      <c r="A413" s="31">
        <v>2018.0</v>
      </c>
      <c r="B413" s="32" t="s">
        <v>2084</v>
      </c>
      <c r="C413" s="33" t="s">
        <v>2085</v>
      </c>
      <c r="D413" s="34" t="s">
        <v>1573</v>
      </c>
      <c r="E413" s="33" t="s">
        <v>2086</v>
      </c>
      <c r="F413" s="33" t="s">
        <v>2087</v>
      </c>
      <c r="G413" s="33" t="s">
        <v>1270</v>
      </c>
      <c r="H413" s="35" t="s">
        <v>67</v>
      </c>
      <c r="I413" s="36" t="s">
        <v>20</v>
      </c>
      <c r="J413" s="37"/>
      <c r="K413" s="37"/>
      <c r="L413" s="37"/>
      <c r="M413" s="36" t="s">
        <v>2088</v>
      </c>
      <c r="N413" s="37"/>
      <c r="O413" s="37"/>
      <c r="P413" s="37"/>
      <c r="Q413" s="37"/>
    </row>
    <row r="414">
      <c r="A414" s="31">
        <v>2013.0</v>
      </c>
      <c r="B414" s="32" t="s">
        <v>2089</v>
      </c>
      <c r="C414" s="33" t="s">
        <v>2090</v>
      </c>
      <c r="D414" s="34" t="s">
        <v>2091</v>
      </c>
      <c r="E414" s="33" t="s">
        <v>2092</v>
      </c>
      <c r="F414" s="33" t="s">
        <v>2093</v>
      </c>
      <c r="G414" s="33" t="s">
        <v>1270</v>
      </c>
      <c r="H414" s="35" t="s">
        <v>19</v>
      </c>
      <c r="I414" s="36" t="s">
        <v>20</v>
      </c>
      <c r="J414" s="37"/>
      <c r="K414" s="37"/>
      <c r="L414" s="37"/>
      <c r="M414" s="36" t="s">
        <v>2094</v>
      </c>
      <c r="N414" s="37"/>
      <c r="O414" s="37"/>
      <c r="P414" s="37"/>
      <c r="Q414" s="37"/>
    </row>
    <row r="415">
      <c r="A415" s="31">
        <v>2016.0</v>
      </c>
      <c r="B415" s="32" t="s">
        <v>2095</v>
      </c>
      <c r="C415" s="33" t="s">
        <v>2096</v>
      </c>
      <c r="D415" s="34" t="s">
        <v>1553</v>
      </c>
      <c r="E415" s="33" t="s">
        <v>2097</v>
      </c>
      <c r="F415" s="33" t="s">
        <v>2098</v>
      </c>
      <c r="G415" s="33" t="s">
        <v>1270</v>
      </c>
      <c r="H415" s="35" t="s">
        <v>19</v>
      </c>
      <c r="I415" s="36" t="s">
        <v>20</v>
      </c>
      <c r="J415" s="37"/>
      <c r="K415" s="37"/>
      <c r="L415" s="37"/>
      <c r="M415" s="36" t="s">
        <v>2099</v>
      </c>
      <c r="N415" s="37"/>
      <c r="O415" s="37"/>
      <c r="P415" s="37"/>
      <c r="Q415" s="37"/>
    </row>
    <row r="416">
      <c r="A416" s="31">
        <v>2024.0</v>
      </c>
      <c r="B416" s="32" t="s">
        <v>2100</v>
      </c>
      <c r="C416" s="33" t="s">
        <v>2101</v>
      </c>
      <c r="D416" s="34" t="s">
        <v>1850</v>
      </c>
      <c r="E416" s="33" t="s">
        <v>2102</v>
      </c>
      <c r="F416" s="33" t="s">
        <v>2103</v>
      </c>
      <c r="G416" s="33" t="s">
        <v>1270</v>
      </c>
      <c r="H416" s="35" t="s">
        <v>19</v>
      </c>
      <c r="I416" s="36" t="s">
        <v>20</v>
      </c>
      <c r="J416" s="37"/>
      <c r="K416" s="37"/>
      <c r="L416" s="37"/>
      <c r="M416" s="36" t="s">
        <v>2104</v>
      </c>
      <c r="N416" s="37"/>
      <c r="O416" s="37"/>
      <c r="P416" s="37"/>
      <c r="Q416" s="37"/>
    </row>
    <row r="417">
      <c r="A417" s="31">
        <v>2011.0</v>
      </c>
      <c r="B417" s="32" t="s">
        <v>2105</v>
      </c>
      <c r="C417" s="33" t="s">
        <v>2106</v>
      </c>
      <c r="D417" s="34" t="s">
        <v>1616</v>
      </c>
      <c r="E417" s="33" t="s">
        <v>2107</v>
      </c>
      <c r="F417" s="33" t="s">
        <v>2108</v>
      </c>
      <c r="G417" s="33" t="s">
        <v>1270</v>
      </c>
      <c r="H417" s="35" t="s">
        <v>19</v>
      </c>
      <c r="I417" s="36" t="s">
        <v>20</v>
      </c>
      <c r="J417" s="37"/>
      <c r="K417" s="37"/>
      <c r="L417" s="37"/>
      <c r="M417" s="36" t="s">
        <v>2109</v>
      </c>
      <c r="N417" s="37"/>
      <c r="O417" s="37"/>
      <c r="P417" s="37"/>
      <c r="Q417" s="37"/>
    </row>
    <row r="418">
      <c r="A418" s="31">
        <v>2024.0</v>
      </c>
      <c r="B418" s="32" t="s">
        <v>2110</v>
      </c>
      <c r="C418" s="33" t="s">
        <v>2111</v>
      </c>
      <c r="D418" s="34" t="s">
        <v>1599</v>
      </c>
      <c r="E418" s="33" t="s">
        <v>2112</v>
      </c>
      <c r="F418" s="33" t="s">
        <v>2113</v>
      </c>
      <c r="G418" s="33" t="s">
        <v>1270</v>
      </c>
      <c r="H418" s="35" t="s">
        <v>19</v>
      </c>
      <c r="I418" s="36" t="s">
        <v>20</v>
      </c>
      <c r="J418" s="37"/>
      <c r="K418" s="37"/>
      <c r="L418" s="37"/>
      <c r="M418" s="36" t="s">
        <v>2114</v>
      </c>
      <c r="N418" s="37"/>
      <c r="O418" s="37"/>
      <c r="P418" s="37"/>
      <c r="Q418" s="37"/>
    </row>
    <row r="419">
      <c r="A419" s="31">
        <v>2015.0</v>
      </c>
      <c r="B419" s="32" t="s">
        <v>2115</v>
      </c>
      <c r="C419" s="33" t="s">
        <v>2116</v>
      </c>
      <c r="D419" s="34" t="s">
        <v>1850</v>
      </c>
      <c r="E419" s="33" t="s">
        <v>2117</v>
      </c>
      <c r="F419" s="33" t="s">
        <v>2118</v>
      </c>
      <c r="G419" s="33" t="s">
        <v>1270</v>
      </c>
      <c r="H419" s="35" t="s">
        <v>19</v>
      </c>
      <c r="I419" s="36" t="s">
        <v>20</v>
      </c>
      <c r="J419" s="37"/>
      <c r="K419" s="37"/>
      <c r="L419" s="37"/>
      <c r="M419" s="36" t="s">
        <v>2119</v>
      </c>
      <c r="N419" s="37"/>
      <c r="O419" s="37"/>
      <c r="P419" s="37"/>
      <c r="Q419" s="37"/>
    </row>
    <row r="420">
      <c r="A420" s="31">
        <v>2024.0</v>
      </c>
      <c r="B420" s="32" t="s">
        <v>2120</v>
      </c>
      <c r="C420" s="33" t="s">
        <v>2121</v>
      </c>
      <c r="D420" s="34" t="s">
        <v>1492</v>
      </c>
      <c r="E420" s="33" t="s">
        <v>2122</v>
      </c>
      <c r="F420" s="33" t="s">
        <v>2123</v>
      </c>
      <c r="G420" s="33" t="s">
        <v>1270</v>
      </c>
      <c r="H420" s="35" t="s">
        <v>19</v>
      </c>
      <c r="I420" s="36" t="s">
        <v>20</v>
      </c>
      <c r="J420" s="37"/>
      <c r="K420" s="37"/>
      <c r="L420" s="37"/>
      <c r="M420" s="36" t="s">
        <v>2124</v>
      </c>
      <c r="N420" s="37"/>
      <c r="O420" s="37"/>
      <c r="P420" s="37"/>
      <c r="Q420" s="37"/>
    </row>
    <row r="421">
      <c r="A421" s="31">
        <v>2015.0</v>
      </c>
      <c r="B421" s="32" t="s">
        <v>2125</v>
      </c>
      <c r="C421" s="33" t="s">
        <v>2126</v>
      </c>
      <c r="D421" s="34" t="s">
        <v>1474</v>
      </c>
      <c r="E421" s="33" t="s">
        <v>2127</v>
      </c>
      <c r="F421" s="33" t="s">
        <v>2128</v>
      </c>
      <c r="G421" s="33" t="s">
        <v>1270</v>
      </c>
      <c r="H421" s="35" t="s">
        <v>67</v>
      </c>
      <c r="I421" s="36" t="s">
        <v>20</v>
      </c>
      <c r="J421" s="37"/>
      <c r="K421" s="37"/>
      <c r="L421" s="37"/>
      <c r="M421" s="36" t="s">
        <v>2129</v>
      </c>
      <c r="N421" s="37"/>
      <c r="O421" s="37"/>
      <c r="P421" s="37"/>
      <c r="Q421" s="37"/>
    </row>
    <row r="422">
      <c r="A422" s="31">
        <v>2015.0</v>
      </c>
      <c r="B422" s="32" t="s">
        <v>2130</v>
      </c>
      <c r="C422" s="33" t="s">
        <v>2131</v>
      </c>
      <c r="D422" s="34" t="s">
        <v>2132</v>
      </c>
      <c r="E422" s="33" t="s">
        <v>2133</v>
      </c>
      <c r="F422" s="33" t="s">
        <v>2134</v>
      </c>
      <c r="G422" s="33" t="s">
        <v>1270</v>
      </c>
      <c r="H422" s="35" t="s">
        <v>19</v>
      </c>
      <c r="I422" s="36" t="s">
        <v>20</v>
      </c>
      <c r="J422" s="37"/>
      <c r="K422" s="37"/>
      <c r="L422" s="37"/>
      <c r="M422" s="36" t="s">
        <v>2135</v>
      </c>
      <c r="N422" s="37"/>
      <c r="O422" s="37"/>
      <c r="P422" s="37"/>
      <c r="Q422" s="37"/>
    </row>
    <row r="423">
      <c r="A423" s="31">
        <v>2017.0</v>
      </c>
      <c r="B423" s="32" t="s">
        <v>2136</v>
      </c>
      <c r="C423" s="33" t="s">
        <v>2137</v>
      </c>
      <c r="D423" s="34" t="s">
        <v>534</v>
      </c>
      <c r="E423" s="33" t="s">
        <v>2138</v>
      </c>
      <c r="F423" s="33" t="s">
        <v>2139</v>
      </c>
      <c r="G423" s="33" t="s">
        <v>1270</v>
      </c>
      <c r="H423" s="35" t="s">
        <v>19</v>
      </c>
      <c r="I423" s="36" t="s">
        <v>20</v>
      </c>
      <c r="J423" s="37"/>
      <c r="K423" s="37"/>
      <c r="L423" s="37"/>
      <c r="M423" s="36" t="s">
        <v>2140</v>
      </c>
      <c r="N423" s="37"/>
      <c r="O423" s="37"/>
      <c r="P423" s="37"/>
      <c r="Q423" s="37"/>
    </row>
    <row r="424">
      <c r="A424" s="31">
        <v>2015.0</v>
      </c>
      <c r="B424" s="32" t="s">
        <v>2141</v>
      </c>
      <c r="C424" s="33" t="s">
        <v>2142</v>
      </c>
      <c r="D424" s="34" t="s">
        <v>1492</v>
      </c>
      <c r="E424" s="33" t="s">
        <v>2143</v>
      </c>
      <c r="F424" s="33" t="s">
        <v>2144</v>
      </c>
      <c r="G424" s="33" t="s">
        <v>1270</v>
      </c>
      <c r="H424" s="35" t="s">
        <v>19</v>
      </c>
      <c r="I424" s="36" t="s">
        <v>20</v>
      </c>
      <c r="J424" s="37"/>
      <c r="K424" s="37"/>
      <c r="L424" s="37"/>
      <c r="M424" s="36" t="s">
        <v>2145</v>
      </c>
      <c r="N424" s="37"/>
      <c r="O424" s="37"/>
      <c r="P424" s="37"/>
      <c r="Q424" s="37"/>
    </row>
    <row r="425">
      <c r="A425" s="31">
        <v>2014.0</v>
      </c>
      <c r="B425" s="32" t="s">
        <v>2146</v>
      </c>
      <c r="C425" s="33" t="s">
        <v>2147</v>
      </c>
      <c r="D425" s="34" t="s">
        <v>1850</v>
      </c>
      <c r="E425" s="33" t="s">
        <v>2148</v>
      </c>
      <c r="F425" s="33" t="s">
        <v>2149</v>
      </c>
      <c r="G425" s="33" t="s">
        <v>1270</v>
      </c>
      <c r="H425" s="35" t="s">
        <v>19</v>
      </c>
      <c r="I425" s="36" t="s">
        <v>20</v>
      </c>
      <c r="J425" s="37"/>
      <c r="K425" s="37"/>
      <c r="L425" s="37"/>
      <c r="M425" s="36" t="s">
        <v>2150</v>
      </c>
      <c r="N425" s="37"/>
      <c r="O425" s="37"/>
      <c r="P425" s="37"/>
      <c r="Q425" s="37"/>
    </row>
    <row r="426">
      <c r="A426" s="31">
        <v>2013.0</v>
      </c>
      <c r="B426" s="32" t="s">
        <v>2151</v>
      </c>
      <c r="C426" s="33" t="s">
        <v>2152</v>
      </c>
      <c r="D426" s="34" t="s">
        <v>1404</v>
      </c>
      <c r="E426" s="33" t="s">
        <v>2153</v>
      </c>
      <c r="F426" s="33" t="s">
        <v>2154</v>
      </c>
      <c r="G426" s="33" t="s">
        <v>1270</v>
      </c>
      <c r="H426" s="35" t="s">
        <v>67</v>
      </c>
      <c r="I426" s="36" t="s">
        <v>20</v>
      </c>
      <c r="J426" s="37"/>
      <c r="K426" s="37"/>
      <c r="L426" s="37"/>
      <c r="M426" s="36" t="s">
        <v>2155</v>
      </c>
      <c r="N426" s="37"/>
      <c r="O426" s="37"/>
      <c r="P426" s="37"/>
      <c r="Q426" s="37"/>
    </row>
    <row r="427">
      <c r="A427" s="31">
        <v>2014.0</v>
      </c>
      <c r="B427" s="32" t="s">
        <v>2156</v>
      </c>
      <c r="C427" s="33" t="s">
        <v>2157</v>
      </c>
      <c r="D427" s="34" t="s">
        <v>1567</v>
      </c>
      <c r="E427" s="38"/>
      <c r="F427" s="33" t="s">
        <v>2158</v>
      </c>
      <c r="G427" s="33" t="s">
        <v>1270</v>
      </c>
      <c r="H427" s="35" t="s">
        <v>19</v>
      </c>
      <c r="I427" s="36" t="s">
        <v>20</v>
      </c>
      <c r="J427" s="37"/>
      <c r="K427" s="37"/>
      <c r="L427" s="37"/>
      <c r="M427" s="36" t="s">
        <v>2159</v>
      </c>
      <c r="N427" s="37"/>
      <c r="O427" s="37"/>
      <c r="P427" s="37"/>
      <c r="Q427" s="37"/>
    </row>
    <row r="428">
      <c r="A428" s="31">
        <v>2013.0</v>
      </c>
      <c r="B428" s="32" t="s">
        <v>2160</v>
      </c>
      <c r="C428" s="33" t="s">
        <v>2161</v>
      </c>
      <c r="D428" s="34" t="s">
        <v>2162</v>
      </c>
      <c r="E428" s="33" t="s">
        <v>2163</v>
      </c>
      <c r="F428" s="33" t="s">
        <v>2164</v>
      </c>
      <c r="G428" s="33" t="s">
        <v>1270</v>
      </c>
      <c r="H428" s="35" t="s">
        <v>67</v>
      </c>
      <c r="I428" s="36" t="s">
        <v>20</v>
      </c>
      <c r="J428" s="37"/>
      <c r="K428" s="37"/>
      <c r="L428" s="37"/>
      <c r="M428" s="36" t="s">
        <v>2165</v>
      </c>
      <c r="N428" s="37"/>
      <c r="O428" s="37"/>
      <c r="P428" s="37"/>
      <c r="Q428" s="37"/>
    </row>
    <row r="429">
      <c r="A429" s="31">
        <v>2022.0</v>
      </c>
      <c r="B429" s="32" t="s">
        <v>2166</v>
      </c>
      <c r="C429" s="33" t="s">
        <v>2167</v>
      </c>
      <c r="D429" s="34" t="s">
        <v>2168</v>
      </c>
      <c r="E429" s="33" t="s">
        <v>2169</v>
      </c>
      <c r="F429" s="33" t="s">
        <v>2170</v>
      </c>
      <c r="G429" s="33" t="s">
        <v>1270</v>
      </c>
      <c r="H429" s="35" t="s">
        <v>67</v>
      </c>
      <c r="I429" s="36" t="s">
        <v>20</v>
      </c>
      <c r="J429" s="37"/>
      <c r="K429" s="37"/>
      <c r="L429" s="37"/>
      <c r="M429" s="36" t="s">
        <v>2171</v>
      </c>
      <c r="N429" s="37"/>
      <c r="O429" s="37"/>
      <c r="P429" s="37"/>
      <c r="Q429" s="37"/>
    </row>
    <row r="430">
      <c r="A430" s="31">
        <v>2013.0</v>
      </c>
      <c r="B430" s="32" t="s">
        <v>2172</v>
      </c>
      <c r="C430" s="33" t="s">
        <v>2173</v>
      </c>
      <c r="D430" s="34" t="s">
        <v>2174</v>
      </c>
      <c r="E430" s="33" t="s">
        <v>2175</v>
      </c>
      <c r="F430" s="33" t="s">
        <v>2176</v>
      </c>
      <c r="G430" s="33" t="s">
        <v>1270</v>
      </c>
      <c r="H430" s="35" t="s">
        <v>19</v>
      </c>
      <c r="I430" s="36" t="s">
        <v>20</v>
      </c>
      <c r="J430" s="37"/>
      <c r="K430" s="37"/>
      <c r="L430" s="37"/>
      <c r="M430" s="36" t="s">
        <v>2177</v>
      </c>
      <c r="N430" s="37"/>
      <c r="O430" s="37"/>
      <c r="P430" s="37"/>
      <c r="Q430" s="37"/>
    </row>
    <row r="431">
      <c r="A431" s="31">
        <v>2016.0</v>
      </c>
      <c r="B431" s="32" t="s">
        <v>2178</v>
      </c>
      <c r="C431" s="33" t="s">
        <v>2179</v>
      </c>
      <c r="D431" s="34" t="s">
        <v>1446</v>
      </c>
      <c r="E431" s="33" t="s">
        <v>2180</v>
      </c>
      <c r="F431" s="33" t="s">
        <v>2181</v>
      </c>
      <c r="G431" s="33" t="s">
        <v>1270</v>
      </c>
      <c r="H431" s="35" t="s">
        <v>19</v>
      </c>
      <c r="I431" s="36" t="s">
        <v>20</v>
      </c>
      <c r="J431" s="37"/>
      <c r="K431" s="37"/>
      <c r="L431" s="37"/>
      <c r="M431" s="36" t="s">
        <v>2182</v>
      </c>
      <c r="N431" s="37"/>
      <c r="O431" s="37"/>
      <c r="P431" s="37"/>
      <c r="Q431" s="37"/>
    </row>
    <row r="432">
      <c r="A432" s="31">
        <v>2007.0</v>
      </c>
      <c r="B432" s="32" t="s">
        <v>2183</v>
      </c>
      <c r="C432" s="35" t="s">
        <v>2184</v>
      </c>
      <c r="D432" s="34" t="s">
        <v>2031</v>
      </c>
      <c r="E432" s="38"/>
      <c r="F432" s="33" t="s">
        <v>2185</v>
      </c>
      <c r="G432" s="33" t="s">
        <v>1270</v>
      </c>
      <c r="H432" s="35" t="s">
        <v>19</v>
      </c>
      <c r="I432" s="36" t="s">
        <v>20</v>
      </c>
      <c r="J432" s="37"/>
      <c r="K432" s="37"/>
      <c r="L432" s="37"/>
      <c r="M432" s="36" t="s">
        <v>2186</v>
      </c>
      <c r="N432" s="37"/>
      <c r="O432" s="37"/>
      <c r="P432" s="37"/>
      <c r="Q432" s="37"/>
    </row>
    <row r="433">
      <c r="A433" s="31">
        <v>2017.0</v>
      </c>
      <c r="B433" s="32" t="s">
        <v>2187</v>
      </c>
      <c r="C433" s="33" t="s">
        <v>2188</v>
      </c>
      <c r="D433" s="34" t="s">
        <v>1327</v>
      </c>
      <c r="E433" s="33" t="s">
        <v>2189</v>
      </c>
      <c r="F433" s="33" t="s">
        <v>2190</v>
      </c>
      <c r="G433" s="33" t="s">
        <v>1270</v>
      </c>
      <c r="H433" s="35" t="s">
        <v>67</v>
      </c>
      <c r="I433" s="36" t="s">
        <v>1193</v>
      </c>
      <c r="J433" s="37"/>
      <c r="K433" s="37"/>
      <c r="L433" s="37"/>
      <c r="M433" s="36" t="s">
        <v>2191</v>
      </c>
      <c r="N433" s="37"/>
      <c r="O433" s="37"/>
      <c r="P433" s="37"/>
      <c r="Q433" s="37"/>
    </row>
    <row r="434">
      <c r="A434" s="31">
        <v>2016.0</v>
      </c>
      <c r="B434" s="32" t="s">
        <v>2192</v>
      </c>
      <c r="C434" s="33" t="s">
        <v>2193</v>
      </c>
      <c r="D434" s="34" t="s">
        <v>2194</v>
      </c>
      <c r="E434" s="33" t="s">
        <v>2195</v>
      </c>
      <c r="F434" s="33" t="s">
        <v>2196</v>
      </c>
      <c r="G434" s="33" t="s">
        <v>1270</v>
      </c>
      <c r="H434" s="35" t="s">
        <v>19</v>
      </c>
      <c r="I434" s="36" t="s">
        <v>20</v>
      </c>
      <c r="J434" s="37"/>
      <c r="K434" s="37"/>
      <c r="L434" s="37"/>
      <c r="M434" s="36" t="s">
        <v>2197</v>
      </c>
      <c r="N434" s="37"/>
      <c r="O434" s="37"/>
      <c r="P434" s="37"/>
      <c r="Q434" s="37"/>
    </row>
    <row r="435">
      <c r="A435" s="31">
        <v>2011.0</v>
      </c>
      <c r="B435" s="32" t="s">
        <v>2198</v>
      </c>
      <c r="C435" s="33" t="s">
        <v>2199</v>
      </c>
      <c r="D435" s="34" t="s">
        <v>1886</v>
      </c>
      <c r="E435" s="33" t="s">
        <v>2200</v>
      </c>
      <c r="F435" s="33" t="s">
        <v>2201</v>
      </c>
      <c r="G435" s="33" t="s">
        <v>1270</v>
      </c>
      <c r="H435" s="35" t="s">
        <v>19</v>
      </c>
      <c r="I435" s="36" t="s">
        <v>20</v>
      </c>
      <c r="J435" s="37"/>
      <c r="K435" s="37"/>
      <c r="L435" s="37"/>
      <c r="M435" s="36" t="s">
        <v>2202</v>
      </c>
      <c r="N435" s="37"/>
      <c r="O435" s="37"/>
      <c r="P435" s="37"/>
      <c r="Q435" s="37"/>
    </row>
    <row r="436">
      <c r="A436" s="31">
        <v>2017.0</v>
      </c>
      <c r="B436" s="32" t="s">
        <v>2203</v>
      </c>
      <c r="C436" s="33" t="s">
        <v>2204</v>
      </c>
      <c r="D436" s="34" t="s">
        <v>2205</v>
      </c>
      <c r="E436" s="33" t="s">
        <v>2206</v>
      </c>
      <c r="F436" s="33" t="s">
        <v>2207</v>
      </c>
      <c r="G436" s="33" t="s">
        <v>1270</v>
      </c>
      <c r="H436" s="35" t="s">
        <v>19</v>
      </c>
      <c r="I436" s="36" t="s">
        <v>20</v>
      </c>
      <c r="J436" s="37"/>
      <c r="K436" s="37"/>
      <c r="L436" s="37"/>
      <c r="M436" s="36" t="s">
        <v>2208</v>
      </c>
      <c r="N436" s="37"/>
      <c r="O436" s="37"/>
      <c r="P436" s="37"/>
      <c r="Q436" s="37"/>
    </row>
    <row r="437">
      <c r="A437" s="31">
        <v>2021.0</v>
      </c>
      <c r="B437" s="32" t="s">
        <v>2209</v>
      </c>
      <c r="C437" s="33" t="s">
        <v>2210</v>
      </c>
      <c r="D437" s="34" t="s">
        <v>1912</v>
      </c>
      <c r="E437" s="33" t="s">
        <v>2211</v>
      </c>
      <c r="F437" s="33" t="s">
        <v>2212</v>
      </c>
      <c r="G437" s="33" t="s">
        <v>1270</v>
      </c>
      <c r="H437" s="35" t="s">
        <v>19</v>
      </c>
      <c r="I437" s="36" t="s">
        <v>20</v>
      </c>
      <c r="J437" s="37"/>
      <c r="K437" s="37"/>
      <c r="L437" s="37"/>
      <c r="M437" s="36" t="s">
        <v>2213</v>
      </c>
      <c r="N437" s="37"/>
      <c r="O437" s="37"/>
      <c r="P437" s="37"/>
      <c r="Q437" s="37"/>
    </row>
    <row r="438">
      <c r="A438" s="31">
        <v>2021.0</v>
      </c>
      <c r="B438" s="32" t="s">
        <v>2214</v>
      </c>
      <c r="C438" s="33" t="s">
        <v>2215</v>
      </c>
      <c r="D438" s="34" t="s">
        <v>1784</v>
      </c>
      <c r="E438" s="33" t="s">
        <v>2216</v>
      </c>
      <c r="F438" s="33" t="s">
        <v>2217</v>
      </c>
      <c r="G438" s="33" t="s">
        <v>1270</v>
      </c>
      <c r="H438" s="35" t="s">
        <v>19</v>
      </c>
      <c r="I438" s="36" t="s">
        <v>20</v>
      </c>
      <c r="J438" s="37"/>
      <c r="K438" s="37"/>
      <c r="L438" s="37"/>
      <c r="M438" s="36" t="s">
        <v>2218</v>
      </c>
      <c r="N438" s="37"/>
      <c r="O438" s="37"/>
      <c r="P438" s="37"/>
      <c r="Q438" s="37"/>
    </row>
    <row r="439">
      <c r="A439" s="31">
        <v>2018.0</v>
      </c>
      <c r="B439" s="32" t="s">
        <v>2219</v>
      </c>
      <c r="C439" s="33" t="s">
        <v>2220</v>
      </c>
      <c r="D439" s="34" t="s">
        <v>1912</v>
      </c>
      <c r="E439" s="33" t="s">
        <v>2221</v>
      </c>
      <c r="F439" s="33" t="s">
        <v>2222</v>
      </c>
      <c r="G439" s="33" t="s">
        <v>1270</v>
      </c>
      <c r="H439" s="35" t="s">
        <v>19</v>
      </c>
      <c r="I439" s="36" t="s">
        <v>20</v>
      </c>
      <c r="J439" s="37"/>
      <c r="K439" s="37"/>
      <c r="L439" s="37"/>
      <c r="M439" s="36" t="s">
        <v>2223</v>
      </c>
      <c r="N439" s="37"/>
      <c r="O439" s="37"/>
      <c r="P439" s="37"/>
      <c r="Q439" s="37"/>
    </row>
    <row r="440">
      <c r="A440" s="31">
        <v>2011.0</v>
      </c>
      <c r="B440" s="32" t="s">
        <v>2224</v>
      </c>
      <c r="C440" s="33" t="s">
        <v>2225</v>
      </c>
      <c r="D440" s="34" t="s">
        <v>2226</v>
      </c>
      <c r="E440" s="33" t="s">
        <v>2227</v>
      </c>
      <c r="F440" s="33" t="s">
        <v>2228</v>
      </c>
      <c r="G440" s="33" t="s">
        <v>1270</v>
      </c>
      <c r="H440" s="35" t="s">
        <v>19</v>
      </c>
      <c r="I440" s="36" t="s">
        <v>20</v>
      </c>
      <c r="J440" s="37"/>
      <c r="K440" s="37"/>
      <c r="L440" s="37"/>
      <c r="M440" s="36" t="s">
        <v>2229</v>
      </c>
      <c r="N440" s="37"/>
      <c r="O440" s="37"/>
      <c r="P440" s="37"/>
      <c r="Q440" s="37"/>
    </row>
    <row r="441">
      <c r="A441" s="31">
        <v>2021.0</v>
      </c>
      <c r="B441" s="32" t="s">
        <v>2230</v>
      </c>
      <c r="C441" s="33" t="s">
        <v>2231</v>
      </c>
      <c r="D441" s="34" t="s">
        <v>2232</v>
      </c>
      <c r="E441" s="33" t="s">
        <v>2233</v>
      </c>
      <c r="F441" s="33" t="s">
        <v>2234</v>
      </c>
      <c r="G441" s="33" t="s">
        <v>1270</v>
      </c>
      <c r="H441" s="35" t="s">
        <v>19</v>
      </c>
      <c r="I441" s="36" t="s">
        <v>27</v>
      </c>
      <c r="J441" s="37"/>
      <c r="K441" s="37"/>
      <c r="L441" s="37"/>
      <c r="M441" s="37"/>
      <c r="N441" s="37"/>
      <c r="O441" s="37"/>
      <c r="P441" s="37"/>
      <c r="Q441" s="37"/>
    </row>
    <row r="442">
      <c r="A442" s="31">
        <v>2012.0</v>
      </c>
      <c r="B442" s="32" t="s">
        <v>2235</v>
      </c>
      <c r="C442" s="33" t="s">
        <v>2236</v>
      </c>
      <c r="D442" s="34" t="s">
        <v>2237</v>
      </c>
      <c r="E442" s="33" t="s">
        <v>2238</v>
      </c>
      <c r="F442" s="33" t="s">
        <v>2239</v>
      </c>
      <c r="G442" s="33" t="s">
        <v>1270</v>
      </c>
      <c r="H442" s="35" t="s">
        <v>19</v>
      </c>
      <c r="I442" s="36" t="s">
        <v>20</v>
      </c>
      <c r="J442" s="37"/>
      <c r="K442" s="37"/>
      <c r="L442" s="37"/>
      <c r="M442" s="36" t="s">
        <v>2240</v>
      </c>
      <c r="N442" s="37"/>
      <c r="O442" s="37"/>
      <c r="P442" s="37"/>
      <c r="Q442" s="37"/>
    </row>
    <row r="443">
      <c r="A443" s="31">
        <v>2019.0</v>
      </c>
      <c r="B443" s="32" t="s">
        <v>2241</v>
      </c>
      <c r="C443" s="33" t="s">
        <v>2242</v>
      </c>
      <c r="D443" s="34" t="s">
        <v>1327</v>
      </c>
      <c r="E443" s="33" t="s">
        <v>2243</v>
      </c>
      <c r="F443" s="33" t="s">
        <v>2244</v>
      </c>
      <c r="G443" s="33" t="s">
        <v>1270</v>
      </c>
      <c r="H443" s="35" t="s">
        <v>67</v>
      </c>
      <c r="I443" s="36" t="s">
        <v>20</v>
      </c>
      <c r="J443" s="37"/>
      <c r="K443" s="37"/>
      <c r="L443" s="37"/>
      <c r="M443" s="36" t="s">
        <v>2245</v>
      </c>
      <c r="N443" s="37"/>
      <c r="O443" s="37"/>
      <c r="P443" s="37"/>
      <c r="Q443" s="37"/>
    </row>
    <row r="444">
      <c r="A444" s="31">
        <v>2013.0</v>
      </c>
      <c r="B444" s="32" t="s">
        <v>2246</v>
      </c>
      <c r="C444" s="33" t="s">
        <v>2247</v>
      </c>
      <c r="D444" s="34" t="s">
        <v>2248</v>
      </c>
      <c r="E444" s="33" t="s">
        <v>2249</v>
      </c>
      <c r="F444" s="33" t="s">
        <v>2250</v>
      </c>
      <c r="G444" s="33" t="s">
        <v>1270</v>
      </c>
      <c r="H444" s="35" t="s">
        <v>19</v>
      </c>
      <c r="I444" s="36" t="s">
        <v>20</v>
      </c>
      <c r="J444" s="37"/>
      <c r="K444" s="37"/>
      <c r="L444" s="37"/>
      <c r="M444" s="36" t="s">
        <v>2251</v>
      </c>
      <c r="N444" s="37"/>
      <c r="O444" s="37"/>
      <c r="P444" s="37"/>
      <c r="Q444" s="37"/>
    </row>
    <row r="445">
      <c r="A445" s="31">
        <v>2019.0</v>
      </c>
      <c r="B445" s="32" t="s">
        <v>2252</v>
      </c>
      <c r="C445" s="33" t="s">
        <v>2253</v>
      </c>
      <c r="D445" s="34" t="s">
        <v>1553</v>
      </c>
      <c r="E445" s="33" t="s">
        <v>2254</v>
      </c>
      <c r="F445" s="33" t="s">
        <v>2255</v>
      </c>
      <c r="G445" s="33" t="s">
        <v>1270</v>
      </c>
      <c r="H445" s="35" t="s">
        <v>19</v>
      </c>
      <c r="I445" s="36" t="s">
        <v>20</v>
      </c>
      <c r="J445" s="37"/>
      <c r="K445" s="37"/>
      <c r="L445" s="37"/>
      <c r="M445" s="36" t="s">
        <v>2256</v>
      </c>
      <c r="N445" s="37"/>
      <c r="O445" s="37"/>
      <c r="P445" s="37"/>
      <c r="Q445" s="37"/>
    </row>
    <row r="446">
      <c r="A446" s="31">
        <v>2019.0</v>
      </c>
      <c r="B446" s="32" t="s">
        <v>2257</v>
      </c>
      <c r="C446" s="33" t="s">
        <v>2258</v>
      </c>
      <c r="D446" s="34" t="s">
        <v>1573</v>
      </c>
      <c r="E446" s="33" t="s">
        <v>2259</v>
      </c>
      <c r="F446" s="33" t="s">
        <v>2260</v>
      </c>
      <c r="G446" s="33" t="s">
        <v>1270</v>
      </c>
      <c r="H446" s="35" t="s">
        <v>67</v>
      </c>
      <c r="I446" s="36" t="s">
        <v>20</v>
      </c>
      <c r="J446" s="37"/>
      <c r="K446" s="37"/>
      <c r="L446" s="37"/>
      <c r="M446" s="36" t="s">
        <v>2261</v>
      </c>
      <c r="N446" s="37"/>
      <c r="O446" s="37"/>
      <c r="P446" s="37"/>
      <c r="Q446" s="37"/>
    </row>
    <row r="447">
      <c r="A447" s="31">
        <v>2019.0</v>
      </c>
      <c r="B447" s="32" t="s">
        <v>2262</v>
      </c>
      <c r="C447" s="33" t="s">
        <v>2263</v>
      </c>
      <c r="D447" s="34" t="s">
        <v>1327</v>
      </c>
      <c r="E447" s="33" t="s">
        <v>2264</v>
      </c>
      <c r="F447" s="33" t="s">
        <v>2265</v>
      </c>
      <c r="G447" s="33" t="s">
        <v>1270</v>
      </c>
      <c r="H447" s="35" t="s">
        <v>19</v>
      </c>
      <c r="I447" s="36" t="s">
        <v>27</v>
      </c>
      <c r="J447" s="37"/>
      <c r="K447" s="37"/>
      <c r="L447" s="37"/>
      <c r="M447" s="37"/>
      <c r="N447" s="37"/>
      <c r="O447" s="37"/>
      <c r="P447" s="37"/>
      <c r="Q447" s="37"/>
    </row>
    <row r="448">
      <c r="A448" s="31">
        <v>2012.0</v>
      </c>
      <c r="B448" s="32" t="s">
        <v>2266</v>
      </c>
      <c r="C448" s="33" t="s">
        <v>2267</v>
      </c>
      <c r="D448" s="34" t="s">
        <v>237</v>
      </c>
      <c r="E448" s="33" t="s">
        <v>2268</v>
      </c>
      <c r="F448" s="33" t="s">
        <v>2269</v>
      </c>
      <c r="G448" s="33" t="s">
        <v>1270</v>
      </c>
      <c r="H448" s="35" t="s">
        <v>19</v>
      </c>
      <c r="I448" s="36" t="s">
        <v>20</v>
      </c>
      <c r="J448" s="37"/>
      <c r="K448" s="37"/>
      <c r="L448" s="37"/>
      <c r="M448" s="36" t="s">
        <v>2270</v>
      </c>
      <c r="N448" s="37"/>
      <c r="O448" s="37"/>
      <c r="P448" s="37"/>
      <c r="Q448" s="37"/>
    </row>
    <row r="449">
      <c r="A449" s="31">
        <v>2014.0</v>
      </c>
      <c r="B449" s="32" t="s">
        <v>2271</v>
      </c>
      <c r="C449" s="33" t="s">
        <v>2272</v>
      </c>
      <c r="D449" s="34" t="s">
        <v>1492</v>
      </c>
      <c r="E449" s="33" t="s">
        <v>2273</v>
      </c>
      <c r="F449" s="33" t="s">
        <v>2274</v>
      </c>
      <c r="G449" s="33" t="s">
        <v>1270</v>
      </c>
      <c r="H449" s="35" t="s">
        <v>19</v>
      </c>
      <c r="I449" s="36" t="s">
        <v>20</v>
      </c>
      <c r="J449" s="37"/>
      <c r="K449" s="37"/>
      <c r="L449" s="37"/>
      <c r="M449" s="36" t="s">
        <v>2275</v>
      </c>
      <c r="N449" s="37"/>
      <c r="O449" s="37"/>
      <c r="P449" s="37"/>
      <c r="Q449" s="37"/>
    </row>
    <row r="450">
      <c r="A450" s="31">
        <v>2011.0</v>
      </c>
      <c r="B450" s="32" t="s">
        <v>2276</v>
      </c>
      <c r="C450" s="33" t="s">
        <v>2277</v>
      </c>
      <c r="D450" s="34" t="s">
        <v>2278</v>
      </c>
      <c r="E450" s="33" t="s">
        <v>2279</v>
      </c>
      <c r="F450" s="33" t="s">
        <v>2280</v>
      </c>
      <c r="G450" s="33" t="s">
        <v>1270</v>
      </c>
      <c r="H450" s="35" t="s">
        <v>19</v>
      </c>
      <c r="I450" s="36" t="s">
        <v>20</v>
      </c>
      <c r="J450" s="37"/>
      <c r="K450" s="37"/>
      <c r="L450" s="37"/>
      <c r="M450" s="36" t="s">
        <v>2281</v>
      </c>
      <c r="N450" s="37"/>
      <c r="O450" s="37"/>
      <c r="P450" s="37"/>
      <c r="Q450" s="37"/>
    </row>
    <row r="451">
      <c r="A451" s="31">
        <v>2017.0</v>
      </c>
      <c r="B451" s="32" t="s">
        <v>2282</v>
      </c>
      <c r="C451" s="33" t="s">
        <v>2283</v>
      </c>
      <c r="D451" s="34" t="s">
        <v>1492</v>
      </c>
      <c r="E451" s="33" t="s">
        <v>2284</v>
      </c>
      <c r="F451" s="33" t="s">
        <v>2285</v>
      </c>
      <c r="G451" s="33" t="s">
        <v>1270</v>
      </c>
      <c r="H451" s="35" t="s">
        <v>19</v>
      </c>
      <c r="I451" s="36" t="s">
        <v>20</v>
      </c>
      <c r="J451" s="37"/>
      <c r="K451" s="37"/>
      <c r="L451" s="37"/>
      <c r="M451" s="36" t="s">
        <v>2286</v>
      </c>
      <c r="N451" s="37"/>
      <c r="O451" s="37"/>
      <c r="P451" s="37"/>
      <c r="Q451" s="37"/>
    </row>
    <row r="452">
      <c r="A452" s="31">
        <v>2014.0</v>
      </c>
      <c r="B452" s="32" t="s">
        <v>2287</v>
      </c>
      <c r="C452" s="33" t="s">
        <v>2288</v>
      </c>
      <c r="D452" s="34" t="s">
        <v>1704</v>
      </c>
      <c r="E452" s="33" t="s">
        <v>2289</v>
      </c>
      <c r="F452" s="33" t="s">
        <v>2290</v>
      </c>
      <c r="G452" s="33" t="s">
        <v>1270</v>
      </c>
      <c r="H452" s="35" t="s">
        <v>19</v>
      </c>
      <c r="I452" s="36" t="s">
        <v>20</v>
      </c>
      <c r="J452" s="37"/>
      <c r="K452" s="37"/>
      <c r="L452" s="37"/>
      <c r="M452" s="36" t="s">
        <v>2291</v>
      </c>
      <c r="N452" s="37"/>
      <c r="O452" s="37"/>
      <c r="P452" s="37"/>
      <c r="Q452" s="37"/>
    </row>
    <row r="453">
      <c r="A453" s="31">
        <v>2011.0</v>
      </c>
      <c r="B453" s="32" t="s">
        <v>2292</v>
      </c>
      <c r="C453" s="33" t="s">
        <v>2293</v>
      </c>
      <c r="D453" s="34" t="s">
        <v>2294</v>
      </c>
      <c r="E453" s="33" t="s">
        <v>2295</v>
      </c>
      <c r="F453" s="33" t="s">
        <v>2296</v>
      </c>
      <c r="G453" s="33" t="s">
        <v>1270</v>
      </c>
      <c r="H453" s="35" t="s">
        <v>19</v>
      </c>
      <c r="I453" s="36" t="s">
        <v>20</v>
      </c>
      <c r="J453" s="37"/>
      <c r="K453" s="37"/>
      <c r="L453" s="37"/>
      <c r="M453" s="36" t="s">
        <v>2297</v>
      </c>
      <c r="N453" s="37"/>
      <c r="O453" s="37"/>
      <c r="P453" s="37"/>
      <c r="Q453" s="37"/>
    </row>
    <row r="454">
      <c r="A454" s="31">
        <v>2019.0</v>
      </c>
      <c r="B454" s="32" t="s">
        <v>2298</v>
      </c>
      <c r="C454" s="33" t="s">
        <v>2299</v>
      </c>
      <c r="D454" s="34" t="s">
        <v>2300</v>
      </c>
      <c r="E454" s="33" t="s">
        <v>2301</v>
      </c>
      <c r="F454" s="33" t="s">
        <v>2302</v>
      </c>
      <c r="G454" s="33" t="s">
        <v>1270</v>
      </c>
      <c r="H454" s="35" t="s">
        <v>19</v>
      </c>
      <c r="I454" s="36" t="s">
        <v>27</v>
      </c>
      <c r="J454" s="37"/>
      <c r="K454" s="37"/>
      <c r="L454" s="37"/>
      <c r="M454" s="37"/>
      <c r="N454" s="37"/>
      <c r="O454" s="37"/>
      <c r="P454" s="37"/>
      <c r="Q454" s="37"/>
    </row>
    <row r="455">
      <c r="A455" s="31">
        <v>2020.0</v>
      </c>
      <c r="B455" s="32" t="s">
        <v>2303</v>
      </c>
      <c r="C455" s="33" t="s">
        <v>2304</v>
      </c>
      <c r="D455" s="34" t="s">
        <v>1667</v>
      </c>
      <c r="E455" s="33" t="s">
        <v>2305</v>
      </c>
      <c r="F455" s="33" t="s">
        <v>2306</v>
      </c>
      <c r="G455" s="33" t="s">
        <v>1270</v>
      </c>
      <c r="H455" s="35" t="s">
        <v>19</v>
      </c>
      <c r="I455" s="36" t="s">
        <v>27</v>
      </c>
      <c r="J455" s="37"/>
      <c r="K455" s="37"/>
      <c r="L455" s="37"/>
      <c r="M455" s="37"/>
      <c r="N455" s="37"/>
      <c r="O455" s="37"/>
      <c r="P455" s="37"/>
      <c r="Q455" s="37"/>
    </row>
    <row r="456">
      <c r="A456" s="31">
        <v>2019.0</v>
      </c>
      <c r="B456" s="32" t="s">
        <v>2307</v>
      </c>
      <c r="C456" s="33" t="s">
        <v>2308</v>
      </c>
      <c r="D456" s="34" t="s">
        <v>2309</v>
      </c>
      <c r="E456" s="33" t="s">
        <v>2310</v>
      </c>
      <c r="F456" s="33" t="s">
        <v>2311</v>
      </c>
      <c r="G456" s="33" t="s">
        <v>1270</v>
      </c>
      <c r="H456" s="35" t="s">
        <v>19</v>
      </c>
      <c r="I456" s="36" t="s">
        <v>20</v>
      </c>
      <c r="J456" s="37"/>
      <c r="K456" s="37"/>
      <c r="L456" s="37"/>
      <c r="M456" s="36" t="s">
        <v>2312</v>
      </c>
      <c r="N456" s="37"/>
      <c r="O456" s="37"/>
      <c r="P456" s="37"/>
      <c r="Q456" s="37"/>
    </row>
    <row r="457">
      <c r="A457" s="31">
        <v>2019.0</v>
      </c>
      <c r="B457" s="32" t="s">
        <v>2313</v>
      </c>
      <c r="C457" s="33" t="s">
        <v>2314</v>
      </c>
      <c r="D457" s="34" t="s">
        <v>2315</v>
      </c>
      <c r="E457" s="33" t="s">
        <v>2316</v>
      </c>
      <c r="F457" s="33" t="s">
        <v>2317</v>
      </c>
      <c r="G457" s="33" t="s">
        <v>1270</v>
      </c>
      <c r="H457" s="35" t="s">
        <v>19</v>
      </c>
      <c r="I457" s="36" t="s">
        <v>20</v>
      </c>
      <c r="J457" s="37"/>
      <c r="K457" s="37"/>
      <c r="L457" s="37"/>
      <c r="M457" s="36" t="s">
        <v>2318</v>
      </c>
      <c r="N457" s="37"/>
      <c r="O457" s="37"/>
      <c r="P457" s="37"/>
      <c r="Q457" s="37"/>
    </row>
    <row r="458">
      <c r="A458" s="31">
        <v>2020.0</v>
      </c>
      <c r="B458" s="32" t="s">
        <v>2319</v>
      </c>
      <c r="C458" s="33" t="s">
        <v>2320</v>
      </c>
      <c r="D458" s="34" t="s">
        <v>2321</v>
      </c>
      <c r="E458" s="33" t="s">
        <v>2322</v>
      </c>
      <c r="F458" s="33" t="s">
        <v>2323</v>
      </c>
      <c r="G458" s="33" t="s">
        <v>1270</v>
      </c>
      <c r="H458" s="35" t="s">
        <v>19</v>
      </c>
      <c r="I458" s="36" t="s">
        <v>20</v>
      </c>
      <c r="J458" s="37"/>
      <c r="K458" s="37"/>
      <c r="L458" s="37"/>
      <c r="M458" s="36" t="s">
        <v>2324</v>
      </c>
      <c r="N458" s="37"/>
      <c r="O458" s="37"/>
      <c r="P458" s="37"/>
      <c r="Q458" s="37"/>
    </row>
    <row r="459">
      <c r="A459" s="31">
        <v>2013.0</v>
      </c>
      <c r="B459" s="32" t="s">
        <v>2325</v>
      </c>
      <c r="C459" s="33" t="s">
        <v>2326</v>
      </c>
      <c r="D459" s="34" t="s">
        <v>1404</v>
      </c>
      <c r="E459" s="33" t="s">
        <v>2327</v>
      </c>
      <c r="F459" s="33" t="s">
        <v>2328</v>
      </c>
      <c r="G459" s="33" t="s">
        <v>1270</v>
      </c>
      <c r="H459" s="35" t="s">
        <v>19</v>
      </c>
      <c r="I459" s="36" t="s">
        <v>20</v>
      </c>
      <c r="J459" s="37"/>
      <c r="K459" s="37"/>
      <c r="L459" s="37"/>
      <c r="M459" s="36" t="s">
        <v>2329</v>
      </c>
      <c r="N459" s="37"/>
      <c r="O459" s="37"/>
      <c r="P459" s="37"/>
      <c r="Q459" s="37"/>
    </row>
    <row r="460">
      <c r="A460" s="31">
        <v>2019.0</v>
      </c>
      <c r="B460" s="32" t="s">
        <v>2330</v>
      </c>
      <c r="C460" s="33" t="s">
        <v>2331</v>
      </c>
      <c r="D460" s="34" t="s">
        <v>2332</v>
      </c>
      <c r="E460" s="33" t="s">
        <v>2333</v>
      </c>
      <c r="F460" s="33" t="s">
        <v>2334</v>
      </c>
      <c r="G460" s="33" t="s">
        <v>1270</v>
      </c>
      <c r="H460" s="35" t="s">
        <v>19</v>
      </c>
      <c r="I460" s="36" t="s">
        <v>20</v>
      </c>
      <c r="J460" s="37"/>
      <c r="K460" s="37"/>
      <c r="L460" s="37"/>
      <c r="M460" s="36" t="s">
        <v>2335</v>
      </c>
      <c r="N460" s="37"/>
      <c r="O460" s="37"/>
      <c r="P460" s="37"/>
      <c r="Q460" s="37"/>
    </row>
    <row r="461">
      <c r="A461" s="31">
        <v>2008.0</v>
      </c>
      <c r="B461" s="32" t="s">
        <v>2336</v>
      </c>
      <c r="C461" s="33" t="s">
        <v>2337</v>
      </c>
      <c r="D461" s="34" t="s">
        <v>1856</v>
      </c>
      <c r="E461" s="33" t="s">
        <v>2338</v>
      </c>
      <c r="F461" s="33" t="s">
        <v>2339</v>
      </c>
      <c r="G461" s="33" t="s">
        <v>1270</v>
      </c>
      <c r="H461" s="35" t="s">
        <v>19</v>
      </c>
      <c r="I461" s="36" t="s">
        <v>20</v>
      </c>
      <c r="J461" s="37"/>
      <c r="K461" s="37"/>
      <c r="L461" s="37"/>
      <c r="M461" s="36" t="s">
        <v>2340</v>
      </c>
      <c r="N461" s="37"/>
      <c r="O461" s="37"/>
      <c r="P461" s="37"/>
      <c r="Q461" s="37"/>
    </row>
    <row r="462">
      <c r="A462" s="31">
        <v>2010.0</v>
      </c>
      <c r="B462" s="32" t="s">
        <v>2341</v>
      </c>
      <c r="C462" s="33" t="s">
        <v>2342</v>
      </c>
      <c r="D462" s="34" t="s">
        <v>1541</v>
      </c>
      <c r="E462" s="33" t="s">
        <v>2343</v>
      </c>
      <c r="F462" s="33" t="s">
        <v>2344</v>
      </c>
      <c r="G462" s="33" t="s">
        <v>1270</v>
      </c>
      <c r="H462" s="35" t="s">
        <v>19</v>
      </c>
      <c r="I462" s="36" t="s">
        <v>20</v>
      </c>
      <c r="J462" s="37"/>
      <c r="K462" s="37"/>
      <c r="L462" s="37"/>
      <c r="M462" s="36" t="s">
        <v>2345</v>
      </c>
      <c r="N462" s="37"/>
      <c r="O462" s="37"/>
      <c r="P462" s="37"/>
      <c r="Q462" s="37"/>
    </row>
    <row r="463">
      <c r="A463" s="31">
        <v>2021.0</v>
      </c>
      <c r="B463" s="32" t="s">
        <v>2346</v>
      </c>
      <c r="C463" s="33" t="s">
        <v>2347</v>
      </c>
      <c r="D463" s="34" t="s">
        <v>2348</v>
      </c>
      <c r="E463" s="33" t="s">
        <v>2349</v>
      </c>
      <c r="F463" s="33" t="s">
        <v>2350</v>
      </c>
      <c r="G463" s="33" t="s">
        <v>1270</v>
      </c>
      <c r="H463" s="35" t="s">
        <v>19</v>
      </c>
      <c r="I463" s="36" t="s">
        <v>20</v>
      </c>
      <c r="J463" s="37"/>
      <c r="K463" s="37"/>
      <c r="L463" s="37"/>
      <c r="M463" s="36" t="s">
        <v>2351</v>
      </c>
      <c r="N463" s="37"/>
      <c r="O463" s="37"/>
      <c r="P463" s="37"/>
      <c r="Q463" s="37"/>
    </row>
    <row r="464">
      <c r="A464" s="31">
        <v>2016.0</v>
      </c>
      <c r="B464" s="32" t="s">
        <v>2352</v>
      </c>
      <c r="C464" s="33" t="s">
        <v>2353</v>
      </c>
      <c r="D464" s="34" t="s">
        <v>2354</v>
      </c>
      <c r="E464" s="33" t="s">
        <v>2355</v>
      </c>
      <c r="F464" s="33" t="s">
        <v>2356</v>
      </c>
      <c r="G464" s="33" t="s">
        <v>1270</v>
      </c>
      <c r="H464" s="35" t="s">
        <v>19</v>
      </c>
      <c r="I464" s="36" t="s">
        <v>20</v>
      </c>
      <c r="J464" s="37"/>
      <c r="K464" s="37"/>
      <c r="L464" s="37"/>
      <c r="M464" s="36" t="s">
        <v>2357</v>
      </c>
      <c r="N464" s="37"/>
      <c r="O464" s="37"/>
      <c r="P464" s="37"/>
      <c r="Q464" s="37"/>
    </row>
    <row r="465">
      <c r="A465" s="31">
        <v>2008.0</v>
      </c>
      <c r="B465" s="32" t="s">
        <v>2358</v>
      </c>
      <c r="C465" s="33" t="s">
        <v>2359</v>
      </c>
      <c r="D465" s="34" t="s">
        <v>1704</v>
      </c>
      <c r="E465" s="33" t="s">
        <v>2360</v>
      </c>
      <c r="F465" s="33" t="s">
        <v>2361</v>
      </c>
      <c r="G465" s="33" t="s">
        <v>1270</v>
      </c>
      <c r="H465" s="35" t="s">
        <v>19</v>
      </c>
      <c r="I465" s="36" t="s">
        <v>20</v>
      </c>
      <c r="J465" s="37"/>
      <c r="K465" s="37"/>
      <c r="L465" s="37"/>
      <c r="M465" s="36" t="s">
        <v>2362</v>
      </c>
      <c r="N465" s="37"/>
      <c r="O465" s="37"/>
      <c r="P465" s="37"/>
      <c r="Q465" s="37"/>
    </row>
    <row r="466">
      <c r="A466" s="31">
        <v>2011.0</v>
      </c>
      <c r="B466" s="32" t="s">
        <v>2363</v>
      </c>
      <c r="C466" s="33" t="s">
        <v>2364</v>
      </c>
      <c r="D466" s="34" t="s">
        <v>2365</v>
      </c>
      <c r="E466" s="33" t="s">
        <v>2366</v>
      </c>
      <c r="F466" s="33" t="s">
        <v>2367</v>
      </c>
      <c r="G466" s="33" t="s">
        <v>1270</v>
      </c>
      <c r="H466" s="35" t="s">
        <v>19</v>
      </c>
      <c r="I466" s="36" t="s">
        <v>20</v>
      </c>
      <c r="J466" s="37"/>
      <c r="K466" s="37"/>
      <c r="L466" s="37"/>
      <c r="M466" s="36" t="s">
        <v>2368</v>
      </c>
      <c r="N466" s="37"/>
      <c r="O466" s="37"/>
      <c r="P466" s="37"/>
      <c r="Q466" s="37"/>
    </row>
    <row r="467">
      <c r="A467" s="31">
        <v>2023.0</v>
      </c>
      <c r="B467" s="32" t="s">
        <v>2369</v>
      </c>
      <c r="C467" s="33" t="s">
        <v>2370</v>
      </c>
      <c r="D467" s="34" t="s">
        <v>2371</v>
      </c>
      <c r="E467" s="33" t="s">
        <v>2372</v>
      </c>
      <c r="F467" s="33" t="s">
        <v>2373</v>
      </c>
      <c r="G467" s="33" t="s">
        <v>1270</v>
      </c>
      <c r="H467" s="35" t="s">
        <v>19</v>
      </c>
      <c r="I467" s="36" t="s">
        <v>20</v>
      </c>
      <c r="J467" s="37"/>
      <c r="K467" s="37"/>
      <c r="L467" s="37"/>
      <c r="M467" s="36" t="s">
        <v>2374</v>
      </c>
      <c r="N467" s="37"/>
      <c r="O467" s="37"/>
      <c r="P467" s="37"/>
      <c r="Q467" s="37"/>
    </row>
    <row r="468">
      <c r="A468" s="31">
        <v>2005.0</v>
      </c>
      <c r="B468" s="32" t="s">
        <v>2375</v>
      </c>
      <c r="C468" s="35" t="s">
        <v>2376</v>
      </c>
      <c r="D468" s="34" t="s">
        <v>2031</v>
      </c>
      <c r="E468" s="38"/>
      <c r="F468" s="33" t="s">
        <v>2377</v>
      </c>
      <c r="G468" s="33" t="s">
        <v>1270</v>
      </c>
      <c r="H468" s="35" t="s">
        <v>19</v>
      </c>
      <c r="I468" s="36" t="s">
        <v>20</v>
      </c>
      <c r="J468" s="37"/>
      <c r="K468" s="37"/>
      <c r="L468" s="37"/>
      <c r="M468" s="36" t="s">
        <v>2378</v>
      </c>
      <c r="N468" s="37"/>
      <c r="O468" s="37"/>
      <c r="P468" s="37"/>
      <c r="Q468" s="37"/>
    </row>
    <row r="469">
      <c r="A469" s="31">
        <v>2015.0</v>
      </c>
      <c r="B469" s="32" t="s">
        <v>2379</v>
      </c>
      <c r="C469" s="33" t="s">
        <v>2380</v>
      </c>
      <c r="D469" s="34" t="s">
        <v>1944</v>
      </c>
      <c r="E469" s="33" t="s">
        <v>2381</v>
      </c>
      <c r="F469" s="33" t="s">
        <v>2382</v>
      </c>
      <c r="G469" s="33" t="s">
        <v>1270</v>
      </c>
      <c r="H469" s="35" t="s">
        <v>19</v>
      </c>
      <c r="I469" s="36" t="s">
        <v>20</v>
      </c>
      <c r="J469" s="37"/>
      <c r="K469" s="37"/>
      <c r="L469" s="37"/>
      <c r="M469" s="36" t="s">
        <v>2383</v>
      </c>
      <c r="N469" s="37"/>
      <c r="O469" s="37"/>
      <c r="P469" s="37"/>
      <c r="Q469" s="37"/>
    </row>
    <row r="470">
      <c r="A470" s="31">
        <v>2016.0</v>
      </c>
      <c r="B470" s="32" t="s">
        <v>2384</v>
      </c>
      <c r="C470" s="33" t="s">
        <v>2385</v>
      </c>
      <c r="D470" s="34" t="s">
        <v>2386</v>
      </c>
      <c r="E470" s="33" t="s">
        <v>2387</v>
      </c>
      <c r="F470" s="33" t="s">
        <v>2388</v>
      </c>
      <c r="G470" s="33" t="s">
        <v>1270</v>
      </c>
      <c r="H470" s="35" t="s">
        <v>19</v>
      </c>
      <c r="I470" s="36" t="s">
        <v>20</v>
      </c>
      <c r="J470" s="37"/>
      <c r="K470" s="37"/>
      <c r="L470" s="37"/>
      <c r="M470" s="36" t="s">
        <v>2389</v>
      </c>
      <c r="N470" s="37"/>
      <c r="O470" s="37"/>
      <c r="P470" s="37"/>
      <c r="Q470" s="37"/>
    </row>
    <row r="471">
      <c r="A471" s="31">
        <v>2014.0</v>
      </c>
      <c r="B471" s="32" t="s">
        <v>2390</v>
      </c>
      <c r="C471" s="33" t="s">
        <v>2391</v>
      </c>
      <c r="D471" s="34" t="s">
        <v>1599</v>
      </c>
      <c r="E471" s="33" t="s">
        <v>2392</v>
      </c>
      <c r="F471" s="33" t="s">
        <v>2393</v>
      </c>
      <c r="G471" s="33" t="s">
        <v>1270</v>
      </c>
      <c r="H471" s="35" t="s">
        <v>19</v>
      </c>
      <c r="I471" s="36" t="s">
        <v>20</v>
      </c>
      <c r="J471" s="37"/>
      <c r="K471" s="37"/>
      <c r="L471" s="37"/>
      <c r="M471" s="36" t="s">
        <v>2394</v>
      </c>
      <c r="N471" s="37"/>
      <c r="O471" s="37"/>
      <c r="P471" s="37"/>
      <c r="Q471" s="37"/>
    </row>
    <row r="472">
      <c r="A472" s="31">
        <v>2016.0</v>
      </c>
      <c r="B472" s="32" t="s">
        <v>2395</v>
      </c>
      <c r="C472" s="33" t="s">
        <v>2396</v>
      </c>
      <c r="D472" s="34" t="s">
        <v>2397</v>
      </c>
      <c r="E472" s="33" t="s">
        <v>2398</v>
      </c>
      <c r="F472" s="33" t="s">
        <v>2399</v>
      </c>
      <c r="G472" s="33" t="s">
        <v>1270</v>
      </c>
      <c r="H472" s="35" t="s">
        <v>19</v>
      </c>
      <c r="I472" s="36" t="s">
        <v>20</v>
      </c>
      <c r="J472" s="37"/>
      <c r="K472" s="37"/>
      <c r="L472" s="37"/>
      <c r="M472" s="36" t="s">
        <v>2400</v>
      </c>
      <c r="N472" s="37"/>
      <c r="O472" s="37"/>
      <c r="P472" s="37"/>
      <c r="Q472" s="37"/>
    </row>
    <row r="473">
      <c r="A473" s="31">
        <v>2009.0</v>
      </c>
      <c r="B473" s="32" t="s">
        <v>2401</v>
      </c>
      <c r="C473" s="35" t="s">
        <v>2402</v>
      </c>
      <c r="D473" s="34" t="s">
        <v>1999</v>
      </c>
      <c r="E473" s="38"/>
      <c r="F473" s="33" t="s">
        <v>2403</v>
      </c>
      <c r="G473" s="33" t="s">
        <v>1270</v>
      </c>
      <c r="H473" s="35" t="s">
        <v>19</v>
      </c>
      <c r="I473" s="36" t="s">
        <v>20</v>
      </c>
      <c r="J473" s="37"/>
      <c r="K473" s="37"/>
      <c r="L473" s="37"/>
      <c r="M473" s="36" t="s">
        <v>2404</v>
      </c>
      <c r="N473" s="37"/>
      <c r="O473" s="37"/>
      <c r="P473" s="37"/>
      <c r="Q473" s="37"/>
    </row>
    <row r="474">
      <c r="A474" s="31">
        <v>2019.0</v>
      </c>
      <c r="B474" s="32" t="s">
        <v>2405</v>
      </c>
      <c r="C474" s="33" t="s">
        <v>2406</v>
      </c>
      <c r="D474" s="34" t="s">
        <v>2407</v>
      </c>
      <c r="E474" s="33" t="s">
        <v>2408</v>
      </c>
      <c r="F474" s="33" t="s">
        <v>2409</v>
      </c>
      <c r="G474" s="33" t="s">
        <v>1270</v>
      </c>
      <c r="H474" s="35" t="s">
        <v>19</v>
      </c>
      <c r="I474" s="36" t="s">
        <v>27</v>
      </c>
      <c r="J474" s="37"/>
      <c r="K474" s="37"/>
      <c r="L474" s="37"/>
      <c r="M474" s="37"/>
      <c r="N474" s="37"/>
      <c r="O474" s="37"/>
      <c r="P474" s="37"/>
      <c r="Q474" s="37"/>
    </row>
    <row r="475">
      <c r="A475" s="31">
        <v>2014.0</v>
      </c>
      <c r="B475" s="32" t="s">
        <v>2410</v>
      </c>
      <c r="C475" s="33" t="s">
        <v>2411</v>
      </c>
      <c r="D475" s="34" t="s">
        <v>2412</v>
      </c>
      <c r="E475" s="33" t="s">
        <v>2413</v>
      </c>
      <c r="F475" s="33" t="s">
        <v>2414</v>
      </c>
      <c r="G475" s="33" t="s">
        <v>1270</v>
      </c>
      <c r="H475" s="35" t="s">
        <v>19</v>
      </c>
      <c r="I475" s="36" t="s">
        <v>20</v>
      </c>
      <c r="J475" s="37"/>
      <c r="K475" s="37"/>
      <c r="L475" s="37"/>
      <c r="M475" s="36" t="s">
        <v>2415</v>
      </c>
      <c r="N475" s="37"/>
      <c r="O475" s="37"/>
      <c r="P475" s="37"/>
      <c r="Q475" s="37"/>
    </row>
    <row r="476">
      <c r="A476" s="31">
        <v>2018.0</v>
      </c>
      <c r="B476" s="32" t="s">
        <v>2416</v>
      </c>
      <c r="C476" s="33" t="s">
        <v>2417</v>
      </c>
      <c r="D476" s="34" t="s">
        <v>1667</v>
      </c>
      <c r="E476" s="33" t="s">
        <v>2418</v>
      </c>
      <c r="F476" s="33" t="s">
        <v>2419</v>
      </c>
      <c r="G476" s="33" t="s">
        <v>1270</v>
      </c>
      <c r="H476" s="35" t="s">
        <v>19</v>
      </c>
      <c r="I476" s="36" t="s">
        <v>20</v>
      </c>
      <c r="J476" s="37"/>
      <c r="K476" s="37"/>
      <c r="L476" s="37"/>
      <c r="M476" s="36" t="s">
        <v>2420</v>
      </c>
      <c r="N476" s="37"/>
      <c r="O476" s="37"/>
      <c r="P476" s="37"/>
      <c r="Q476" s="37"/>
    </row>
    <row r="477">
      <c r="A477" s="31">
        <v>2010.0</v>
      </c>
      <c r="B477" s="32" t="s">
        <v>2421</v>
      </c>
      <c r="C477" s="33" t="s">
        <v>2422</v>
      </c>
      <c r="D477" s="34" t="s">
        <v>2423</v>
      </c>
      <c r="E477" s="33" t="s">
        <v>2424</v>
      </c>
      <c r="F477" s="33" t="s">
        <v>2425</v>
      </c>
      <c r="G477" s="33" t="s">
        <v>1270</v>
      </c>
      <c r="H477" s="35" t="s">
        <v>19</v>
      </c>
      <c r="I477" s="36" t="s">
        <v>20</v>
      </c>
      <c r="J477" s="37"/>
      <c r="K477" s="37"/>
      <c r="L477" s="37"/>
      <c r="M477" s="36" t="s">
        <v>2426</v>
      </c>
      <c r="N477" s="37"/>
      <c r="O477" s="37"/>
      <c r="P477" s="37"/>
      <c r="Q477" s="37"/>
    </row>
    <row r="478">
      <c r="A478" s="7">
        <v>2022.0</v>
      </c>
      <c r="B478" s="8" t="s">
        <v>2427</v>
      </c>
      <c r="C478" s="12" t="s">
        <v>2428</v>
      </c>
      <c r="D478" s="10" t="s">
        <v>59</v>
      </c>
      <c r="E478" s="18" t="s">
        <v>2429</v>
      </c>
      <c r="F478" s="18" t="s">
        <v>2430</v>
      </c>
      <c r="G478" s="18" t="s">
        <v>1270</v>
      </c>
      <c r="H478" s="19" t="s">
        <v>67</v>
      </c>
      <c r="I478" s="20" t="s">
        <v>27</v>
      </c>
      <c r="J478" s="21"/>
      <c r="K478" s="21"/>
      <c r="L478" s="21"/>
      <c r="M478" s="21"/>
      <c r="N478" s="14"/>
      <c r="O478" s="37"/>
      <c r="P478" s="37"/>
      <c r="Q478" s="37"/>
    </row>
    <row r="479">
      <c r="A479" s="31">
        <v>2008.0</v>
      </c>
      <c r="B479" s="32" t="s">
        <v>2431</v>
      </c>
      <c r="C479" s="33" t="s">
        <v>2432</v>
      </c>
      <c r="D479" s="34" t="s">
        <v>2433</v>
      </c>
      <c r="E479" s="33" t="s">
        <v>2434</v>
      </c>
      <c r="F479" s="33" t="s">
        <v>2435</v>
      </c>
      <c r="G479" s="33" t="s">
        <v>1270</v>
      </c>
      <c r="H479" s="35" t="s">
        <v>19</v>
      </c>
      <c r="I479" s="36" t="s">
        <v>20</v>
      </c>
      <c r="J479" s="37"/>
      <c r="K479" s="37"/>
      <c r="L479" s="37"/>
      <c r="M479" s="36" t="s">
        <v>2436</v>
      </c>
      <c r="N479" s="37"/>
      <c r="O479" s="37"/>
      <c r="P479" s="37"/>
      <c r="Q479" s="37"/>
    </row>
    <row r="480">
      <c r="A480" s="31">
        <v>2020.0</v>
      </c>
      <c r="B480" s="32" t="s">
        <v>2437</v>
      </c>
      <c r="C480" s="33" t="s">
        <v>2438</v>
      </c>
      <c r="D480" s="34" t="s">
        <v>1784</v>
      </c>
      <c r="E480" s="33" t="s">
        <v>2439</v>
      </c>
      <c r="F480" s="33" t="s">
        <v>2440</v>
      </c>
      <c r="G480" s="33" t="s">
        <v>1270</v>
      </c>
      <c r="H480" s="35" t="s">
        <v>19</v>
      </c>
      <c r="I480" s="36" t="s">
        <v>20</v>
      </c>
      <c r="J480" s="37"/>
      <c r="K480" s="37"/>
      <c r="L480" s="37"/>
      <c r="M480" s="36" t="s">
        <v>2441</v>
      </c>
      <c r="N480" s="37"/>
      <c r="O480" s="37"/>
      <c r="P480" s="37"/>
      <c r="Q480" s="37"/>
    </row>
    <row r="481">
      <c r="A481" s="31">
        <v>2025.0</v>
      </c>
      <c r="B481" s="32" t="s">
        <v>2442</v>
      </c>
      <c r="C481" s="33" t="s">
        <v>2443</v>
      </c>
      <c r="D481" s="34" t="s">
        <v>2444</v>
      </c>
      <c r="E481" s="33" t="s">
        <v>2445</v>
      </c>
      <c r="F481" s="33" t="s">
        <v>2446</v>
      </c>
      <c r="G481" s="33" t="s">
        <v>1270</v>
      </c>
      <c r="H481" s="35" t="s">
        <v>19</v>
      </c>
      <c r="I481" s="36" t="s">
        <v>20</v>
      </c>
      <c r="J481" s="37"/>
      <c r="K481" s="37"/>
      <c r="L481" s="37"/>
      <c r="M481" s="36" t="s">
        <v>2447</v>
      </c>
      <c r="N481" s="37"/>
      <c r="O481" s="37"/>
      <c r="P481" s="37"/>
      <c r="Q481" s="37"/>
    </row>
    <row r="482">
      <c r="A482" s="23">
        <v>2016.0</v>
      </c>
      <c r="B482" s="24" t="s">
        <v>2448</v>
      </c>
      <c r="C482" s="28" t="s">
        <v>2449</v>
      </c>
      <c r="D482" s="26" t="s">
        <v>1704</v>
      </c>
      <c r="E482" s="28" t="s">
        <v>2450</v>
      </c>
      <c r="F482" s="28" t="s">
        <v>2451</v>
      </c>
      <c r="G482" s="28" t="s">
        <v>1270</v>
      </c>
      <c r="H482" s="25" t="s">
        <v>19</v>
      </c>
      <c r="I482" s="29" t="s">
        <v>20</v>
      </c>
      <c r="J482" s="30"/>
      <c r="K482" s="30"/>
      <c r="L482" s="30"/>
      <c r="M482" s="29" t="s">
        <v>2452</v>
      </c>
      <c r="N482" s="30"/>
      <c r="O482" s="30"/>
      <c r="P482" s="30"/>
      <c r="Q482" s="30"/>
      <c r="R482" s="30"/>
      <c r="S482" s="30"/>
      <c r="T482" s="30"/>
      <c r="U482" s="30"/>
      <c r="V482" s="30"/>
      <c r="W482" s="30"/>
      <c r="X482" s="30"/>
      <c r="Y482" s="30"/>
      <c r="Z482" s="30"/>
    </row>
    <row r="483">
      <c r="A483" s="23">
        <v>2021.0</v>
      </c>
      <c r="B483" s="24" t="s">
        <v>2453</v>
      </c>
      <c r="C483" s="28" t="s">
        <v>2454</v>
      </c>
      <c r="D483" s="26" t="s">
        <v>1404</v>
      </c>
      <c r="E483" s="28" t="s">
        <v>2455</v>
      </c>
      <c r="F483" s="28" t="s">
        <v>2456</v>
      </c>
      <c r="G483" s="28" t="s">
        <v>1270</v>
      </c>
      <c r="H483" s="25" t="s">
        <v>19</v>
      </c>
      <c r="I483" s="29" t="s">
        <v>27</v>
      </c>
      <c r="J483" s="30"/>
      <c r="K483" s="30"/>
      <c r="L483" s="30"/>
      <c r="M483" s="29" t="s">
        <v>2457</v>
      </c>
      <c r="N483" s="30"/>
      <c r="O483" s="30"/>
      <c r="P483" s="30"/>
      <c r="Q483" s="30"/>
      <c r="R483" s="30"/>
      <c r="S483" s="30"/>
      <c r="T483" s="30"/>
      <c r="U483" s="30"/>
      <c r="V483" s="30"/>
      <c r="W483" s="30"/>
      <c r="X483" s="30"/>
      <c r="Y483" s="30"/>
      <c r="Z483" s="30"/>
    </row>
    <row r="484">
      <c r="A484" s="23">
        <v>2012.0</v>
      </c>
      <c r="B484" s="24" t="s">
        <v>2458</v>
      </c>
      <c r="C484" s="28" t="s">
        <v>2459</v>
      </c>
      <c r="D484" s="26" t="s">
        <v>1971</v>
      </c>
      <c r="E484" s="28" t="s">
        <v>2460</v>
      </c>
      <c r="F484" s="28" t="s">
        <v>2461</v>
      </c>
      <c r="G484" s="28" t="s">
        <v>1270</v>
      </c>
      <c r="H484" s="25" t="s">
        <v>19</v>
      </c>
      <c r="I484" s="29" t="s">
        <v>27</v>
      </c>
      <c r="J484" s="30"/>
      <c r="K484" s="30"/>
      <c r="L484" s="30"/>
      <c r="M484" s="29" t="s">
        <v>2462</v>
      </c>
      <c r="N484" s="30"/>
      <c r="O484" s="30"/>
      <c r="P484" s="30"/>
      <c r="Q484" s="30"/>
      <c r="R484" s="30"/>
      <c r="S484" s="30"/>
      <c r="T484" s="30"/>
      <c r="U484" s="30"/>
      <c r="V484" s="30"/>
      <c r="W484" s="30"/>
      <c r="X484" s="30"/>
      <c r="Y484" s="30"/>
      <c r="Z484" s="30"/>
    </row>
    <row r="485">
      <c r="A485" s="23">
        <v>2015.0</v>
      </c>
      <c r="B485" s="24" t="s">
        <v>2463</v>
      </c>
      <c r="C485" s="28" t="s">
        <v>2464</v>
      </c>
      <c r="D485" s="26" t="s">
        <v>1704</v>
      </c>
      <c r="E485" s="28" t="s">
        <v>2465</v>
      </c>
      <c r="F485" s="28" t="s">
        <v>2466</v>
      </c>
      <c r="G485" s="28" t="s">
        <v>1270</v>
      </c>
      <c r="H485" s="25" t="s">
        <v>19</v>
      </c>
      <c r="I485" s="29" t="s">
        <v>27</v>
      </c>
      <c r="J485" s="30"/>
      <c r="K485" s="30"/>
      <c r="L485" s="30"/>
      <c r="M485" s="29" t="s">
        <v>2467</v>
      </c>
      <c r="N485" s="30"/>
      <c r="O485" s="30"/>
      <c r="P485" s="30"/>
      <c r="Q485" s="30"/>
      <c r="R485" s="30"/>
      <c r="S485" s="30"/>
      <c r="T485" s="30"/>
      <c r="U485" s="30"/>
      <c r="V485" s="30"/>
      <c r="W485" s="30"/>
      <c r="X485" s="30"/>
      <c r="Y485" s="30"/>
      <c r="Z485" s="30"/>
    </row>
    <row r="486">
      <c r="A486" s="23">
        <v>2016.0</v>
      </c>
      <c r="B486" s="24" t="s">
        <v>2468</v>
      </c>
      <c r="C486" s="28" t="s">
        <v>2469</v>
      </c>
      <c r="D486" s="26" t="s">
        <v>1704</v>
      </c>
      <c r="E486" s="28" t="s">
        <v>2470</v>
      </c>
      <c r="F486" s="28" t="s">
        <v>2471</v>
      </c>
      <c r="G486" s="28" t="s">
        <v>1270</v>
      </c>
      <c r="H486" s="25" t="s">
        <v>19</v>
      </c>
      <c r="I486" s="29" t="s">
        <v>20</v>
      </c>
      <c r="J486" s="30"/>
      <c r="K486" s="30"/>
      <c r="L486" s="30"/>
      <c r="M486" s="29" t="s">
        <v>2472</v>
      </c>
      <c r="N486" s="30"/>
      <c r="O486" s="30"/>
      <c r="P486" s="30"/>
      <c r="Q486" s="30"/>
      <c r="R486" s="30"/>
      <c r="S486" s="30"/>
      <c r="T486" s="30"/>
      <c r="U486" s="30"/>
      <c r="V486" s="30"/>
      <c r="W486" s="30"/>
      <c r="X486" s="30"/>
      <c r="Y486" s="30"/>
      <c r="Z486" s="30"/>
    </row>
    <row r="487">
      <c r="A487" s="23">
        <v>2022.0</v>
      </c>
      <c r="B487" s="24" t="s">
        <v>2473</v>
      </c>
      <c r="C487" s="28" t="s">
        <v>2474</v>
      </c>
      <c r="D487" s="26" t="s">
        <v>1573</v>
      </c>
      <c r="E487" s="28" t="s">
        <v>2475</v>
      </c>
      <c r="F487" s="28" t="s">
        <v>2476</v>
      </c>
      <c r="G487" s="28" t="s">
        <v>1270</v>
      </c>
      <c r="H487" s="25" t="s">
        <v>19</v>
      </c>
      <c r="I487" s="29" t="s">
        <v>1193</v>
      </c>
      <c r="J487" s="30"/>
      <c r="K487" s="30"/>
      <c r="L487" s="30"/>
      <c r="M487" s="29" t="s">
        <v>2477</v>
      </c>
      <c r="N487" s="30"/>
      <c r="O487" s="30"/>
      <c r="P487" s="30"/>
      <c r="Q487" s="30"/>
      <c r="R487" s="30"/>
      <c r="S487" s="30"/>
      <c r="T487" s="30"/>
      <c r="U487" s="30"/>
      <c r="V487" s="30"/>
      <c r="W487" s="30"/>
      <c r="X487" s="30"/>
      <c r="Y487" s="30"/>
      <c r="Z487" s="30"/>
    </row>
    <row r="488">
      <c r="A488" s="23">
        <v>2009.0</v>
      </c>
      <c r="B488" s="24" t="s">
        <v>2478</v>
      </c>
      <c r="C488" s="28" t="s">
        <v>2479</v>
      </c>
      <c r="D488" s="26" t="s">
        <v>1541</v>
      </c>
      <c r="E488" s="28" t="s">
        <v>2480</v>
      </c>
      <c r="F488" s="28" t="s">
        <v>2481</v>
      </c>
      <c r="G488" s="28" t="s">
        <v>1270</v>
      </c>
      <c r="H488" s="25" t="s">
        <v>19</v>
      </c>
      <c r="I488" s="29" t="s">
        <v>1193</v>
      </c>
      <c r="J488" s="30"/>
      <c r="K488" s="30"/>
      <c r="L488" s="30"/>
      <c r="M488" s="29" t="s">
        <v>2482</v>
      </c>
      <c r="N488" s="30"/>
      <c r="O488" s="30"/>
      <c r="P488" s="30"/>
      <c r="Q488" s="30"/>
      <c r="R488" s="30"/>
      <c r="S488" s="30"/>
      <c r="T488" s="30"/>
      <c r="U488" s="30"/>
      <c r="V488" s="30"/>
      <c r="W488" s="30"/>
      <c r="X488" s="30"/>
      <c r="Y488" s="30"/>
      <c r="Z488" s="30"/>
    </row>
    <row r="489">
      <c r="A489" s="23">
        <v>2021.0</v>
      </c>
      <c r="B489" s="24" t="s">
        <v>2483</v>
      </c>
      <c r="C489" s="28" t="s">
        <v>2484</v>
      </c>
      <c r="D489" s="26" t="s">
        <v>760</v>
      </c>
      <c r="E489" s="28" t="s">
        <v>2485</v>
      </c>
      <c r="F489" s="28" t="s">
        <v>2486</v>
      </c>
      <c r="G489" s="28" t="s">
        <v>1270</v>
      </c>
      <c r="H489" s="25" t="s">
        <v>19</v>
      </c>
      <c r="I489" s="29" t="s">
        <v>20</v>
      </c>
      <c r="J489" s="30"/>
      <c r="K489" s="30"/>
      <c r="L489" s="30"/>
      <c r="M489" s="29" t="s">
        <v>2487</v>
      </c>
      <c r="N489" s="30"/>
      <c r="O489" s="30"/>
      <c r="P489" s="30"/>
      <c r="Q489" s="30"/>
      <c r="R489" s="30"/>
      <c r="S489" s="30"/>
      <c r="T489" s="30"/>
      <c r="U489" s="30"/>
      <c r="V489" s="30"/>
      <c r="W489" s="30"/>
      <c r="X489" s="30"/>
      <c r="Y489" s="30"/>
      <c r="Z489" s="30"/>
    </row>
    <row r="490">
      <c r="A490" s="23">
        <v>2012.0</v>
      </c>
      <c r="B490" s="24" t="s">
        <v>2488</v>
      </c>
      <c r="C490" s="28" t="s">
        <v>2489</v>
      </c>
      <c r="D490" s="26" t="s">
        <v>1599</v>
      </c>
      <c r="E490" s="25" t="s">
        <v>2490</v>
      </c>
      <c r="F490" s="28" t="s">
        <v>2491</v>
      </c>
      <c r="G490" s="28" t="s">
        <v>1270</v>
      </c>
      <c r="H490" s="25" t="s">
        <v>19</v>
      </c>
      <c r="I490" s="29" t="s">
        <v>27</v>
      </c>
      <c r="J490" s="30"/>
      <c r="K490" s="30"/>
      <c r="L490" s="30"/>
      <c r="M490" s="29" t="s">
        <v>2492</v>
      </c>
      <c r="N490" s="30"/>
      <c r="O490" s="30"/>
      <c r="P490" s="30"/>
      <c r="Q490" s="30"/>
      <c r="R490" s="30"/>
      <c r="S490" s="30"/>
      <c r="T490" s="30"/>
      <c r="U490" s="30"/>
      <c r="V490" s="30"/>
      <c r="W490" s="30"/>
      <c r="X490" s="30"/>
      <c r="Y490" s="30"/>
      <c r="Z490" s="30"/>
    </row>
    <row r="491">
      <c r="A491" s="23">
        <v>2010.0</v>
      </c>
      <c r="B491" s="24" t="s">
        <v>2493</v>
      </c>
      <c r="C491" s="28" t="s">
        <v>2494</v>
      </c>
      <c r="D491" s="26" t="s">
        <v>1757</v>
      </c>
      <c r="E491" s="25" t="s">
        <v>2495</v>
      </c>
      <c r="F491" s="28" t="s">
        <v>2496</v>
      </c>
      <c r="G491" s="28" t="s">
        <v>1270</v>
      </c>
      <c r="H491" s="25" t="s">
        <v>19</v>
      </c>
      <c r="I491" s="29" t="s">
        <v>20</v>
      </c>
      <c r="J491" s="30"/>
      <c r="K491" s="30"/>
      <c r="L491" s="30"/>
      <c r="M491" s="29" t="s">
        <v>2497</v>
      </c>
      <c r="N491" s="30"/>
      <c r="O491" s="30"/>
      <c r="P491" s="30"/>
      <c r="Q491" s="30"/>
      <c r="R491" s="30"/>
      <c r="S491" s="30"/>
      <c r="T491" s="30"/>
      <c r="U491" s="30"/>
      <c r="V491" s="30"/>
      <c r="W491" s="30"/>
      <c r="X491" s="30"/>
      <c r="Y491" s="30"/>
      <c r="Z491" s="30"/>
    </row>
    <row r="492">
      <c r="A492" s="23">
        <v>2015.0</v>
      </c>
      <c r="B492" s="24" t="s">
        <v>2498</v>
      </c>
      <c r="C492" s="28" t="s">
        <v>2499</v>
      </c>
      <c r="D492" s="26" t="s">
        <v>1611</v>
      </c>
      <c r="E492" s="27"/>
      <c r="F492" s="28" t="s">
        <v>2500</v>
      </c>
      <c r="G492" s="28" t="s">
        <v>1270</v>
      </c>
      <c r="H492" s="25" t="s">
        <v>19</v>
      </c>
      <c r="I492" s="29" t="s">
        <v>27</v>
      </c>
      <c r="J492" s="30"/>
      <c r="K492" s="30"/>
      <c r="L492" s="30"/>
      <c r="M492" s="29" t="s">
        <v>2501</v>
      </c>
      <c r="N492" s="30"/>
      <c r="O492" s="30"/>
      <c r="P492" s="30"/>
      <c r="Q492" s="30"/>
      <c r="R492" s="30"/>
      <c r="S492" s="30"/>
      <c r="T492" s="30"/>
      <c r="U492" s="30"/>
      <c r="V492" s="30"/>
      <c r="W492" s="30"/>
      <c r="X492" s="30"/>
      <c r="Y492" s="30"/>
      <c r="Z492" s="30"/>
    </row>
    <row r="493">
      <c r="A493" s="23">
        <v>2018.0</v>
      </c>
      <c r="B493" s="24" t="s">
        <v>2502</v>
      </c>
      <c r="C493" s="28" t="s">
        <v>2503</v>
      </c>
      <c r="D493" s="26" t="s">
        <v>2504</v>
      </c>
      <c r="E493" s="28" t="s">
        <v>2505</v>
      </c>
      <c r="F493" s="28" t="s">
        <v>2506</v>
      </c>
      <c r="G493" s="28" t="s">
        <v>1270</v>
      </c>
      <c r="H493" s="25" t="s">
        <v>19</v>
      </c>
      <c r="I493" s="29" t="s">
        <v>1193</v>
      </c>
      <c r="J493" s="30"/>
      <c r="K493" s="30"/>
      <c r="L493" s="30"/>
      <c r="M493" s="29" t="s">
        <v>2507</v>
      </c>
      <c r="N493" s="30"/>
      <c r="O493" s="30"/>
      <c r="P493" s="30"/>
      <c r="Q493" s="30"/>
      <c r="R493" s="30"/>
      <c r="S493" s="30"/>
      <c r="T493" s="30"/>
      <c r="U493" s="30"/>
      <c r="V493" s="30"/>
      <c r="W493" s="30"/>
      <c r="X493" s="30"/>
      <c r="Y493" s="30"/>
      <c r="Z493" s="30"/>
    </row>
    <row r="494">
      <c r="A494" s="23">
        <v>2006.0</v>
      </c>
      <c r="B494" s="24" t="s">
        <v>2508</v>
      </c>
      <c r="C494" s="28" t="s">
        <v>2509</v>
      </c>
      <c r="D494" s="26" t="s">
        <v>1667</v>
      </c>
      <c r="E494" s="28" t="s">
        <v>2510</v>
      </c>
      <c r="F494" s="28" t="s">
        <v>2511</v>
      </c>
      <c r="G494" s="28" t="s">
        <v>1270</v>
      </c>
      <c r="H494" s="25" t="s">
        <v>19</v>
      </c>
      <c r="I494" s="29" t="s">
        <v>27</v>
      </c>
      <c r="J494" s="30"/>
      <c r="K494" s="30"/>
      <c r="L494" s="30"/>
      <c r="M494" s="29" t="s">
        <v>2512</v>
      </c>
      <c r="N494" s="30"/>
      <c r="O494" s="30"/>
      <c r="P494" s="30"/>
      <c r="Q494" s="30"/>
      <c r="R494" s="30"/>
      <c r="S494" s="30"/>
      <c r="T494" s="30"/>
      <c r="U494" s="30"/>
      <c r="V494" s="30"/>
      <c r="W494" s="30"/>
      <c r="X494" s="30"/>
      <c r="Y494" s="30"/>
      <c r="Z494" s="30"/>
    </row>
    <row r="495">
      <c r="A495" s="23">
        <v>2013.0</v>
      </c>
      <c r="B495" s="24" t="s">
        <v>2513</v>
      </c>
      <c r="C495" s="28" t="s">
        <v>2514</v>
      </c>
      <c r="D495" s="26" t="s">
        <v>2515</v>
      </c>
      <c r="E495" s="28" t="s">
        <v>2516</v>
      </c>
      <c r="F495" s="28" t="s">
        <v>2517</v>
      </c>
      <c r="G495" s="28" t="s">
        <v>1270</v>
      </c>
      <c r="H495" s="25" t="s">
        <v>19</v>
      </c>
      <c r="I495" s="29" t="s">
        <v>27</v>
      </c>
      <c r="J495" s="30"/>
      <c r="K495" s="30"/>
      <c r="L495" s="30"/>
      <c r="M495" s="29" t="s">
        <v>2518</v>
      </c>
      <c r="N495" s="30"/>
      <c r="O495" s="30"/>
      <c r="P495" s="30"/>
      <c r="Q495" s="30"/>
      <c r="R495" s="30"/>
      <c r="S495" s="30"/>
      <c r="T495" s="30"/>
      <c r="U495" s="30"/>
      <c r="V495" s="30"/>
      <c r="W495" s="30"/>
      <c r="X495" s="30"/>
      <c r="Y495" s="30"/>
      <c r="Z495" s="30"/>
    </row>
    <row r="496">
      <c r="A496" s="23">
        <v>2007.0</v>
      </c>
      <c r="B496" s="24" t="s">
        <v>2519</v>
      </c>
      <c r="C496" s="28" t="s">
        <v>2520</v>
      </c>
      <c r="D496" s="26" t="s">
        <v>220</v>
      </c>
      <c r="E496" s="28" t="s">
        <v>2521</v>
      </c>
      <c r="F496" s="28" t="s">
        <v>2522</v>
      </c>
      <c r="G496" s="28" t="s">
        <v>1270</v>
      </c>
      <c r="H496" s="25" t="s">
        <v>67</v>
      </c>
      <c r="I496" s="29" t="s">
        <v>1193</v>
      </c>
      <c r="J496" s="30"/>
      <c r="K496" s="30"/>
      <c r="L496" s="30"/>
      <c r="M496" s="29" t="s">
        <v>2523</v>
      </c>
      <c r="N496" s="30"/>
      <c r="O496" s="30"/>
      <c r="P496" s="30"/>
      <c r="Q496" s="30"/>
      <c r="R496" s="30"/>
      <c r="S496" s="30"/>
      <c r="T496" s="30"/>
      <c r="U496" s="30"/>
      <c r="V496" s="30"/>
      <c r="W496" s="30"/>
      <c r="X496" s="30"/>
      <c r="Y496" s="30"/>
      <c r="Z496" s="30"/>
    </row>
    <row r="497">
      <c r="A497" s="23">
        <v>2020.0</v>
      </c>
      <c r="B497" s="24" t="s">
        <v>2524</v>
      </c>
      <c r="C497" s="28" t="s">
        <v>2525</v>
      </c>
      <c r="D497" s="26" t="s">
        <v>2526</v>
      </c>
      <c r="E497" s="28" t="s">
        <v>2527</v>
      </c>
      <c r="F497" s="28" t="s">
        <v>2528</v>
      </c>
      <c r="G497" s="28" t="s">
        <v>1270</v>
      </c>
      <c r="H497" s="25" t="s">
        <v>19</v>
      </c>
      <c r="I497" s="29" t="s">
        <v>20</v>
      </c>
      <c r="J497" s="30"/>
      <c r="K497" s="30"/>
      <c r="L497" s="30"/>
      <c r="M497" s="29" t="s">
        <v>2529</v>
      </c>
      <c r="N497" s="30"/>
      <c r="O497" s="30"/>
      <c r="P497" s="30"/>
      <c r="Q497" s="30"/>
      <c r="R497" s="30"/>
      <c r="S497" s="30"/>
      <c r="T497" s="30"/>
      <c r="U497" s="30"/>
      <c r="V497" s="30"/>
      <c r="W497" s="30"/>
      <c r="X497" s="30"/>
      <c r="Y497" s="30"/>
      <c r="Z497" s="30"/>
    </row>
    <row r="498">
      <c r="A498" s="23">
        <v>2012.0</v>
      </c>
      <c r="B498" s="24" t="s">
        <v>2530</v>
      </c>
      <c r="C498" s="28" t="s">
        <v>2531</v>
      </c>
      <c r="D498" s="26" t="s">
        <v>220</v>
      </c>
      <c r="E498" s="28" t="s">
        <v>2532</v>
      </c>
      <c r="F498" s="28" t="s">
        <v>2533</v>
      </c>
      <c r="G498" s="28" t="s">
        <v>1270</v>
      </c>
      <c r="H498" s="25" t="s">
        <v>19</v>
      </c>
      <c r="I498" s="29" t="s">
        <v>27</v>
      </c>
      <c r="J498" s="30"/>
      <c r="K498" s="30"/>
      <c r="L498" s="30"/>
      <c r="M498" s="29" t="s">
        <v>2534</v>
      </c>
      <c r="N498" s="30"/>
      <c r="O498" s="30"/>
      <c r="P498" s="30"/>
      <c r="Q498" s="30"/>
      <c r="R498" s="30"/>
      <c r="S498" s="30"/>
      <c r="T498" s="30"/>
      <c r="U498" s="30"/>
      <c r="V498" s="30"/>
      <c r="W498" s="30"/>
      <c r="X498" s="30"/>
      <c r="Y498" s="30"/>
      <c r="Z498" s="30"/>
    </row>
    <row r="499">
      <c r="A499" s="23">
        <v>2013.0</v>
      </c>
      <c r="B499" s="24" t="s">
        <v>2535</v>
      </c>
      <c r="C499" s="28" t="s">
        <v>2536</v>
      </c>
      <c r="D499" s="26" t="s">
        <v>1704</v>
      </c>
      <c r="E499" s="28" t="s">
        <v>2537</v>
      </c>
      <c r="F499" s="28" t="s">
        <v>2538</v>
      </c>
      <c r="G499" s="28" t="s">
        <v>1270</v>
      </c>
      <c r="H499" s="25" t="s">
        <v>19</v>
      </c>
      <c r="I499" s="29" t="s">
        <v>1193</v>
      </c>
      <c r="J499" s="30"/>
      <c r="K499" s="30"/>
      <c r="L499" s="30"/>
      <c r="M499" s="29" t="s">
        <v>2539</v>
      </c>
      <c r="N499" s="30"/>
      <c r="O499" s="30"/>
      <c r="P499" s="30"/>
      <c r="Q499" s="30"/>
      <c r="R499" s="30"/>
      <c r="S499" s="30"/>
      <c r="T499" s="30"/>
      <c r="U499" s="30"/>
      <c r="V499" s="30"/>
      <c r="W499" s="30"/>
      <c r="X499" s="30"/>
      <c r="Y499" s="30"/>
      <c r="Z499" s="30"/>
    </row>
    <row r="500">
      <c r="A500" s="23">
        <v>2021.0</v>
      </c>
      <c r="B500" s="24" t="s">
        <v>2540</v>
      </c>
      <c r="C500" s="28" t="s">
        <v>2541</v>
      </c>
      <c r="D500" s="26" t="s">
        <v>1373</v>
      </c>
      <c r="E500" s="28" t="s">
        <v>2542</v>
      </c>
      <c r="F500" s="28" t="s">
        <v>2543</v>
      </c>
      <c r="G500" s="28" t="s">
        <v>1270</v>
      </c>
      <c r="H500" s="25" t="s">
        <v>19</v>
      </c>
      <c r="I500" s="29" t="s">
        <v>27</v>
      </c>
      <c r="J500" s="30"/>
      <c r="K500" s="30"/>
      <c r="L500" s="30"/>
      <c r="M500" s="29" t="s">
        <v>2544</v>
      </c>
      <c r="N500" s="30"/>
      <c r="O500" s="30"/>
      <c r="P500" s="30"/>
      <c r="Q500" s="30"/>
      <c r="R500" s="30"/>
      <c r="S500" s="30"/>
      <c r="T500" s="30"/>
      <c r="U500" s="30"/>
      <c r="V500" s="30"/>
      <c r="W500" s="30"/>
      <c r="X500" s="30"/>
      <c r="Y500" s="30"/>
      <c r="Z500" s="30"/>
    </row>
    <row r="501">
      <c r="A501" s="23">
        <v>2008.0</v>
      </c>
      <c r="B501" s="24" t="s">
        <v>2545</v>
      </c>
      <c r="C501" s="28" t="s">
        <v>2546</v>
      </c>
      <c r="D501" s="26" t="s">
        <v>2547</v>
      </c>
      <c r="E501" s="28" t="s">
        <v>2548</v>
      </c>
      <c r="F501" s="28" t="s">
        <v>2549</v>
      </c>
      <c r="G501" s="28" t="s">
        <v>1270</v>
      </c>
      <c r="H501" s="25" t="s">
        <v>19</v>
      </c>
      <c r="I501" s="29" t="s">
        <v>20</v>
      </c>
      <c r="J501" s="30"/>
      <c r="K501" s="30"/>
      <c r="L501" s="30"/>
      <c r="M501" s="29" t="s">
        <v>2550</v>
      </c>
      <c r="N501" s="30"/>
      <c r="O501" s="30"/>
      <c r="P501" s="30"/>
      <c r="Q501" s="30"/>
      <c r="R501" s="30"/>
      <c r="S501" s="30"/>
      <c r="T501" s="30"/>
      <c r="U501" s="30"/>
      <c r="V501" s="30"/>
      <c r="W501" s="30"/>
      <c r="X501" s="30"/>
      <c r="Y501" s="30"/>
      <c r="Z501" s="30"/>
    </row>
    <row r="502">
      <c r="A502" s="23">
        <v>2009.0</v>
      </c>
      <c r="B502" s="24" t="s">
        <v>2551</v>
      </c>
      <c r="C502" s="28" t="s">
        <v>2552</v>
      </c>
      <c r="D502" s="26" t="s">
        <v>1971</v>
      </c>
      <c r="E502" s="28" t="s">
        <v>2553</v>
      </c>
      <c r="F502" s="28" t="s">
        <v>2554</v>
      </c>
      <c r="G502" s="28" t="s">
        <v>1270</v>
      </c>
      <c r="H502" s="25" t="s">
        <v>19</v>
      </c>
      <c r="I502" s="29" t="s">
        <v>20</v>
      </c>
      <c r="J502" s="30"/>
      <c r="K502" s="30"/>
      <c r="L502" s="30"/>
      <c r="M502" s="29" t="s">
        <v>2555</v>
      </c>
      <c r="N502" s="30"/>
      <c r="O502" s="30"/>
      <c r="P502" s="30"/>
      <c r="Q502" s="30"/>
      <c r="R502" s="30"/>
      <c r="S502" s="30"/>
      <c r="T502" s="30"/>
      <c r="U502" s="30"/>
      <c r="V502" s="30"/>
      <c r="W502" s="30"/>
      <c r="X502" s="30"/>
      <c r="Y502" s="30"/>
      <c r="Z502" s="30"/>
    </row>
    <row r="503">
      <c r="A503" s="23">
        <v>2006.0</v>
      </c>
      <c r="B503" s="24" t="s">
        <v>2556</v>
      </c>
      <c r="C503" s="28" t="s">
        <v>2557</v>
      </c>
      <c r="D503" s="26" t="s">
        <v>1573</v>
      </c>
      <c r="E503" s="28" t="s">
        <v>2558</v>
      </c>
      <c r="F503" s="28" t="s">
        <v>2559</v>
      </c>
      <c r="G503" s="28" t="s">
        <v>1270</v>
      </c>
      <c r="H503" s="25" t="s">
        <v>19</v>
      </c>
      <c r="I503" s="29" t="s">
        <v>20</v>
      </c>
      <c r="J503" s="30"/>
      <c r="K503" s="30"/>
      <c r="L503" s="30"/>
      <c r="M503" s="29" t="s">
        <v>2560</v>
      </c>
      <c r="N503" s="30"/>
      <c r="O503" s="30"/>
      <c r="P503" s="30"/>
      <c r="Q503" s="30"/>
      <c r="R503" s="30"/>
      <c r="S503" s="30"/>
      <c r="T503" s="30"/>
      <c r="U503" s="30"/>
      <c r="V503" s="30"/>
      <c r="W503" s="30"/>
      <c r="X503" s="30"/>
      <c r="Y503" s="30"/>
      <c r="Z503" s="30"/>
    </row>
    <row r="504">
      <c r="A504" s="23">
        <v>2014.0</v>
      </c>
      <c r="B504" s="24" t="s">
        <v>2561</v>
      </c>
      <c r="C504" s="28" t="s">
        <v>2562</v>
      </c>
      <c r="D504" s="26" t="s">
        <v>1704</v>
      </c>
      <c r="E504" s="28" t="s">
        <v>2563</v>
      </c>
      <c r="F504" s="28" t="s">
        <v>2564</v>
      </c>
      <c r="G504" s="28" t="s">
        <v>1270</v>
      </c>
      <c r="H504" s="25" t="s">
        <v>19</v>
      </c>
      <c r="I504" s="29" t="s">
        <v>20</v>
      </c>
      <c r="J504" s="30"/>
      <c r="K504" s="30"/>
      <c r="L504" s="30"/>
      <c r="M504" s="29" t="s">
        <v>2565</v>
      </c>
      <c r="N504" s="30"/>
      <c r="O504" s="30"/>
      <c r="P504" s="30"/>
      <c r="Q504" s="30"/>
      <c r="R504" s="30"/>
      <c r="S504" s="30"/>
      <c r="T504" s="30"/>
      <c r="U504" s="30"/>
      <c r="V504" s="30"/>
      <c r="W504" s="30"/>
      <c r="X504" s="30"/>
      <c r="Y504" s="30"/>
      <c r="Z504" s="30"/>
    </row>
    <row r="505">
      <c r="A505" s="23">
        <v>2018.0</v>
      </c>
      <c r="B505" s="24" t="s">
        <v>2566</v>
      </c>
      <c r="C505" s="28" t="s">
        <v>2567</v>
      </c>
      <c r="D505" s="26" t="s">
        <v>2568</v>
      </c>
      <c r="E505" s="28" t="s">
        <v>2569</v>
      </c>
      <c r="F505" s="28" t="s">
        <v>2570</v>
      </c>
      <c r="G505" s="28" t="s">
        <v>1270</v>
      </c>
      <c r="H505" s="25" t="s">
        <v>19</v>
      </c>
      <c r="I505" s="29" t="s">
        <v>20</v>
      </c>
      <c r="J505" s="30"/>
      <c r="K505" s="30"/>
      <c r="L505" s="30"/>
      <c r="M505" s="29" t="s">
        <v>2571</v>
      </c>
      <c r="N505" s="30"/>
      <c r="O505" s="30"/>
      <c r="P505" s="30"/>
      <c r="Q505" s="30"/>
      <c r="R505" s="30"/>
      <c r="S505" s="30"/>
      <c r="T505" s="30"/>
      <c r="U505" s="30"/>
      <c r="V505" s="30"/>
      <c r="W505" s="30"/>
      <c r="X505" s="30"/>
      <c r="Y505" s="30"/>
      <c r="Z505" s="30"/>
    </row>
    <row r="506">
      <c r="A506" s="23">
        <v>2016.0</v>
      </c>
      <c r="B506" s="24" t="s">
        <v>2572</v>
      </c>
      <c r="C506" s="28" t="s">
        <v>2573</v>
      </c>
      <c r="D506" s="26" t="s">
        <v>1971</v>
      </c>
      <c r="E506" s="28" t="s">
        <v>2574</v>
      </c>
      <c r="F506" s="28" t="s">
        <v>2575</v>
      </c>
      <c r="G506" s="28" t="s">
        <v>1270</v>
      </c>
      <c r="H506" s="25" t="s">
        <v>19</v>
      </c>
      <c r="I506" s="29" t="s">
        <v>20</v>
      </c>
      <c r="J506" s="30"/>
      <c r="K506" s="30"/>
      <c r="L506" s="30"/>
      <c r="M506" s="29" t="s">
        <v>2576</v>
      </c>
      <c r="N506" s="30"/>
      <c r="O506" s="30"/>
      <c r="P506" s="30"/>
      <c r="Q506" s="30"/>
      <c r="R506" s="30"/>
      <c r="S506" s="30"/>
      <c r="T506" s="30"/>
      <c r="U506" s="30"/>
      <c r="V506" s="30"/>
      <c r="W506" s="30"/>
      <c r="X506" s="30"/>
      <c r="Y506" s="30"/>
      <c r="Z506" s="30"/>
    </row>
    <row r="507">
      <c r="A507" s="23">
        <v>2005.0</v>
      </c>
      <c r="B507" s="24" t="s">
        <v>2577</v>
      </c>
      <c r="C507" s="28" t="s">
        <v>2578</v>
      </c>
      <c r="D507" s="26" t="s">
        <v>2031</v>
      </c>
      <c r="E507" s="27"/>
      <c r="F507" s="28" t="s">
        <v>2579</v>
      </c>
      <c r="G507" s="28" t="s">
        <v>1270</v>
      </c>
      <c r="H507" s="28"/>
      <c r="I507" s="30"/>
      <c r="J507" s="30"/>
      <c r="K507" s="30"/>
      <c r="L507" s="30"/>
      <c r="M507" s="30"/>
      <c r="N507" s="30"/>
      <c r="O507" s="30"/>
      <c r="P507" s="30"/>
      <c r="Q507" s="30"/>
      <c r="R507" s="30"/>
      <c r="S507" s="30"/>
      <c r="T507" s="30"/>
      <c r="U507" s="30"/>
      <c r="V507" s="30"/>
      <c r="W507" s="30"/>
      <c r="X507" s="30"/>
      <c r="Y507" s="30"/>
      <c r="Z507" s="30"/>
    </row>
    <row r="508">
      <c r="A508" s="23">
        <v>2013.0</v>
      </c>
      <c r="B508" s="24" t="s">
        <v>2580</v>
      </c>
      <c r="C508" s="28" t="s">
        <v>2581</v>
      </c>
      <c r="D508" s="26" t="s">
        <v>1912</v>
      </c>
      <c r="E508" s="28" t="s">
        <v>2582</v>
      </c>
      <c r="F508" s="28" t="s">
        <v>2583</v>
      </c>
      <c r="G508" s="28" t="s">
        <v>1270</v>
      </c>
      <c r="H508" s="25" t="s">
        <v>19</v>
      </c>
      <c r="I508" s="29" t="s">
        <v>20</v>
      </c>
      <c r="J508" s="30"/>
      <c r="K508" s="30"/>
      <c r="L508" s="30"/>
      <c r="M508" s="29" t="s">
        <v>2584</v>
      </c>
      <c r="N508" s="30"/>
      <c r="O508" s="30"/>
      <c r="P508" s="30"/>
      <c r="Q508" s="30"/>
      <c r="R508" s="30"/>
      <c r="S508" s="30"/>
      <c r="T508" s="30"/>
      <c r="U508" s="30"/>
      <c r="V508" s="30"/>
      <c r="W508" s="30"/>
      <c r="X508" s="30"/>
      <c r="Y508" s="30"/>
      <c r="Z508" s="30"/>
    </row>
    <row r="509">
      <c r="A509" s="23">
        <v>2016.0</v>
      </c>
      <c r="B509" s="24" t="s">
        <v>2585</v>
      </c>
      <c r="C509" s="28" t="s">
        <v>2586</v>
      </c>
      <c r="D509" s="26" t="s">
        <v>1573</v>
      </c>
      <c r="E509" s="28" t="s">
        <v>2587</v>
      </c>
      <c r="F509" s="28" t="s">
        <v>2588</v>
      </c>
      <c r="G509" s="28" t="s">
        <v>1270</v>
      </c>
      <c r="H509" s="25" t="s">
        <v>19</v>
      </c>
      <c r="I509" s="29" t="s">
        <v>20</v>
      </c>
      <c r="J509" s="30"/>
      <c r="K509" s="30"/>
      <c r="L509" s="30"/>
      <c r="M509" s="29" t="s">
        <v>2589</v>
      </c>
      <c r="N509" s="30"/>
      <c r="O509" s="30"/>
      <c r="P509" s="30"/>
      <c r="Q509" s="30"/>
      <c r="R509" s="30"/>
      <c r="S509" s="30"/>
      <c r="T509" s="30"/>
      <c r="U509" s="30"/>
      <c r="V509" s="30"/>
      <c r="W509" s="30"/>
      <c r="X509" s="30"/>
      <c r="Y509" s="30"/>
      <c r="Z509" s="30"/>
    </row>
    <row r="510">
      <c r="A510" s="23">
        <v>2008.0</v>
      </c>
      <c r="B510" s="24" t="s">
        <v>2590</v>
      </c>
      <c r="C510" s="28" t="s">
        <v>2591</v>
      </c>
      <c r="D510" s="26" t="s">
        <v>1541</v>
      </c>
      <c r="E510" s="28" t="s">
        <v>2592</v>
      </c>
      <c r="F510" s="28" t="s">
        <v>2593</v>
      </c>
      <c r="G510" s="28" t="s">
        <v>1270</v>
      </c>
      <c r="H510" s="25" t="s">
        <v>19</v>
      </c>
      <c r="I510" s="29" t="s">
        <v>20</v>
      </c>
      <c r="J510" s="30"/>
      <c r="K510" s="30"/>
      <c r="L510" s="30"/>
      <c r="M510" s="29" t="s">
        <v>2594</v>
      </c>
      <c r="N510" s="30"/>
      <c r="O510" s="30"/>
      <c r="P510" s="30"/>
      <c r="Q510" s="30"/>
      <c r="R510" s="30"/>
      <c r="S510" s="30"/>
      <c r="T510" s="30"/>
      <c r="U510" s="30"/>
      <c r="V510" s="30"/>
      <c r="W510" s="30"/>
      <c r="X510" s="30"/>
      <c r="Y510" s="30"/>
      <c r="Z510" s="30"/>
    </row>
    <row r="511">
      <c r="A511" s="23">
        <v>2019.0</v>
      </c>
      <c r="B511" s="24" t="s">
        <v>2595</v>
      </c>
      <c r="C511" s="28" t="s">
        <v>2596</v>
      </c>
      <c r="D511" s="26" t="s">
        <v>1850</v>
      </c>
      <c r="E511" s="28" t="s">
        <v>2597</v>
      </c>
      <c r="F511" s="28" t="s">
        <v>2598</v>
      </c>
      <c r="G511" s="28" t="s">
        <v>1270</v>
      </c>
      <c r="H511" s="25" t="s">
        <v>19</v>
      </c>
      <c r="I511" s="29" t="s">
        <v>20</v>
      </c>
      <c r="J511" s="30"/>
      <c r="K511" s="30"/>
      <c r="L511" s="30"/>
      <c r="M511" s="29" t="s">
        <v>2599</v>
      </c>
      <c r="N511" s="30"/>
      <c r="O511" s="30"/>
      <c r="P511" s="30"/>
      <c r="Q511" s="30"/>
      <c r="R511" s="30"/>
      <c r="S511" s="30"/>
      <c r="T511" s="30"/>
      <c r="U511" s="30"/>
      <c r="V511" s="30"/>
      <c r="W511" s="30"/>
      <c r="X511" s="30"/>
      <c r="Y511" s="30"/>
      <c r="Z511" s="30"/>
    </row>
    <row r="512">
      <c r="A512" s="23">
        <v>2009.0</v>
      </c>
      <c r="B512" s="24" t="s">
        <v>2600</v>
      </c>
      <c r="C512" s="28" t="s">
        <v>2601</v>
      </c>
      <c r="D512" s="26" t="s">
        <v>1573</v>
      </c>
      <c r="E512" s="28" t="s">
        <v>2602</v>
      </c>
      <c r="F512" s="28" t="s">
        <v>2603</v>
      </c>
      <c r="G512" s="28" t="s">
        <v>1270</v>
      </c>
      <c r="H512" s="25" t="s">
        <v>19</v>
      </c>
      <c r="I512" s="29" t="s">
        <v>20</v>
      </c>
      <c r="J512" s="30"/>
      <c r="K512" s="30"/>
      <c r="L512" s="30"/>
      <c r="M512" s="29" t="s">
        <v>2604</v>
      </c>
      <c r="N512" s="30"/>
      <c r="O512" s="30"/>
      <c r="P512" s="30"/>
      <c r="Q512" s="30"/>
      <c r="R512" s="30"/>
      <c r="S512" s="30"/>
      <c r="T512" s="30"/>
      <c r="U512" s="30"/>
      <c r="V512" s="30"/>
      <c r="W512" s="30"/>
      <c r="X512" s="30"/>
      <c r="Y512" s="30"/>
      <c r="Z512" s="30"/>
    </row>
    <row r="513">
      <c r="A513" s="23">
        <v>2021.0</v>
      </c>
      <c r="B513" s="24" t="s">
        <v>2605</v>
      </c>
      <c r="C513" s="28" t="s">
        <v>2606</v>
      </c>
      <c r="D513" s="26" t="s">
        <v>2607</v>
      </c>
      <c r="E513" s="28" t="s">
        <v>2608</v>
      </c>
      <c r="F513" s="28" t="s">
        <v>2609</v>
      </c>
      <c r="G513" s="28" t="s">
        <v>1270</v>
      </c>
      <c r="H513" s="25" t="s">
        <v>19</v>
      </c>
      <c r="I513" s="29" t="s">
        <v>20</v>
      </c>
      <c r="J513" s="30"/>
      <c r="K513" s="30"/>
      <c r="L513" s="30"/>
      <c r="M513" s="29" t="s">
        <v>2610</v>
      </c>
      <c r="N513" s="30"/>
      <c r="O513" s="30"/>
      <c r="P513" s="30"/>
      <c r="Q513" s="30"/>
      <c r="R513" s="30"/>
      <c r="S513" s="30"/>
      <c r="T513" s="30"/>
      <c r="U513" s="30"/>
      <c r="V513" s="30"/>
      <c r="W513" s="30"/>
      <c r="X513" s="30"/>
      <c r="Y513" s="30"/>
      <c r="Z513" s="30"/>
    </row>
    <row r="514">
      <c r="A514" s="23">
        <v>2018.0</v>
      </c>
      <c r="B514" s="24" t="s">
        <v>2611</v>
      </c>
      <c r="C514" s="28" t="s">
        <v>2612</v>
      </c>
      <c r="D514" s="26" t="s">
        <v>1492</v>
      </c>
      <c r="E514" s="28" t="s">
        <v>2613</v>
      </c>
      <c r="F514" s="28" t="s">
        <v>2614</v>
      </c>
      <c r="G514" s="28" t="s">
        <v>1270</v>
      </c>
      <c r="H514" s="25" t="s">
        <v>19</v>
      </c>
      <c r="I514" s="29" t="s">
        <v>20</v>
      </c>
      <c r="J514" s="30"/>
      <c r="K514" s="30"/>
      <c r="L514" s="30"/>
      <c r="M514" s="29" t="s">
        <v>2615</v>
      </c>
      <c r="N514" s="30"/>
      <c r="O514" s="30"/>
      <c r="P514" s="30"/>
      <c r="Q514" s="30"/>
      <c r="R514" s="30"/>
      <c r="S514" s="30"/>
      <c r="T514" s="30"/>
      <c r="U514" s="30"/>
      <c r="V514" s="30"/>
      <c r="W514" s="30"/>
      <c r="X514" s="30"/>
      <c r="Y514" s="30"/>
      <c r="Z514" s="30"/>
    </row>
    <row r="515">
      <c r="A515" s="23">
        <v>2012.0</v>
      </c>
      <c r="B515" s="24" t="s">
        <v>2616</v>
      </c>
      <c r="C515" s="28" t="s">
        <v>2617</v>
      </c>
      <c r="D515" s="26" t="s">
        <v>2618</v>
      </c>
      <c r="E515" s="28" t="s">
        <v>2619</v>
      </c>
      <c r="F515" s="28" t="s">
        <v>2620</v>
      </c>
      <c r="G515" s="28" t="s">
        <v>1270</v>
      </c>
      <c r="H515" s="25" t="s">
        <v>19</v>
      </c>
      <c r="I515" s="29" t="s">
        <v>20</v>
      </c>
      <c r="J515" s="30"/>
      <c r="K515" s="30"/>
      <c r="L515" s="30"/>
      <c r="M515" s="29" t="s">
        <v>2621</v>
      </c>
      <c r="N515" s="30"/>
      <c r="O515" s="30"/>
      <c r="P515" s="30"/>
      <c r="Q515" s="30"/>
      <c r="R515" s="30"/>
      <c r="S515" s="30"/>
      <c r="T515" s="30"/>
      <c r="U515" s="30"/>
      <c r="V515" s="30"/>
      <c r="W515" s="30"/>
      <c r="X515" s="30"/>
      <c r="Y515" s="30"/>
      <c r="Z515" s="30"/>
    </row>
    <row r="516">
      <c r="A516" s="23">
        <v>2012.0</v>
      </c>
      <c r="B516" s="24" t="s">
        <v>2622</v>
      </c>
      <c r="C516" s="28" t="s">
        <v>2623</v>
      </c>
      <c r="D516" s="26" t="s">
        <v>2624</v>
      </c>
      <c r="E516" s="28" t="s">
        <v>2625</v>
      </c>
      <c r="F516" s="28" t="s">
        <v>2626</v>
      </c>
      <c r="G516" s="28" t="s">
        <v>1270</v>
      </c>
      <c r="H516" s="25" t="s">
        <v>19</v>
      </c>
      <c r="I516" s="29" t="s">
        <v>20</v>
      </c>
      <c r="J516" s="30"/>
      <c r="K516" s="30"/>
      <c r="L516" s="30"/>
      <c r="M516" s="29" t="s">
        <v>2627</v>
      </c>
      <c r="N516" s="30"/>
      <c r="O516" s="30"/>
      <c r="P516" s="30"/>
      <c r="Q516" s="30"/>
      <c r="R516" s="30"/>
      <c r="S516" s="30"/>
      <c r="T516" s="30"/>
      <c r="U516" s="30"/>
      <c r="V516" s="30"/>
      <c r="W516" s="30"/>
      <c r="X516" s="30"/>
      <c r="Y516" s="30"/>
      <c r="Z516" s="30"/>
    </row>
    <row r="517">
      <c r="A517" s="23">
        <v>2008.0</v>
      </c>
      <c r="B517" s="24" t="s">
        <v>2628</v>
      </c>
      <c r="C517" s="28" t="s">
        <v>2629</v>
      </c>
      <c r="D517" s="26" t="s">
        <v>1404</v>
      </c>
      <c r="E517" s="28" t="s">
        <v>2630</v>
      </c>
      <c r="F517" s="28" t="s">
        <v>2631</v>
      </c>
      <c r="G517" s="28" t="s">
        <v>1270</v>
      </c>
      <c r="H517" s="25" t="s">
        <v>67</v>
      </c>
      <c r="I517" s="29" t="s">
        <v>20</v>
      </c>
      <c r="J517" s="30"/>
      <c r="K517" s="30"/>
      <c r="L517" s="30"/>
      <c r="M517" s="29" t="s">
        <v>2632</v>
      </c>
      <c r="N517" s="30"/>
      <c r="O517" s="30"/>
      <c r="P517" s="30"/>
      <c r="Q517" s="30"/>
      <c r="R517" s="30"/>
      <c r="S517" s="30"/>
      <c r="T517" s="30"/>
      <c r="U517" s="30"/>
      <c r="V517" s="30"/>
      <c r="W517" s="30"/>
      <c r="X517" s="30"/>
      <c r="Y517" s="30"/>
      <c r="Z517" s="30"/>
    </row>
    <row r="518">
      <c r="A518" s="23">
        <v>2013.0</v>
      </c>
      <c r="B518" s="24" t="s">
        <v>2633</v>
      </c>
      <c r="C518" s="28" t="s">
        <v>2634</v>
      </c>
      <c r="D518" s="26" t="s">
        <v>1704</v>
      </c>
      <c r="E518" s="28" t="s">
        <v>2635</v>
      </c>
      <c r="F518" s="28" t="s">
        <v>2636</v>
      </c>
      <c r="G518" s="28" t="s">
        <v>1270</v>
      </c>
      <c r="H518" s="25" t="s">
        <v>19</v>
      </c>
      <c r="I518" s="29" t="s">
        <v>20</v>
      </c>
      <c r="J518" s="30"/>
      <c r="K518" s="30"/>
      <c r="L518" s="30"/>
      <c r="M518" s="29" t="s">
        <v>2637</v>
      </c>
      <c r="N518" s="30"/>
      <c r="O518" s="30"/>
      <c r="P518" s="30"/>
      <c r="Q518" s="30"/>
      <c r="R518" s="30"/>
      <c r="S518" s="30"/>
      <c r="T518" s="30"/>
      <c r="U518" s="30"/>
      <c r="V518" s="30"/>
      <c r="W518" s="30"/>
      <c r="X518" s="30"/>
      <c r="Y518" s="30"/>
      <c r="Z518" s="30"/>
    </row>
    <row r="519">
      <c r="A519" s="23">
        <v>2014.0</v>
      </c>
      <c r="B519" s="24" t="s">
        <v>2638</v>
      </c>
      <c r="C519" s="28" t="s">
        <v>2639</v>
      </c>
      <c r="D519" s="26" t="s">
        <v>2640</v>
      </c>
      <c r="E519" s="28" t="s">
        <v>2641</v>
      </c>
      <c r="F519" s="28" t="s">
        <v>2642</v>
      </c>
      <c r="G519" s="28" t="s">
        <v>1270</v>
      </c>
      <c r="H519" s="25" t="s">
        <v>19</v>
      </c>
      <c r="I519" s="29" t="s">
        <v>20</v>
      </c>
      <c r="J519" s="30"/>
      <c r="K519" s="30"/>
      <c r="L519" s="30"/>
      <c r="M519" s="29" t="s">
        <v>2643</v>
      </c>
      <c r="N519" s="30"/>
      <c r="O519" s="30"/>
      <c r="P519" s="30"/>
      <c r="Q519" s="30"/>
      <c r="R519" s="30"/>
      <c r="S519" s="30"/>
      <c r="T519" s="30"/>
      <c r="U519" s="30"/>
      <c r="V519" s="30"/>
      <c r="W519" s="30"/>
      <c r="X519" s="30"/>
      <c r="Y519" s="30"/>
      <c r="Z519" s="30"/>
    </row>
    <row r="520">
      <c r="A520" s="23">
        <v>2016.0</v>
      </c>
      <c r="B520" s="24" t="s">
        <v>2644</v>
      </c>
      <c r="C520" s="28" t="s">
        <v>2645</v>
      </c>
      <c r="D520" s="26" t="s">
        <v>1954</v>
      </c>
      <c r="E520" s="28" t="s">
        <v>2646</v>
      </c>
      <c r="F520" s="28" t="s">
        <v>2647</v>
      </c>
      <c r="G520" s="28" t="s">
        <v>1270</v>
      </c>
      <c r="H520" s="25" t="s">
        <v>19</v>
      </c>
      <c r="I520" s="29" t="s">
        <v>20</v>
      </c>
      <c r="J520" s="30"/>
      <c r="K520" s="30"/>
      <c r="L520" s="30"/>
      <c r="M520" s="29" t="s">
        <v>2648</v>
      </c>
      <c r="N520" s="30"/>
      <c r="O520" s="30"/>
      <c r="P520" s="30"/>
      <c r="Q520" s="30"/>
      <c r="R520" s="30"/>
      <c r="S520" s="30"/>
      <c r="T520" s="30"/>
      <c r="U520" s="30"/>
      <c r="V520" s="30"/>
      <c r="W520" s="30"/>
      <c r="X520" s="30"/>
      <c r="Y520" s="30"/>
      <c r="Z520" s="30"/>
    </row>
    <row r="521">
      <c r="A521" s="23">
        <v>2015.0</v>
      </c>
      <c r="B521" s="24" t="s">
        <v>2649</v>
      </c>
      <c r="C521" s="28" t="s">
        <v>2650</v>
      </c>
      <c r="D521" s="26" t="s">
        <v>2278</v>
      </c>
      <c r="E521" s="28" t="s">
        <v>2651</v>
      </c>
      <c r="F521" s="28" t="s">
        <v>2652</v>
      </c>
      <c r="G521" s="28" t="s">
        <v>1270</v>
      </c>
      <c r="H521" s="25" t="s">
        <v>19</v>
      </c>
      <c r="I521" s="29" t="s">
        <v>20</v>
      </c>
      <c r="J521" s="30"/>
      <c r="K521" s="30"/>
      <c r="L521" s="30"/>
      <c r="M521" s="29" t="s">
        <v>2653</v>
      </c>
      <c r="N521" s="30"/>
      <c r="O521" s="30"/>
      <c r="P521" s="30"/>
      <c r="Q521" s="30"/>
      <c r="R521" s="30"/>
      <c r="S521" s="30"/>
      <c r="T521" s="30"/>
      <c r="U521" s="30"/>
      <c r="V521" s="30"/>
      <c r="W521" s="30"/>
      <c r="X521" s="30"/>
      <c r="Y521" s="30"/>
      <c r="Z521" s="30"/>
    </row>
    <row r="522">
      <c r="A522" s="23">
        <v>2012.0</v>
      </c>
      <c r="B522" s="24" t="s">
        <v>2654</v>
      </c>
      <c r="C522" s="28" t="s">
        <v>2655</v>
      </c>
      <c r="D522" s="26" t="s">
        <v>1850</v>
      </c>
      <c r="E522" s="28" t="s">
        <v>2656</v>
      </c>
      <c r="F522" s="28" t="s">
        <v>2657</v>
      </c>
      <c r="G522" s="28" t="s">
        <v>1270</v>
      </c>
      <c r="H522" s="25" t="s">
        <v>19</v>
      </c>
      <c r="I522" s="29" t="s">
        <v>20</v>
      </c>
      <c r="J522" s="30"/>
      <c r="K522" s="30"/>
      <c r="L522" s="30"/>
      <c r="M522" s="29" t="s">
        <v>2658</v>
      </c>
      <c r="N522" s="30"/>
      <c r="O522" s="30"/>
      <c r="P522" s="30"/>
      <c r="Q522" s="30"/>
      <c r="R522" s="30"/>
      <c r="S522" s="30"/>
      <c r="T522" s="30"/>
      <c r="U522" s="30"/>
      <c r="V522" s="30"/>
      <c r="W522" s="30"/>
      <c r="X522" s="30"/>
      <c r="Y522" s="30"/>
      <c r="Z522" s="30"/>
    </row>
    <row r="523">
      <c r="A523" s="23">
        <v>2014.0</v>
      </c>
      <c r="B523" s="24" t="s">
        <v>2659</v>
      </c>
      <c r="C523" s="28" t="s">
        <v>2660</v>
      </c>
      <c r="D523" s="26" t="s">
        <v>1721</v>
      </c>
      <c r="E523" s="28" t="s">
        <v>2661</v>
      </c>
      <c r="F523" s="28" t="s">
        <v>2662</v>
      </c>
      <c r="G523" s="28" t="s">
        <v>1270</v>
      </c>
      <c r="H523" s="25" t="s">
        <v>19</v>
      </c>
      <c r="I523" s="29" t="s">
        <v>20</v>
      </c>
      <c r="J523" s="30"/>
      <c r="K523" s="30"/>
      <c r="L523" s="30"/>
      <c r="M523" s="29" t="s">
        <v>2663</v>
      </c>
      <c r="N523" s="30"/>
      <c r="O523" s="30"/>
      <c r="P523" s="30"/>
      <c r="Q523" s="30"/>
      <c r="R523" s="30"/>
      <c r="S523" s="30"/>
      <c r="T523" s="30"/>
      <c r="U523" s="30"/>
      <c r="V523" s="30"/>
      <c r="W523" s="30"/>
      <c r="X523" s="30"/>
      <c r="Y523" s="30"/>
      <c r="Z523" s="30"/>
    </row>
    <row r="524">
      <c r="A524" s="23">
        <v>2015.0</v>
      </c>
      <c r="B524" s="24" t="s">
        <v>2664</v>
      </c>
      <c r="C524" s="25" t="s">
        <v>2665</v>
      </c>
      <c r="D524" s="26" t="s">
        <v>1611</v>
      </c>
      <c r="E524" s="27"/>
      <c r="F524" s="28" t="s">
        <v>2666</v>
      </c>
      <c r="G524" s="28" t="s">
        <v>1270</v>
      </c>
      <c r="H524" s="25" t="s">
        <v>19</v>
      </c>
      <c r="I524" s="29" t="s">
        <v>20</v>
      </c>
      <c r="J524" s="30"/>
      <c r="K524" s="30"/>
      <c r="L524" s="30"/>
      <c r="M524" s="29" t="s">
        <v>2667</v>
      </c>
      <c r="N524" s="30"/>
      <c r="O524" s="30"/>
      <c r="P524" s="30"/>
      <c r="Q524" s="30"/>
      <c r="R524" s="30"/>
      <c r="S524" s="30"/>
      <c r="T524" s="30"/>
      <c r="U524" s="30"/>
      <c r="V524" s="30"/>
      <c r="W524" s="30"/>
      <c r="X524" s="30"/>
      <c r="Y524" s="30"/>
      <c r="Z524" s="30"/>
    </row>
    <row r="525">
      <c r="A525" s="23">
        <v>2010.0</v>
      </c>
      <c r="B525" s="24" t="s">
        <v>2668</v>
      </c>
      <c r="C525" s="28" t="s">
        <v>2669</v>
      </c>
      <c r="D525" s="26" t="s">
        <v>1912</v>
      </c>
      <c r="E525" s="28" t="s">
        <v>2670</v>
      </c>
      <c r="F525" s="28" t="s">
        <v>2671</v>
      </c>
      <c r="G525" s="28" t="s">
        <v>1270</v>
      </c>
      <c r="H525" s="25" t="s">
        <v>19</v>
      </c>
      <c r="I525" s="29" t="s">
        <v>27</v>
      </c>
      <c r="J525" s="30"/>
      <c r="K525" s="30"/>
      <c r="L525" s="30"/>
      <c r="M525" s="30"/>
      <c r="N525" s="30"/>
      <c r="O525" s="30"/>
      <c r="P525" s="30"/>
      <c r="Q525" s="30"/>
      <c r="R525" s="30"/>
      <c r="S525" s="30"/>
      <c r="T525" s="30"/>
      <c r="U525" s="30"/>
      <c r="V525" s="30"/>
      <c r="W525" s="30"/>
      <c r="X525" s="30"/>
      <c r="Y525" s="30"/>
      <c r="Z525" s="30"/>
    </row>
    <row r="526">
      <c r="A526" s="23">
        <v>2005.0</v>
      </c>
      <c r="B526" s="24" t="s">
        <v>2672</v>
      </c>
      <c r="C526" s="28" t="s">
        <v>2673</v>
      </c>
      <c r="D526" s="26" t="s">
        <v>1616</v>
      </c>
      <c r="E526" s="28" t="s">
        <v>2674</v>
      </c>
      <c r="F526" s="28" t="s">
        <v>2675</v>
      </c>
      <c r="G526" s="28" t="s">
        <v>1270</v>
      </c>
      <c r="H526" s="25" t="s">
        <v>19</v>
      </c>
      <c r="I526" s="29" t="s">
        <v>20</v>
      </c>
      <c r="J526" s="30"/>
      <c r="K526" s="30"/>
      <c r="L526" s="30"/>
      <c r="M526" s="29" t="s">
        <v>2676</v>
      </c>
      <c r="N526" s="30"/>
      <c r="O526" s="30"/>
      <c r="P526" s="30"/>
      <c r="Q526" s="30"/>
      <c r="R526" s="30"/>
      <c r="S526" s="30"/>
      <c r="T526" s="30"/>
      <c r="U526" s="30"/>
      <c r="V526" s="30"/>
      <c r="W526" s="30"/>
      <c r="X526" s="30"/>
      <c r="Y526" s="30"/>
      <c r="Z526" s="30"/>
    </row>
    <row r="527">
      <c r="A527" s="23">
        <v>2014.0</v>
      </c>
      <c r="B527" s="24" t="s">
        <v>2677</v>
      </c>
      <c r="C527" s="28" t="s">
        <v>2678</v>
      </c>
      <c r="D527" s="26" t="s">
        <v>1492</v>
      </c>
      <c r="E527" s="28" t="s">
        <v>2679</v>
      </c>
      <c r="F527" s="28" t="s">
        <v>2680</v>
      </c>
      <c r="G527" s="28" t="s">
        <v>1270</v>
      </c>
      <c r="H527" s="25" t="s">
        <v>19</v>
      </c>
      <c r="I527" s="29" t="s">
        <v>20</v>
      </c>
      <c r="J527" s="30"/>
      <c r="K527" s="30"/>
      <c r="L527" s="30"/>
      <c r="M527" s="29" t="s">
        <v>2681</v>
      </c>
      <c r="N527" s="30"/>
      <c r="O527" s="30"/>
      <c r="P527" s="30"/>
      <c r="Q527" s="30"/>
      <c r="R527" s="30"/>
      <c r="S527" s="30"/>
      <c r="T527" s="30"/>
      <c r="U527" s="30"/>
      <c r="V527" s="30"/>
      <c r="W527" s="30"/>
      <c r="X527" s="30"/>
      <c r="Y527" s="30"/>
      <c r="Z527" s="30"/>
    </row>
    <row r="528">
      <c r="A528" s="23">
        <v>2013.0</v>
      </c>
      <c r="B528" s="24" t="s">
        <v>2682</v>
      </c>
      <c r="C528" s="28" t="s">
        <v>2683</v>
      </c>
      <c r="D528" s="26" t="s">
        <v>2162</v>
      </c>
      <c r="E528" s="28" t="s">
        <v>2684</v>
      </c>
      <c r="F528" s="28" t="s">
        <v>2685</v>
      </c>
      <c r="G528" s="28" t="s">
        <v>1270</v>
      </c>
      <c r="H528" s="25" t="s">
        <v>19</v>
      </c>
      <c r="I528" s="29" t="s">
        <v>20</v>
      </c>
      <c r="J528" s="30"/>
      <c r="K528" s="30"/>
      <c r="L528" s="30"/>
      <c r="M528" s="29" t="s">
        <v>2686</v>
      </c>
      <c r="N528" s="30"/>
      <c r="O528" s="30"/>
      <c r="P528" s="30"/>
      <c r="Q528" s="30"/>
      <c r="R528" s="30"/>
      <c r="S528" s="30"/>
      <c r="T528" s="30"/>
      <c r="U528" s="30"/>
      <c r="V528" s="30"/>
      <c r="W528" s="30"/>
      <c r="X528" s="30"/>
      <c r="Y528" s="30"/>
      <c r="Z528" s="30"/>
    </row>
    <row r="529">
      <c r="A529" s="23">
        <v>2015.0</v>
      </c>
      <c r="B529" s="24" t="s">
        <v>2687</v>
      </c>
      <c r="C529" s="28" t="s">
        <v>2688</v>
      </c>
      <c r="D529" s="26" t="s">
        <v>1404</v>
      </c>
      <c r="E529" s="28" t="s">
        <v>2689</v>
      </c>
      <c r="F529" s="28" t="s">
        <v>2690</v>
      </c>
      <c r="G529" s="28" t="s">
        <v>1270</v>
      </c>
      <c r="H529" s="25" t="s">
        <v>19</v>
      </c>
      <c r="I529" s="29" t="s">
        <v>20</v>
      </c>
      <c r="J529" s="30"/>
      <c r="K529" s="30"/>
      <c r="L529" s="30"/>
      <c r="M529" s="29" t="s">
        <v>2691</v>
      </c>
      <c r="N529" s="30"/>
      <c r="O529" s="30"/>
      <c r="P529" s="30"/>
      <c r="Q529" s="30"/>
      <c r="R529" s="30"/>
      <c r="S529" s="30"/>
      <c r="T529" s="30"/>
      <c r="U529" s="30"/>
      <c r="V529" s="30"/>
      <c r="W529" s="30"/>
      <c r="X529" s="30"/>
      <c r="Y529" s="30"/>
      <c r="Z529" s="30"/>
    </row>
    <row r="530">
      <c r="A530" s="23">
        <v>2019.0</v>
      </c>
      <c r="B530" s="24" t="s">
        <v>2692</v>
      </c>
      <c r="C530" s="28" t="s">
        <v>2693</v>
      </c>
      <c r="D530" s="26" t="s">
        <v>1553</v>
      </c>
      <c r="E530" s="28" t="s">
        <v>2694</v>
      </c>
      <c r="F530" s="28" t="s">
        <v>2695</v>
      </c>
      <c r="G530" s="28" t="s">
        <v>1270</v>
      </c>
      <c r="H530" s="25" t="s">
        <v>19</v>
      </c>
      <c r="I530" s="29" t="s">
        <v>20</v>
      </c>
      <c r="J530" s="30"/>
      <c r="K530" s="30"/>
      <c r="L530" s="30"/>
      <c r="M530" s="29" t="s">
        <v>2696</v>
      </c>
      <c r="N530" s="30"/>
      <c r="O530" s="30"/>
      <c r="P530" s="30"/>
      <c r="Q530" s="30"/>
      <c r="R530" s="30"/>
      <c r="S530" s="30"/>
      <c r="T530" s="30"/>
      <c r="U530" s="30"/>
      <c r="V530" s="30"/>
      <c r="W530" s="30"/>
      <c r="X530" s="30"/>
      <c r="Y530" s="30"/>
      <c r="Z530" s="30"/>
    </row>
    <row r="531">
      <c r="A531" s="23">
        <v>2005.0</v>
      </c>
      <c r="B531" s="24" t="s">
        <v>2697</v>
      </c>
      <c r="C531" s="28" t="s">
        <v>2698</v>
      </c>
      <c r="D531" s="26" t="s">
        <v>2278</v>
      </c>
      <c r="E531" s="28" t="s">
        <v>2699</v>
      </c>
      <c r="F531" s="28" t="s">
        <v>2700</v>
      </c>
      <c r="G531" s="28" t="s">
        <v>1270</v>
      </c>
      <c r="H531" s="25" t="s">
        <v>19</v>
      </c>
      <c r="I531" s="29" t="s">
        <v>20</v>
      </c>
      <c r="J531" s="30"/>
      <c r="K531" s="30"/>
      <c r="L531" s="30"/>
      <c r="M531" s="29" t="s">
        <v>2701</v>
      </c>
      <c r="N531" s="30"/>
      <c r="O531" s="30"/>
      <c r="P531" s="30"/>
      <c r="Q531" s="30"/>
      <c r="R531" s="30"/>
      <c r="S531" s="30"/>
      <c r="T531" s="30"/>
      <c r="U531" s="30"/>
      <c r="V531" s="30"/>
      <c r="W531" s="30"/>
      <c r="X531" s="30"/>
      <c r="Y531" s="30"/>
      <c r="Z531" s="30"/>
    </row>
    <row r="532">
      <c r="A532" s="23">
        <v>2011.0</v>
      </c>
      <c r="B532" s="24" t="s">
        <v>2702</v>
      </c>
      <c r="C532" s="28" t="s">
        <v>2703</v>
      </c>
      <c r="D532" s="26" t="s">
        <v>2278</v>
      </c>
      <c r="E532" s="28" t="s">
        <v>2704</v>
      </c>
      <c r="F532" s="28" t="s">
        <v>2705</v>
      </c>
      <c r="G532" s="28" t="s">
        <v>1270</v>
      </c>
      <c r="H532" s="25" t="s">
        <v>19</v>
      </c>
      <c r="I532" s="29" t="s">
        <v>20</v>
      </c>
      <c r="J532" s="30"/>
      <c r="K532" s="30"/>
      <c r="L532" s="30"/>
      <c r="M532" s="29" t="s">
        <v>2706</v>
      </c>
      <c r="N532" s="30"/>
      <c r="O532" s="30"/>
      <c r="P532" s="30"/>
      <c r="Q532" s="30"/>
      <c r="R532" s="30"/>
      <c r="S532" s="30"/>
      <c r="T532" s="30"/>
      <c r="U532" s="30"/>
      <c r="V532" s="30"/>
      <c r="W532" s="30"/>
      <c r="X532" s="30"/>
      <c r="Y532" s="30"/>
      <c r="Z532" s="30"/>
    </row>
    <row r="533">
      <c r="A533" s="23">
        <v>2013.0</v>
      </c>
      <c r="B533" s="24" t="s">
        <v>2707</v>
      </c>
      <c r="C533" s="28" t="s">
        <v>2708</v>
      </c>
      <c r="D533" s="26" t="s">
        <v>1404</v>
      </c>
      <c r="E533" s="28" t="s">
        <v>2709</v>
      </c>
      <c r="F533" s="28" t="s">
        <v>2710</v>
      </c>
      <c r="G533" s="28" t="s">
        <v>1270</v>
      </c>
      <c r="H533" s="25" t="s">
        <v>19</v>
      </c>
      <c r="I533" s="29" t="s">
        <v>20</v>
      </c>
      <c r="J533" s="30"/>
      <c r="K533" s="30"/>
      <c r="L533" s="30"/>
      <c r="M533" s="29" t="s">
        <v>2711</v>
      </c>
      <c r="N533" s="30"/>
      <c r="O533" s="30"/>
      <c r="P533" s="30"/>
      <c r="Q533" s="30"/>
      <c r="R533" s="30"/>
      <c r="S533" s="30"/>
      <c r="T533" s="30"/>
      <c r="U533" s="30"/>
      <c r="V533" s="30"/>
      <c r="W533" s="30"/>
      <c r="X533" s="30"/>
      <c r="Y533" s="30"/>
      <c r="Z533" s="30"/>
    </row>
    <row r="534">
      <c r="A534" s="23">
        <v>2021.0</v>
      </c>
      <c r="B534" s="24" t="s">
        <v>2712</v>
      </c>
      <c r="C534" s="28" t="s">
        <v>2713</v>
      </c>
      <c r="D534" s="26" t="s">
        <v>1338</v>
      </c>
      <c r="E534" s="28" t="s">
        <v>2714</v>
      </c>
      <c r="F534" s="28" t="s">
        <v>2715</v>
      </c>
      <c r="G534" s="28" t="s">
        <v>1270</v>
      </c>
      <c r="H534" s="25" t="s">
        <v>19</v>
      </c>
      <c r="I534" s="29" t="s">
        <v>27</v>
      </c>
      <c r="J534" s="30"/>
      <c r="K534" s="30"/>
      <c r="L534" s="30"/>
      <c r="M534" s="30"/>
      <c r="N534" s="30"/>
      <c r="O534" s="30"/>
      <c r="P534" s="30"/>
      <c r="Q534" s="30"/>
      <c r="R534" s="30"/>
      <c r="S534" s="30"/>
      <c r="T534" s="30"/>
      <c r="U534" s="30"/>
      <c r="V534" s="30"/>
      <c r="W534" s="30"/>
      <c r="X534" s="30"/>
      <c r="Y534" s="30"/>
      <c r="Z534" s="30"/>
    </row>
    <row r="535">
      <c r="A535" s="23">
        <v>2006.0</v>
      </c>
      <c r="B535" s="24" t="s">
        <v>2716</v>
      </c>
      <c r="C535" s="28" t="s">
        <v>2717</v>
      </c>
      <c r="D535" s="26" t="s">
        <v>1923</v>
      </c>
      <c r="E535" s="28" t="s">
        <v>2718</v>
      </c>
      <c r="F535" s="28" t="s">
        <v>2719</v>
      </c>
      <c r="G535" s="28" t="s">
        <v>1270</v>
      </c>
      <c r="H535" s="25" t="s">
        <v>19</v>
      </c>
      <c r="I535" s="29" t="s">
        <v>20</v>
      </c>
      <c r="J535" s="30"/>
      <c r="K535" s="30"/>
      <c r="L535" s="30"/>
      <c r="M535" s="29" t="s">
        <v>2720</v>
      </c>
      <c r="N535" s="30"/>
      <c r="O535" s="30"/>
      <c r="P535" s="30"/>
      <c r="Q535" s="30"/>
      <c r="R535" s="30"/>
      <c r="S535" s="30"/>
      <c r="T535" s="30"/>
      <c r="U535" s="30"/>
      <c r="V535" s="30"/>
      <c r="W535" s="30"/>
      <c r="X535" s="30"/>
      <c r="Y535" s="30"/>
      <c r="Z535" s="30"/>
    </row>
    <row r="536">
      <c r="A536" s="23">
        <v>2015.0</v>
      </c>
      <c r="B536" s="24" t="s">
        <v>2721</v>
      </c>
      <c r="C536" s="28" t="s">
        <v>2722</v>
      </c>
      <c r="D536" s="26" t="s">
        <v>2723</v>
      </c>
      <c r="E536" s="28" t="s">
        <v>2724</v>
      </c>
      <c r="F536" s="28" t="s">
        <v>2725</v>
      </c>
      <c r="G536" s="28" t="s">
        <v>1270</v>
      </c>
      <c r="H536" s="25" t="s">
        <v>19</v>
      </c>
      <c r="I536" s="29" t="s">
        <v>20</v>
      </c>
      <c r="J536" s="30"/>
      <c r="K536" s="30"/>
      <c r="L536" s="30"/>
      <c r="M536" s="29" t="s">
        <v>2726</v>
      </c>
      <c r="N536" s="30"/>
      <c r="O536" s="30"/>
      <c r="P536" s="30"/>
      <c r="Q536" s="30"/>
      <c r="R536" s="30"/>
      <c r="S536" s="30"/>
      <c r="T536" s="30"/>
      <c r="U536" s="30"/>
      <c r="V536" s="30"/>
      <c r="W536" s="30"/>
      <c r="X536" s="30"/>
      <c r="Y536" s="30"/>
      <c r="Z536" s="30"/>
    </row>
    <row r="537">
      <c r="A537" s="23">
        <v>2010.0</v>
      </c>
      <c r="B537" s="24" t="s">
        <v>2727</v>
      </c>
      <c r="C537" s="28" t="s">
        <v>2728</v>
      </c>
      <c r="D537" s="26" t="s">
        <v>2423</v>
      </c>
      <c r="E537" s="28" t="s">
        <v>2729</v>
      </c>
      <c r="F537" s="28" t="s">
        <v>2730</v>
      </c>
      <c r="G537" s="28" t="s">
        <v>1270</v>
      </c>
      <c r="H537" s="25" t="s">
        <v>19</v>
      </c>
      <c r="I537" s="29" t="s">
        <v>20</v>
      </c>
      <c r="J537" s="30"/>
      <c r="K537" s="30"/>
      <c r="L537" s="30"/>
      <c r="M537" s="29" t="s">
        <v>2731</v>
      </c>
      <c r="N537" s="30"/>
      <c r="O537" s="30"/>
      <c r="P537" s="30"/>
      <c r="Q537" s="30"/>
      <c r="R537" s="30"/>
      <c r="S537" s="30"/>
      <c r="T537" s="30"/>
      <c r="U537" s="30"/>
      <c r="V537" s="30"/>
      <c r="W537" s="30"/>
      <c r="X537" s="30"/>
      <c r="Y537" s="30"/>
      <c r="Z537" s="30"/>
    </row>
    <row r="538">
      <c r="A538" s="23">
        <v>2015.0</v>
      </c>
      <c r="B538" s="24" t="s">
        <v>2732</v>
      </c>
      <c r="C538" s="28" t="s">
        <v>2733</v>
      </c>
      <c r="D538" s="26" t="s">
        <v>2734</v>
      </c>
      <c r="E538" s="28" t="s">
        <v>2735</v>
      </c>
      <c r="F538" s="28" t="s">
        <v>2736</v>
      </c>
      <c r="G538" s="28" t="s">
        <v>1270</v>
      </c>
      <c r="H538" s="25" t="s">
        <v>19</v>
      </c>
      <c r="I538" s="29" t="s">
        <v>20</v>
      </c>
      <c r="J538" s="30"/>
      <c r="K538" s="30"/>
      <c r="L538" s="30"/>
      <c r="M538" s="29" t="s">
        <v>2737</v>
      </c>
      <c r="N538" s="30"/>
      <c r="O538" s="30"/>
      <c r="P538" s="30"/>
      <c r="Q538" s="30"/>
      <c r="R538" s="30"/>
      <c r="S538" s="30"/>
      <c r="T538" s="30"/>
      <c r="U538" s="30"/>
      <c r="V538" s="30"/>
      <c r="W538" s="30"/>
      <c r="X538" s="30"/>
      <c r="Y538" s="30"/>
      <c r="Z538" s="30"/>
    </row>
    <row r="539">
      <c r="A539" s="23">
        <v>2018.0</v>
      </c>
      <c r="B539" s="24" t="s">
        <v>2738</v>
      </c>
      <c r="C539" s="28" t="s">
        <v>2739</v>
      </c>
      <c r="D539" s="26" t="s">
        <v>1789</v>
      </c>
      <c r="E539" s="28" t="s">
        <v>2740</v>
      </c>
      <c r="F539" s="28" t="s">
        <v>2741</v>
      </c>
      <c r="G539" s="28" t="s">
        <v>1270</v>
      </c>
      <c r="H539" s="25" t="s">
        <v>19</v>
      </c>
      <c r="I539" s="29" t="s">
        <v>20</v>
      </c>
      <c r="J539" s="30"/>
      <c r="K539" s="30"/>
      <c r="L539" s="30"/>
      <c r="M539" s="29" t="s">
        <v>2742</v>
      </c>
      <c r="N539" s="30"/>
      <c r="O539" s="30"/>
      <c r="P539" s="30"/>
      <c r="Q539" s="30"/>
      <c r="R539" s="30"/>
      <c r="S539" s="30"/>
      <c r="T539" s="30"/>
      <c r="U539" s="30"/>
      <c r="V539" s="30"/>
      <c r="W539" s="30"/>
      <c r="X539" s="30"/>
      <c r="Y539" s="30"/>
      <c r="Z539" s="30"/>
    </row>
    <row r="540">
      <c r="A540" s="23">
        <v>2018.0</v>
      </c>
      <c r="B540" s="24" t="s">
        <v>2743</v>
      </c>
      <c r="C540" s="28" t="s">
        <v>2744</v>
      </c>
      <c r="D540" s="26" t="s">
        <v>2745</v>
      </c>
      <c r="E540" s="28" t="s">
        <v>2746</v>
      </c>
      <c r="F540" s="28" t="s">
        <v>2747</v>
      </c>
      <c r="G540" s="28" t="s">
        <v>1270</v>
      </c>
      <c r="H540" s="25" t="s">
        <v>19</v>
      </c>
      <c r="I540" s="29" t="s">
        <v>20</v>
      </c>
      <c r="J540" s="30"/>
      <c r="K540" s="30"/>
      <c r="L540" s="30"/>
      <c r="M540" s="29" t="s">
        <v>2748</v>
      </c>
      <c r="N540" s="30"/>
      <c r="O540" s="30"/>
      <c r="P540" s="30"/>
      <c r="Q540" s="30"/>
      <c r="R540" s="30"/>
      <c r="S540" s="30"/>
      <c r="T540" s="30"/>
      <c r="U540" s="30"/>
      <c r="V540" s="30"/>
      <c r="W540" s="30"/>
      <c r="X540" s="30"/>
      <c r="Y540" s="30"/>
      <c r="Z540" s="30"/>
    </row>
    <row r="541">
      <c r="A541" s="23">
        <v>2013.0</v>
      </c>
      <c r="B541" s="24" t="s">
        <v>2749</v>
      </c>
      <c r="C541" s="28" t="s">
        <v>2750</v>
      </c>
      <c r="D541" s="26" t="s">
        <v>1923</v>
      </c>
      <c r="E541" s="28" t="s">
        <v>2751</v>
      </c>
      <c r="F541" s="28" t="s">
        <v>2752</v>
      </c>
      <c r="G541" s="28" t="s">
        <v>1270</v>
      </c>
      <c r="H541" s="25" t="s">
        <v>19</v>
      </c>
      <c r="I541" s="29" t="s">
        <v>20</v>
      </c>
      <c r="J541" s="30"/>
      <c r="K541" s="30"/>
      <c r="L541" s="30"/>
      <c r="M541" s="29" t="s">
        <v>2753</v>
      </c>
      <c r="N541" s="30"/>
      <c r="O541" s="30"/>
      <c r="P541" s="30"/>
      <c r="Q541" s="30"/>
      <c r="R541" s="30"/>
      <c r="S541" s="30"/>
      <c r="T541" s="30"/>
      <c r="U541" s="30"/>
      <c r="V541" s="30"/>
      <c r="W541" s="30"/>
      <c r="X541" s="30"/>
      <c r="Y541" s="30"/>
      <c r="Z541" s="30"/>
    </row>
    <row r="542">
      <c r="A542" s="23">
        <v>2013.0</v>
      </c>
      <c r="B542" s="24" t="s">
        <v>2754</v>
      </c>
      <c r="C542" s="28" t="s">
        <v>2755</v>
      </c>
      <c r="D542" s="26" t="s">
        <v>1616</v>
      </c>
      <c r="E542" s="28" t="s">
        <v>2756</v>
      </c>
      <c r="F542" s="28" t="s">
        <v>2757</v>
      </c>
      <c r="G542" s="28" t="s">
        <v>1270</v>
      </c>
      <c r="H542" s="25" t="s">
        <v>19</v>
      </c>
      <c r="I542" s="29" t="s">
        <v>20</v>
      </c>
      <c r="J542" s="30"/>
      <c r="K542" s="30"/>
      <c r="L542" s="30"/>
      <c r="M542" s="29" t="s">
        <v>2758</v>
      </c>
      <c r="N542" s="30"/>
      <c r="O542" s="30"/>
      <c r="P542" s="30"/>
      <c r="Q542" s="30"/>
      <c r="R542" s="30"/>
      <c r="S542" s="30"/>
      <c r="T542" s="30"/>
      <c r="U542" s="30"/>
      <c r="V542" s="30"/>
      <c r="W542" s="30"/>
      <c r="X542" s="30"/>
      <c r="Y542" s="30"/>
      <c r="Z542" s="30"/>
    </row>
    <row r="543">
      <c r="A543" s="23">
        <v>2011.0</v>
      </c>
      <c r="B543" s="24" t="s">
        <v>2759</v>
      </c>
      <c r="C543" s="28" t="s">
        <v>2760</v>
      </c>
      <c r="D543" s="26" t="s">
        <v>2020</v>
      </c>
      <c r="E543" s="28" t="s">
        <v>2761</v>
      </c>
      <c r="F543" s="28" t="s">
        <v>2762</v>
      </c>
      <c r="G543" s="28" t="s">
        <v>1270</v>
      </c>
      <c r="H543" s="25" t="s">
        <v>19</v>
      </c>
      <c r="I543" s="29" t="s">
        <v>20</v>
      </c>
      <c r="J543" s="30"/>
      <c r="K543" s="30"/>
      <c r="L543" s="30"/>
      <c r="M543" s="29" t="s">
        <v>2763</v>
      </c>
      <c r="N543" s="30"/>
      <c r="O543" s="30"/>
      <c r="P543" s="30"/>
      <c r="Q543" s="30"/>
      <c r="R543" s="30"/>
      <c r="S543" s="30"/>
      <c r="T543" s="30"/>
      <c r="U543" s="30"/>
      <c r="V543" s="30"/>
      <c r="W543" s="30"/>
      <c r="X543" s="30"/>
      <c r="Y543" s="30"/>
      <c r="Z543" s="30"/>
    </row>
    <row r="544">
      <c r="A544" s="23">
        <v>2008.0</v>
      </c>
      <c r="B544" s="24" t="s">
        <v>2764</v>
      </c>
      <c r="C544" s="28" t="s">
        <v>2765</v>
      </c>
      <c r="D544" s="26" t="s">
        <v>1404</v>
      </c>
      <c r="E544" s="28" t="s">
        <v>2766</v>
      </c>
      <c r="F544" s="28" t="s">
        <v>2767</v>
      </c>
      <c r="G544" s="28" t="s">
        <v>1270</v>
      </c>
      <c r="H544" s="25" t="s">
        <v>19</v>
      </c>
      <c r="I544" s="29" t="s">
        <v>20</v>
      </c>
      <c r="J544" s="30"/>
      <c r="K544" s="30"/>
      <c r="L544" s="30"/>
      <c r="M544" s="29" t="s">
        <v>2768</v>
      </c>
      <c r="N544" s="30"/>
      <c r="O544" s="30"/>
      <c r="P544" s="30"/>
      <c r="Q544" s="30"/>
      <c r="R544" s="30"/>
      <c r="S544" s="30"/>
      <c r="T544" s="30"/>
      <c r="U544" s="30"/>
      <c r="V544" s="30"/>
      <c r="W544" s="30"/>
      <c r="X544" s="30"/>
      <c r="Y544" s="30"/>
      <c r="Z544" s="30"/>
    </row>
    <row r="545">
      <c r="A545" s="23">
        <v>2014.0</v>
      </c>
      <c r="B545" s="24" t="s">
        <v>2769</v>
      </c>
      <c r="C545" s="28" t="s">
        <v>2770</v>
      </c>
      <c r="D545" s="26" t="s">
        <v>2771</v>
      </c>
      <c r="E545" s="28" t="s">
        <v>2772</v>
      </c>
      <c r="F545" s="28" t="s">
        <v>2773</v>
      </c>
      <c r="G545" s="28" t="s">
        <v>1270</v>
      </c>
      <c r="H545" s="25" t="s">
        <v>19</v>
      </c>
      <c r="I545" s="29" t="s">
        <v>20</v>
      </c>
      <c r="J545" s="30"/>
      <c r="K545" s="30"/>
      <c r="L545" s="30"/>
      <c r="M545" s="29" t="s">
        <v>2774</v>
      </c>
      <c r="N545" s="30"/>
      <c r="O545" s="30"/>
      <c r="P545" s="30"/>
      <c r="Q545" s="30"/>
      <c r="R545" s="30"/>
      <c r="S545" s="30"/>
      <c r="T545" s="30"/>
      <c r="U545" s="30"/>
      <c r="V545" s="30"/>
      <c r="W545" s="30"/>
      <c r="X545" s="30"/>
      <c r="Y545" s="30"/>
      <c r="Z545" s="30"/>
    </row>
    <row r="546">
      <c r="A546" s="23">
        <v>2024.0</v>
      </c>
      <c r="B546" s="24" t="s">
        <v>2775</v>
      </c>
      <c r="C546" s="28" t="s">
        <v>2776</v>
      </c>
      <c r="D546" s="26" t="s">
        <v>1373</v>
      </c>
      <c r="E546" s="28" t="s">
        <v>2777</v>
      </c>
      <c r="F546" s="28" t="s">
        <v>2778</v>
      </c>
      <c r="G546" s="28" t="s">
        <v>1270</v>
      </c>
      <c r="H546" s="25" t="s">
        <v>19</v>
      </c>
      <c r="I546" s="29" t="s">
        <v>27</v>
      </c>
      <c r="J546" s="30"/>
      <c r="K546" s="30"/>
      <c r="L546" s="30"/>
      <c r="M546" s="30"/>
      <c r="N546" s="30"/>
      <c r="O546" s="30"/>
      <c r="P546" s="30"/>
      <c r="Q546" s="30"/>
      <c r="R546" s="30"/>
      <c r="S546" s="30"/>
      <c r="T546" s="30"/>
      <c r="U546" s="30"/>
      <c r="V546" s="30"/>
      <c r="W546" s="30"/>
      <c r="X546" s="30"/>
      <c r="Y546" s="30"/>
      <c r="Z546" s="30"/>
    </row>
    <row r="547">
      <c r="A547" s="23">
        <v>2007.0</v>
      </c>
      <c r="B547" s="24" t="s">
        <v>2779</v>
      </c>
      <c r="C547" s="28" t="s">
        <v>2780</v>
      </c>
      <c r="D547" s="26" t="s">
        <v>1856</v>
      </c>
      <c r="E547" s="28" t="s">
        <v>2781</v>
      </c>
      <c r="F547" s="28" t="s">
        <v>2782</v>
      </c>
      <c r="G547" s="28" t="s">
        <v>1270</v>
      </c>
      <c r="H547" s="25" t="s">
        <v>19</v>
      </c>
      <c r="I547" s="29" t="s">
        <v>20</v>
      </c>
      <c r="J547" s="30"/>
      <c r="K547" s="30"/>
      <c r="L547" s="30"/>
      <c r="M547" s="29" t="s">
        <v>2783</v>
      </c>
      <c r="N547" s="30"/>
      <c r="O547" s="30"/>
      <c r="P547" s="30"/>
      <c r="Q547" s="30"/>
      <c r="R547" s="30"/>
      <c r="S547" s="30"/>
      <c r="T547" s="30"/>
      <c r="U547" s="30"/>
      <c r="V547" s="30"/>
      <c r="W547" s="30"/>
      <c r="X547" s="30"/>
      <c r="Y547" s="30"/>
      <c r="Z547" s="30"/>
    </row>
    <row r="548">
      <c r="A548" s="23">
        <v>2005.0</v>
      </c>
      <c r="B548" s="24" t="s">
        <v>2784</v>
      </c>
      <c r="C548" s="28" t="s">
        <v>2785</v>
      </c>
      <c r="D548" s="26" t="s">
        <v>2786</v>
      </c>
      <c r="E548" s="28" t="s">
        <v>2787</v>
      </c>
      <c r="F548" s="28" t="s">
        <v>2788</v>
      </c>
      <c r="G548" s="28" t="s">
        <v>1270</v>
      </c>
      <c r="H548" s="25" t="s">
        <v>19</v>
      </c>
      <c r="I548" s="29" t="s">
        <v>20</v>
      </c>
      <c r="J548" s="30"/>
      <c r="K548" s="30"/>
      <c r="L548" s="30"/>
      <c r="N548" s="30"/>
      <c r="O548" s="30"/>
      <c r="P548" s="30"/>
      <c r="Q548" s="30"/>
      <c r="R548" s="30"/>
      <c r="S548" s="30"/>
      <c r="T548" s="30"/>
      <c r="U548" s="30"/>
      <c r="V548" s="30"/>
      <c r="W548" s="30"/>
      <c r="X548" s="30"/>
      <c r="Y548" s="30"/>
      <c r="Z548" s="30"/>
    </row>
    <row r="549">
      <c r="A549" s="23">
        <v>2020.0</v>
      </c>
      <c r="B549" s="24" t="s">
        <v>2789</v>
      </c>
      <c r="C549" s="28" t="s">
        <v>2790</v>
      </c>
      <c r="D549" s="26" t="s">
        <v>2791</v>
      </c>
      <c r="E549" s="28" t="s">
        <v>2792</v>
      </c>
      <c r="F549" s="28" t="s">
        <v>2793</v>
      </c>
      <c r="G549" s="28" t="s">
        <v>1270</v>
      </c>
      <c r="H549" s="25" t="s">
        <v>19</v>
      </c>
      <c r="I549" s="29" t="s">
        <v>20</v>
      </c>
      <c r="J549" s="30"/>
      <c r="K549" s="30"/>
      <c r="L549" s="30"/>
      <c r="M549" s="29" t="s">
        <v>2794</v>
      </c>
      <c r="N549" s="30"/>
      <c r="O549" s="30"/>
      <c r="P549" s="30"/>
      <c r="Q549" s="30"/>
      <c r="R549" s="30"/>
      <c r="S549" s="30"/>
      <c r="T549" s="30"/>
      <c r="U549" s="30"/>
      <c r="V549" s="30"/>
      <c r="W549" s="30"/>
      <c r="X549" s="30"/>
      <c r="Y549" s="30"/>
      <c r="Z549" s="30"/>
    </row>
    <row r="550">
      <c r="A550" s="23">
        <v>2018.0</v>
      </c>
      <c r="B550" s="24" t="s">
        <v>2795</v>
      </c>
      <c r="C550" s="28" t="s">
        <v>2796</v>
      </c>
      <c r="D550" s="26" t="s">
        <v>2407</v>
      </c>
      <c r="E550" s="28" t="s">
        <v>2797</v>
      </c>
      <c r="F550" s="28" t="s">
        <v>2798</v>
      </c>
      <c r="G550" s="28" t="s">
        <v>1270</v>
      </c>
      <c r="H550" s="25" t="s">
        <v>19</v>
      </c>
      <c r="I550" s="29" t="s">
        <v>27</v>
      </c>
      <c r="J550" s="30"/>
      <c r="K550" s="30"/>
      <c r="L550" s="30"/>
      <c r="M550" s="30"/>
      <c r="N550" s="30"/>
      <c r="O550" s="30"/>
      <c r="P550" s="30"/>
      <c r="Q550" s="30"/>
      <c r="R550" s="30"/>
      <c r="S550" s="30"/>
      <c r="T550" s="30"/>
      <c r="U550" s="30"/>
      <c r="V550" s="30"/>
      <c r="W550" s="30"/>
      <c r="X550" s="30"/>
      <c r="Y550" s="30"/>
      <c r="Z550" s="30"/>
    </row>
    <row r="551">
      <c r="A551" s="23">
        <v>2011.0</v>
      </c>
      <c r="B551" s="24" t="s">
        <v>2799</v>
      </c>
      <c r="C551" s="28" t="s">
        <v>2800</v>
      </c>
      <c r="D551" s="26" t="s">
        <v>1704</v>
      </c>
      <c r="E551" s="28" t="s">
        <v>2801</v>
      </c>
      <c r="F551" s="28" t="s">
        <v>2802</v>
      </c>
      <c r="G551" s="28" t="s">
        <v>1270</v>
      </c>
      <c r="H551" s="25" t="s">
        <v>19</v>
      </c>
      <c r="I551" s="29" t="s">
        <v>20</v>
      </c>
      <c r="J551" s="30"/>
      <c r="K551" s="30"/>
      <c r="L551" s="30"/>
      <c r="M551" s="29" t="s">
        <v>2803</v>
      </c>
      <c r="N551" s="30"/>
      <c r="O551" s="30"/>
      <c r="P551" s="30"/>
      <c r="Q551" s="30"/>
      <c r="R551" s="30"/>
      <c r="S551" s="30"/>
      <c r="T551" s="30"/>
      <c r="U551" s="30"/>
      <c r="V551" s="30"/>
      <c r="W551" s="30"/>
      <c r="X551" s="30"/>
      <c r="Y551" s="30"/>
      <c r="Z551" s="30"/>
    </row>
    <row r="552">
      <c r="A552" s="23">
        <v>2017.0</v>
      </c>
      <c r="B552" s="24" t="s">
        <v>2804</v>
      </c>
      <c r="C552" s="28" t="s">
        <v>2805</v>
      </c>
      <c r="D552" s="26" t="s">
        <v>1710</v>
      </c>
      <c r="E552" s="28" t="s">
        <v>2806</v>
      </c>
      <c r="F552" s="28" t="s">
        <v>2807</v>
      </c>
      <c r="G552" s="28" t="s">
        <v>1270</v>
      </c>
      <c r="H552" s="25" t="s">
        <v>19</v>
      </c>
      <c r="I552" s="29" t="s">
        <v>20</v>
      </c>
      <c r="J552" s="30"/>
      <c r="K552" s="30"/>
      <c r="L552" s="30"/>
      <c r="M552" s="29" t="s">
        <v>2808</v>
      </c>
      <c r="N552" s="30"/>
      <c r="O552" s="30"/>
      <c r="P552" s="30"/>
      <c r="Q552" s="30"/>
      <c r="R552" s="30"/>
      <c r="S552" s="30"/>
      <c r="T552" s="30"/>
      <c r="U552" s="30"/>
      <c r="V552" s="30"/>
      <c r="W552" s="30"/>
      <c r="X552" s="30"/>
      <c r="Y552" s="30"/>
      <c r="Z552" s="30"/>
    </row>
    <row r="553">
      <c r="A553" s="23">
        <v>2019.0</v>
      </c>
      <c r="B553" s="24" t="s">
        <v>2809</v>
      </c>
      <c r="C553" s="28" t="s">
        <v>2810</v>
      </c>
      <c r="D553" s="26" t="s">
        <v>1789</v>
      </c>
      <c r="E553" s="28" t="s">
        <v>2811</v>
      </c>
      <c r="F553" s="28" t="s">
        <v>2812</v>
      </c>
      <c r="G553" s="28" t="s">
        <v>1270</v>
      </c>
      <c r="H553" s="25" t="s">
        <v>19</v>
      </c>
      <c r="I553" s="29" t="s">
        <v>20</v>
      </c>
      <c r="J553" s="30"/>
      <c r="K553" s="30"/>
      <c r="L553" s="30"/>
      <c r="M553" s="29" t="s">
        <v>2813</v>
      </c>
      <c r="N553" s="30"/>
      <c r="O553" s="30"/>
      <c r="P553" s="30"/>
      <c r="Q553" s="30"/>
      <c r="R553" s="30"/>
      <c r="S553" s="30"/>
      <c r="T553" s="30"/>
      <c r="U553" s="30"/>
      <c r="V553" s="30"/>
      <c r="W553" s="30"/>
      <c r="X553" s="30"/>
      <c r="Y553" s="30"/>
      <c r="Z553" s="30"/>
    </row>
    <row r="554">
      <c r="A554" s="23">
        <v>2011.0</v>
      </c>
      <c r="B554" s="24" t="s">
        <v>2814</v>
      </c>
      <c r="C554" s="28" t="s">
        <v>2815</v>
      </c>
      <c r="D554" s="26" t="s">
        <v>1404</v>
      </c>
      <c r="E554" s="28" t="s">
        <v>2816</v>
      </c>
      <c r="F554" s="28" t="s">
        <v>2817</v>
      </c>
      <c r="G554" s="28" t="s">
        <v>1270</v>
      </c>
      <c r="H554" s="25" t="s">
        <v>19</v>
      </c>
      <c r="I554" s="29" t="s">
        <v>20</v>
      </c>
      <c r="J554" s="30"/>
      <c r="K554" s="30"/>
      <c r="L554" s="30"/>
      <c r="M554" s="29" t="s">
        <v>2818</v>
      </c>
      <c r="N554" s="30"/>
      <c r="O554" s="30"/>
      <c r="P554" s="30"/>
      <c r="Q554" s="30"/>
      <c r="R554" s="30"/>
      <c r="S554" s="30"/>
      <c r="T554" s="30"/>
      <c r="U554" s="30"/>
      <c r="V554" s="30"/>
      <c r="W554" s="30"/>
      <c r="X554" s="30"/>
      <c r="Y554" s="30"/>
      <c r="Z554" s="30"/>
    </row>
    <row r="555">
      <c r="A555" s="23">
        <v>2010.0</v>
      </c>
      <c r="B555" s="24" t="s">
        <v>2819</v>
      </c>
      <c r="C555" s="28" t="s">
        <v>2820</v>
      </c>
      <c r="D555" s="26" t="s">
        <v>1661</v>
      </c>
      <c r="E555" s="28" t="s">
        <v>2821</v>
      </c>
      <c r="F555" s="28" t="s">
        <v>2822</v>
      </c>
      <c r="G555" s="28" t="s">
        <v>1270</v>
      </c>
      <c r="H555" s="25" t="s">
        <v>19</v>
      </c>
      <c r="I555" s="29" t="s">
        <v>20</v>
      </c>
      <c r="J555" s="30"/>
      <c r="K555" s="30"/>
      <c r="L555" s="30"/>
      <c r="M555" s="29" t="s">
        <v>2823</v>
      </c>
      <c r="N555" s="30"/>
      <c r="O555" s="30"/>
      <c r="P555" s="30"/>
      <c r="Q555" s="30"/>
      <c r="R555" s="30"/>
      <c r="S555" s="30"/>
      <c r="T555" s="30"/>
      <c r="U555" s="30"/>
      <c r="V555" s="30"/>
      <c r="W555" s="30"/>
      <c r="X555" s="30"/>
      <c r="Y555" s="30"/>
      <c r="Z555" s="30"/>
    </row>
    <row r="556">
      <c r="A556" s="23">
        <v>2011.0</v>
      </c>
      <c r="B556" s="24" t="s">
        <v>2824</v>
      </c>
      <c r="C556" s="28" t="s">
        <v>2825</v>
      </c>
      <c r="D556" s="26" t="s">
        <v>2504</v>
      </c>
      <c r="E556" s="28" t="s">
        <v>2826</v>
      </c>
      <c r="F556" s="28" t="s">
        <v>2827</v>
      </c>
      <c r="G556" s="28" t="s">
        <v>1270</v>
      </c>
      <c r="H556" s="25" t="s">
        <v>19</v>
      </c>
      <c r="I556" s="29" t="s">
        <v>20</v>
      </c>
      <c r="J556" s="30"/>
      <c r="K556" s="30"/>
      <c r="L556" s="30"/>
      <c r="M556" s="29" t="s">
        <v>2737</v>
      </c>
      <c r="N556" s="30"/>
      <c r="O556" s="30"/>
      <c r="P556" s="30"/>
      <c r="Q556" s="30"/>
      <c r="R556" s="30"/>
      <c r="S556" s="30"/>
      <c r="T556" s="30"/>
      <c r="U556" s="30"/>
      <c r="V556" s="30"/>
      <c r="W556" s="30"/>
      <c r="X556" s="30"/>
      <c r="Y556" s="30"/>
      <c r="Z556" s="30"/>
    </row>
    <row r="557">
      <c r="A557" s="23">
        <v>2015.0</v>
      </c>
      <c r="B557" s="24" t="s">
        <v>2828</v>
      </c>
      <c r="C557" s="28" t="s">
        <v>2829</v>
      </c>
      <c r="D557" s="26" t="s">
        <v>1704</v>
      </c>
      <c r="E557" s="28" t="s">
        <v>2830</v>
      </c>
      <c r="F557" s="28" t="s">
        <v>2831</v>
      </c>
      <c r="G557" s="28" t="s">
        <v>1270</v>
      </c>
      <c r="H557" s="25" t="s">
        <v>19</v>
      </c>
      <c r="I557" s="29" t="s">
        <v>20</v>
      </c>
      <c r="J557" s="30"/>
      <c r="K557" s="30"/>
      <c r="L557" s="30"/>
      <c r="M557" s="29" t="s">
        <v>2832</v>
      </c>
      <c r="N557" s="30"/>
      <c r="O557" s="30"/>
      <c r="P557" s="30"/>
      <c r="Q557" s="30"/>
      <c r="R557" s="30"/>
      <c r="S557" s="30"/>
      <c r="T557" s="30"/>
      <c r="U557" s="30"/>
      <c r="V557" s="30"/>
      <c r="W557" s="30"/>
      <c r="X557" s="30"/>
      <c r="Y557" s="30"/>
      <c r="Z557" s="30"/>
    </row>
    <row r="558">
      <c r="A558" s="23">
        <v>2015.0</v>
      </c>
      <c r="B558" s="24" t="s">
        <v>2833</v>
      </c>
      <c r="C558" s="28" t="s">
        <v>2834</v>
      </c>
      <c r="D558" s="26" t="s">
        <v>2835</v>
      </c>
      <c r="E558" s="28" t="s">
        <v>2836</v>
      </c>
      <c r="F558" s="28" t="s">
        <v>2837</v>
      </c>
      <c r="G558" s="28" t="s">
        <v>1270</v>
      </c>
      <c r="H558" s="25" t="s">
        <v>19</v>
      </c>
      <c r="I558" s="29" t="s">
        <v>20</v>
      </c>
      <c r="J558" s="30"/>
      <c r="K558" s="30"/>
      <c r="L558" s="30"/>
      <c r="M558" s="29" t="s">
        <v>2838</v>
      </c>
      <c r="N558" s="30"/>
      <c r="O558" s="30"/>
      <c r="P558" s="30"/>
      <c r="Q558" s="30"/>
      <c r="R558" s="30"/>
      <c r="S558" s="30"/>
      <c r="T558" s="30"/>
      <c r="U558" s="30"/>
      <c r="V558" s="30"/>
      <c r="W558" s="30"/>
      <c r="X558" s="30"/>
      <c r="Y558" s="30"/>
      <c r="Z558" s="30"/>
    </row>
    <row r="559">
      <c r="A559" s="23">
        <v>2013.0</v>
      </c>
      <c r="B559" s="24" t="s">
        <v>2839</v>
      </c>
      <c r="C559" s="28" t="s">
        <v>2840</v>
      </c>
      <c r="D559" s="26" t="s">
        <v>2841</v>
      </c>
      <c r="E559" s="28" t="s">
        <v>2842</v>
      </c>
      <c r="F559" s="28" t="s">
        <v>2843</v>
      </c>
      <c r="G559" s="28" t="s">
        <v>1270</v>
      </c>
      <c r="H559" s="25" t="s">
        <v>19</v>
      </c>
      <c r="I559" s="29" t="s">
        <v>20</v>
      </c>
      <c r="J559" s="30"/>
      <c r="K559" s="30"/>
      <c r="L559" s="30"/>
      <c r="M559" s="29" t="s">
        <v>2844</v>
      </c>
      <c r="N559" s="30"/>
      <c r="O559" s="30"/>
      <c r="P559" s="30"/>
      <c r="Q559" s="30"/>
      <c r="R559" s="30"/>
      <c r="S559" s="30"/>
      <c r="T559" s="30"/>
      <c r="U559" s="30"/>
      <c r="V559" s="30"/>
      <c r="W559" s="30"/>
      <c r="X559" s="30"/>
      <c r="Y559" s="30"/>
      <c r="Z559" s="30"/>
    </row>
    <row r="560">
      <c r="A560" s="23">
        <v>2010.0</v>
      </c>
      <c r="B560" s="24" t="s">
        <v>2845</v>
      </c>
      <c r="C560" s="28" t="s">
        <v>2846</v>
      </c>
      <c r="D560" s="26" t="s">
        <v>237</v>
      </c>
      <c r="E560" s="28" t="s">
        <v>2847</v>
      </c>
      <c r="F560" s="28" t="s">
        <v>2848</v>
      </c>
      <c r="G560" s="28" t="s">
        <v>1270</v>
      </c>
      <c r="H560" s="25" t="s">
        <v>19</v>
      </c>
      <c r="I560" s="29" t="s">
        <v>20</v>
      </c>
      <c r="J560" s="30"/>
      <c r="K560" s="30"/>
      <c r="L560" s="30"/>
      <c r="M560" s="29" t="s">
        <v>2849</v>
      </c>
      <c r="N560" s="30"/>
      <c r="O560" s="30"/>
      <c r="P560" s="30"/>
      <c r="Q560" s="30"/>
      <c r="R560" s="30"/>
      <c r="S560" s="30"/>
      <c r="T560" s="30"/>
      <c r="U560" s="30"/>
      <c r="V560" s="30"/>
      <c r="W560" s="30"/>
      <c r="X560" s="30"/>
      <c r="Y560" s="30"/>
      <c r="Z560" s="30"/>
    </row>
    <row r="561">
      <c r="A561" s="23">
        <v>2014.0</v>
      </c>
      <c r="B561" s="24" t="s">
        <v>2850</v>
      </c>
      <c r="C561" s="28" t="s">
        <v>2851</v>
      </c>
      <c r="D561" s="26" t="s">
        <v>1599</v>
      </c>
      <c r="E561" s="28" t="s">
        <v>2852</v>
      </c>
      <c r="F561" s="28" t="s">
        <v>2853</v>
      </c>
      <c r="G561" s="28" t="s">
        <v>1270</v>
      </c>
      <c r="H561" s="25" t="s">
        <v>19</v>
      </c>
      <c r="I561" s="29" t="s">
        <v>20</v>
      </c>
      <c r="J561" s="30"/>
      <c r="K561" s="30"/>
      <c r="L561" s="30"/>
      <c r="M561" s="29" t="s">
        <v>2854</v>
      </c>
      <c r="N561" s="30"/>
      <c r="O561" s="30"/>
      <c r="P561" s="30"/>
      <c r="Q561" s="30"/>
      <c r="R561" s="30"/>
      <c r="S561" s="30"/>
      <c r="T561" s="30"/>
      <c r="U561" s="30"/>
      <c r="V561" s="30"/>
      <c r="W561" s="30"/>
      <c r="X561" s="30"/>
      <c r="Y561" s="30"/>
      <c r="Z561" s="30"/>
    </row>
    <row r="562">
      <c r="A562" s="23">
        <v>2005.0</v>
      </c>
      <c r="B562" s="24" t="s">
        <v>2855</v>
      </c>
      <c r="C562" s="28" t="s">
        <v>2856</v>
      </c>
      <c r="D562" s="26" t="s">
        <v>1616</v>
      </c>
      <c r="E562" s="28" t="s">
        <v>2857</v>
      </c>
      <c r="F562" s="28" t="s">
        <v>2858</v>
      </c>
      <c r="G562" s="28" t="s">
        <v>1270</v>
      </c>
      <c r="H562" s="25" t="s">
        <v>19</v>
      </c>
      <c r="I562" s="29" t="s">
        <v>20</v>
      </c>
      <c r="J562" s="30"/>
      <c r="K562" s="30"/>
      <c r="L562" s="30"/>
      <c r="M562" s="29" t="s">
        <v>2859</v>
      </c>
      <c r="N562" s="30"/>
      <c r="O562" s="30"/>
      <c r="P562" s="30"/>
      <c r="Q562" s="30"/>
      <c r="R562" s="30"/>
      <c r="S562" s="30"/>
      <c r="T562" s="30"/>
      <c r="U562" s="30"/>
      <c r="V562" s="30"/>
      <c r="W562" s="30"/>
      <c r="X562" s="30"/>
      <c r="Y562" s="30"/>
      <c r="Z562" s="30"/>
    </row>
    <row r="563">
      <c r="A563" s="23">
        <v>2007.0</v>
      </c>
      <c r="B563" s="24" t="s">
        <v>2860</v>
      </c>
      <c r="C563" s="25" t="s">
        <v>2861</v>
      </c>
      <c r="D563" s="26" t="s">
        <v>2862</v>
      </c>
      <c r="E563" s="27"/>
      <c r="F563" s="28" t="s">
        <v>2863</v>
      </c>
      <c r="G563" s="28" t="s">
        <v>1270</v>
      </c>
      <c r="H563" s="25" t="s">
        <v>19</v>
      </c>
      <c r="I563" s="29" t="s">
        <v>20</v>
      </c>
      <c r="J563" s="30"/>
      <c r="K563" s="30"/>
      <c r="L563" s="30"/>
      <c r="M563" s="29" t="s">
        <v>2864</v>
      </c>
      <c r="N563" s="30"/>
      <c r="O563" s="30"/>
      <c r="P563" s="30"/>
      <c r="Q563" s="30"/>
      <c r="R563" s="30"/>
      <c r="S563" s="30"/>
      <c r="T563" s="30"/>
      <c r="U563" s="30"/>
      <c r="V563" s="30"/>
      <c r="W563" s="30"/>
      <c r="X563" s="30"/>
      <c r="Y563" s="30"/>
      <c r="Z563" s="30"/>
    </row>
    <row r="564">
      <c r="A564" s="23">
        <v>2005.0</v>
      </c>
      <c r="B564" s="24" t="s">
        <v>2865</v>
      </c>
      <c r="C564" s="28" t="s">
        <v>2866</v>
      </c>
      <c r="D564" s="26" t="s">
        <v>2278</v>
      </c>
      <c r="E564" s="28" t="s">
        <v>2867</v>
      </c>
      <c r="F564" s="28" t="s">
        <v>2868</v>
      </c>
      <c r="G564" s="28" t="s">
        <v>1270</v>
      </c>
      <c r="H564" s="25" t="s">
        <v>19</v>
      </c>
      <c r="I564" s="29" t="s">
        <v>20</v>
      </c>
      <c r="J564" s="30"/>
      <c r="K564" s="30"/>
      <c r="L564" s="30"/>
      <c r="M564" s="29" t="s">
        <v>2869</v>
      </c>
      <c r="N564" s="30"/>
      <c r="O564" s="30"/>
      <c r="P564" s="30"/>
      <c r="Q564" s="30"/>
      <c r="R564" s="30"/>
      <c r="S564" s="30"/>
      <c r="T564" s="30"/>
      <c r="U564" s="30"/>
      <c r="V564" s="30"/>
      <c r="W564" s="30"/>
      <c r="X564" s="30"/>
      <c r="Y564" s="30"/>
      <c r="Z564" s="30"/>
    </row>
    <row r="565">
      <c r="A565" s="23">
        <v>2016.0</v>
      </c>
      <c r="B565" s="24" t="s">
        <v>2870</v>
      </c>
      <c r="C565" s="28" t="s">
        <v>2871</v>
      </c>
      <c r="D565" s="26" t="s">
        <v>2872</v>
      </c>
      <c r="E565" s="28" t="s">
        <v>2873</v>
      </c>
      <c r="F565" s="28" t="s">
        <v>2874</v>
      </c>
      <c r="G565" s="28" t="s">
        <v>1270</v>
      </c>
      <c r="H565" s="25" t="s">
        <v>19</v>
      </c>
      <c r="I565" s="29" t="s">
        <v>20</v>
      </c>
      <c r="J565" s="30"/>
      <c r="K565" s="30"/>
      <c r="L565" s="30"/>
      <c r="M565" s="29" t="s">
        <v>2875</v>
      </c>
      <c r="N565" s="30"/>
      <c r="O565" s="30"/>
      <c r="P565" s="30"/>
      <c r="Q565" s="30"/>
      <c r="R565" s="30"/>
      <c r="S565" s="30"/>
      <c r="T565" s="30"/>
      <c r="U565" s="30"/>
      <c r="V565" s="30"/>
      <c r="W565" s="30"/>
      <c r="X565" s="30"/>
      <c r="Y565" s="30"/>
      <c r="Z565" s="30"/>
    </row>
    <row r="566">
      <c r="A566" s="23">
        <v>2010.0</v>
      </c>
      <c r="B566" s="24" t="s">
        <v>2876</v>
      </c>
      <c r="C566" s="28" t="s">
        <v>2877</v>
      </c>
      <c r="D566" s="26" t="s">
        <v>2878</v>
      </c>
      <c r="E566" s="28" t="s">
        <v>2879</v>
      </c>
      <c r="F566" s="28" t="s">
        <v>2880</v>
      </c>
      <c r="G566" s="28" t="s">
        <v>1270</v>
      </c>
      <c r="H566" s="25" t="s">
        <v>19</v>
      </c>
      <c r="I566" s="29" t="s">
        <v>20</v>
      </c>
      <c r="J566" s="30"/>
      <c r="K566" s="30"/>
      <c r="L566" s="30"/>
      <c r="M566" s="29" t="s">
        <v>2881</v>
      </c>
      <c r="N566" s="30"/>
      <c r="O566" s="30"/>
      <c r="P566" s="30"/>
      <c r="Q566" s="30"/>
      <c r="R566" s="30"/>
      <c r="S566" s="30"/>
      <c r="T566" s="30"/>
      <c r="U566" s="30"/>
      <c r="V566" s="30"/>
      <c r="W566" s="30"/>
      <c r="X566" s="30"/>
      <c r="Y566" s="30"/>
      <c r="Z566" s="30"/>
    </row>
    <row r="567">
      <c r="A567" s="23">
        <v>2006.0</v>
      </c>
      <c r="B567" s="24" t="s">
        <v>2882</v>
      </c>
      <c r="C567" s="28" t="s">
        <v>2883</v>
      </c>
      <c r="D567" s="26" t="s">
        <v>1573</v>
      </c>
      <c r="E567" s="28" t="s">
        <v>2884</v>
      </c>
      <c r="F567" s="28" t="s">
        <v>2885</v>
      </c>
      <c r="G567" s="28" t="s">
        <v>1270</v>
      </c>
      <c r="H567" s="25" t="s">
        <v>19</v>
      </c>
      <c r="I567" s="29" t="s">
        <v>20</v>
      </c>
      <c r="J567" s="30"/>
      <c r="K567" s="30"/>
      <c r="L567" s="30"/>
      <c r="M567" s="29" t="s">
        <v>2886</v>
      </c>
      <c r="N567" s="30"/>
      <c r="O567" s="30"/>
      <c r="P567" s="30"/>
      <c r="Q567" s="30"/>
      <c r="R567" s="30"/>
      <c r="S567" s="30"/>
      <c r="T567" s="30"/>
      <c r="U567" s="30"/>
      <c r="V567" s="30"/>
      <c r="W567" s="30"/>
      <c r="X567" s="30"/>
      <c r="Y567" s="30"/>
      <c r="Z567" s="30"/>
    </row>
    <row r="568">
      <c r="A568" s="23">
        <v>2017.0</v>
      </c>
      <c r="B568" s="24" t="s">
        <v>2887</v>
      </c>
      <c r="C568" s="28" t="s">
        <v>2888</v>
      </c>
      <c r="D568" s="26" t="s">
        <v>1789</v>
      </c>
      <c r="E568" s="28" t="s">
        <v>2889</v>
      </c>
      <c r="F568" s="28" t="s">
        <v>2890</v>
      </c>
      <c r="G568" s="28" t="s">
        <v>1270</v>
      </c>
      <c r="H568" s="25" t="s">
        <v>19</v>
      </c>
      <c r="I568" s="29" t="s">
        <v>20</v>
      </c>
      <c r="J568" s="30"/>
      <c r="K568" s="30"/>
      <c r="L568" s="30"/>
      <c r="M568" s="29" t="s">
        <v>2891</v>
      </c>
      <c r="N568" s="30"/>
      <c r="O568" s="30"/>
      <c r="P568" s="30"/>
      <c r="Q568" s="30"/>
      <c r="R568" s="30"/>
      <c r="S568" s="30"/>
      <c r="T568" s="30"/>
      <c r="U568" s="30"/>
      <c r="V568" s="30"/>
      <c r="W568" s="30"/>
      <c r="X568" s="30"/>
      <c r="Y568" s="30"/>
      <c r="Z568" s="30"/>
    </row>
    <row r="569">
      <c r="A569" s="23">
        <v>2013.0</v>
      </c>
      <c r="B569" s="24" t="s">
        <v>2892</v>
      </c>
      <c r="C569" s="28" t="s">
        <v>2893</v>
      </c>
      <c r="D569" s="26" t="s">
        <v>1294</v>
      </c>
      <c r="E569" s="28" t="s">
        <v>2894</v>
      </c>
      <c r="F569" s="28" t="s">
        <v>2895</v>
      </c>
      <c r="G569" s="28" t="s">
        <v>1270</v>
      </c>
      <c r="H569" s="25" t="s">
        <v>19</v>
      </c>
      <c r="I569" s="29" t="s">
        <v>20</v>
      </c>
      <c r="J569" s="30"/>
      <c r="K569" s="30"/>
      <c r="L569" s="30"/>
      <c r="M569" s="29" t="s">
        <v>2896</v>
      </c>
      <c r="N569" s="30"/>
      <c r="O569" s="30"/>
      <c r="P569" s="30"/>
      <c r="Q569" s="30"/>
      <c r="R569" s="30"/>
      <c r="S569" s="30"/>
      <c r="T569" s="30"/>
      <c r="U569" s="30"/>
      <c r="V569" s="30"/>
      <c r="W569" s="30"/>
      <c r="X569" s="30"/>
      <c r="Y569" s="30"/>
      <c r="Z569" s="30"/>
    </row>
    <row r="570">
      <c r="A570" s="23">
        <v>2017.0</v>
      </c>
      <c r="B570" s="24" t="s">
        <v>2897</v>
      </c>
      <c r="C570" s="28" t="s">
        <v>2898</v>
      </c>
      <c r="D570" s="26" t="s">
        <v>2899</v>
      </c>
      <c r="E570" s="28" t="s">
        <v>2900</v>
      </c>
      <c r="F570" s="28" t="s">
        <v>2901</v>
      </c>
      <c r="G570" s="28" t="s">
        <v>1270</v>
      </c>
      <c r="H570" s="25" t="s">
        <v>19</v>
      </c>
      <c r="I570" s="29" t="s">
        <v>27</v>
      </c>
      <c r="J570" s="30"/>
      <c r="K570" s="30"/>
      <c r="L570" s="30"/>
      <c r="M570" s="30"/>
      <c r="N570" s="30"/>
      <c r="O570" s="30"/>
      <c r="P570" s="30"/>
      <c r="Q570" s="30"/>
      <c r="R570" s="30"/>
      <c r="S570" s="30"/>
      <c r="T570" s="30"/>
      <c r="U570" s="30"/>
      <c r="V570" s="30"/>
      <c r="W570" s="30"/>
      <c r="X570" s="30"/>
      <c r="Y570" s="30"/>
      <c r="Z570" s="30"/>
    </row>
    <row r="571">
      <c r="A571" s="23">
        <v>2019.0</v>
      </c>
      <c r="B571" s="24" t="s">
        <v>2902</v>
      </c>
      <c r="C571" s="28" t="s">
        <v>2903</v>
      </c>
      <c r="D571" s="26" t="s">
        <v>2904</v>
      </c>
      <c r="E571" s="28" t="s">
        <v>2905</v>
      </c>
      <c r="F571" s="28" t="s">
        <v>2906</v>
      </c>
      <c r="G571" s="28" t="s">
        <v>1270</v>
      </c>
      <c r="H571" s="25" t="s">
        <v>19</v>
      </c>
      <c r="I571" s="29" t="s">
        <v>20</v>
      </c>
      <c r="J571" s="30"/>
      <c r="K571" s="30"/>
      <c r="L571" s="30"/>
      <c r="M571" s="29" t="s">
        <v>2907</v>
      </c>
      <c r="N571" s="30"/>
      <c r="O571" s="30"/>
      <c r="P571" s="30"/>
      <c r="Q571" s="30"/>
      <c r="R571" s="30"/>
      <c r="S571" s="30"/>
      <c r="T571" s="30"/>
      <c r="U571" s="30"/>
      <c r="V571" s="30"/>
      <c r="W571" s="30"/>
      <c r="X571" s="30"/>
      <c r="Y571" s="30"/>
      <c r="Z571" s="30"/>
    </row>
    <row r="572">
      <c r="A572" s="23">
        <v>2014.0</v>
      </c>
      <c r="B572" s="24" t="s">
        <v>2908</v>
      </c>
      <c r="C572" s="28" t="s">
        <v>2909</v>
      </c>
      <c r="D572" s="26" t="s">
        <v>1283</v>
      </c>
      <c r="E572" s="28" t="s">
        <v>2910</v>
      </c>
      <c r="F572" s="28" t="s">
        <v>2911</v>
      </c>
      <c r="G572" s="28" t="s">
        <v>1270</v>
      </c>
      <c r="H572" s="25" t="s">
        <v>67</v>
      </c>
      <c r="I572" s="29" t="s">
        <v>20</v>
      </c>
      <c r="J572" s="30"/>
      <c r="K572" s="30"/>
      <c r="L572" s="30"/>
      <c r="M572" s="29" t="s">
        <v>2912</v>
      </c>
      <c r="N572" s="30"/>
      <c r="O572" s="30"/>
      <c r="P572" s="30"/>
      <c r="Q572" s="30"/>
      <c r="R572" s="30"/>
      <c r="S572" s="30"/>
      <c r="T572" s="30"/>
      <c r="U572" s="30"/>
      <c r="V572" s="30"/>
      <c r="W572" s="30"/>
      <c r="X572" s="30"/>
      <c r="Y572" s="30"/>
      <c r="Z572" s="30"/>
    </row>
    <row r="573">
      <c r="A573" s="23">
        <v>2007.0</v>
      </c>
      <c r="B573" s="24" t="s">
        <v>2913</v>
      </c>
      <c r="C573" s="28" t="s">
        <v>2914</v>
      </c>
      <c r="D573" s="26" t="s">
        <v>2915</v>
      </c>
      <c r="E573" s="28" t="s">
        <v>2916</v>
      </c>
      <c r="F573" s="28" t="s">
        <v>2917</v>
      </c>
      <c r="G573" s="28" t="s">
        <v>1270</v>
      </c>
      <c r="H573" s="25" t="s">
        <v>19</v>
      </c>
      <c r="I573" s="29" t="s">
        <v>20</v>
      </c>
      <c r="J573" s="30"/>
      <c r="K573" s="30"/>
      <c r="L573" s="30"/>
      <c r="M573" s="29" t="s">
        <v>2918</v>
      </c>
      <c r="N573" s="30"/>
      <c r="O573" s="30"/>
      <c r="P573" s="30"/>
      <c r="Q573" s="30"/>
      <c r="R573" s="30"/>
      <c r="S573" s="30"/>
      <c r="T573" s="30"/>
      <c r="U573" s="30"/>
      <c r="V573" s="30"/>
      <c r="W573" s="30"/>
      <c r="X573" s="30"/>
      <c r="Y573" s="30"/>
      <c r="Z573" s="30"/>
    </row>
    <row r="574">
      <c r="A574" s="23">
        <v>2008.0</v>
      </c>
      <c r="B574" s="24" t="s">
        <v>2919</v>
      </c>
      <c r="C574" s="28" t="s">
        <v>2920</v>
      </c>
      <c r="D574" s="26" t="s">
        <v>2921</v>
      </c>
      <c r="E574" s="28" t="s">
        <v>2922</v>
      </c>
      <c r="F574" s="28" t="s">
        <v>2923</v>
      </c>
      <c r="G574" s="28" t="s">
        <v>1270</v>
      </c>
      <c r="H574" s="25" t="s">
        <v>19</v>
      </c>
      <c r="I574" s="29" t="s">
        <v>20</v>
      </c>
      <c r="J574" s="30"/>
      <c r="K574" s="30"/>
      <c r="L574" s="30"/>
      <c r="M574" s="29" t="s">
        <v>2924</v>
      </c>
      <c r="N574" s="30"/>
      <c r="O574" s="30"/>
      <c r="P574" s="30"/>
      <c r="Q574" s="30"/>
      <c r="R574" s="30"/>
      <c r="S574" s="30"/>
      <c r="T574" s="30"/>
      <c r="U574" s="30"/>
      <c r="V574" s="30"/>
      <c r="W574" s="30"/>
      <c r="X574" s="30"/>
      <c r="Y574" s="30"/>
      <c r="Z574" s="30"/>
    </row>
    <row r="575">
      <c r="A575" s="23">
        <v>2018.0</v>
      </c>
      <c r="B575" s="24" t="s">
        <v>2925</v>
      </c>
      <c r="C575" s="28" t="s">
        <v>2926</v>
      </c>
      <c r="D575" s="26" t="s">
        <v>2927</v>
      </c>
      <c r="E575" s="28" t="s">
        <v>2928</v>
      </c>
      <c r="F575" s="28" t="s">
        <v>2929</v>
      </c>
      <c r="G575" s="28" t="s">
        <v>1270</v>
      </c>
      <c r="H575" s="25" t="s">
        <v>19</v>
      </c>
      <c r="I575" s="29" t="s">
        <v>20</v>
      </c>
      <c r="J575" s="30"/>
      <c r="K575" s="30"/>
      <c r="L575" s="30"/>
      <c r="M575" s="29" t="s">
        <v>2930</v>
      </c>
      <c r="N575" s="30"/>
      <c r="O575" s="30"/>
      <c r="P575" s="30"/>
      <c r="Q575" s="30"/>
      <c r="R575" s="30"/>
      <c r="S575" s="30"/>
      <c r="T575" s="30"/>
      <c r="U575" s="30"/>
      <c r="V575" s="30"/>
      <c r="W575" s="30"/>
      <c r="X575" s="30"/>
      <c r="Y575" s="30"/>
      <c r="Z575" s="30"/>
    </row>
    <row r="576">
      <c r="A576" s="23">
        <v>2013.0</v>
      </c>
      <c r="B576" s="24" t="s">
        <v>2931</v>
      </c>
      <c r="C576" s="28" t="s">
        <v>2932</v>
      </c>
      <c r="D576" s="26" t="s">
        <v>1704</v>
      </c>
      <c r="E576" s="28" t="s">
        <v>2933</v>
      </c>
      <c r="F576" s="28" t="s">
        <v>2934</v>
      </c>
      <c r="G576" s="28" t="s">
        <v>1270</v>
      </c>
      <c r="H576" s="25" t="s">
        <v>19</v>
      </c>
      <c r="I576" s="29" t="s">
        <v>20</v>
      </c>
      <c r="J576" s="30"/>
      <c r="K576" s="30"/>
      <c r="L576" s="30"/>
      <c r="M576" s="29" t="s">
        <v>2935</v>
      </c>
      <c r="N576" s="30"/>
      <c r="O576" s="30"/>
      <c r="P576" s="30"/>
      <c r="Q576" s="30"/>
      <c r="R576" s="30"/>
      <c r="S576" s="30"/>
      <c r="T576" s="30"/>
      <c r="U576" s="30"/>
      <c r="V576" s="30"/>
      <c r="W576" s="30"/>
      <c r="X576" s="30"/>
      <c r="Y576" s="30"/>
      <c r="Z576" s="30"/>
    </row>
    <row r="577">
      <c r="A577" s="23">
        <v>2007.0</v>
      </c>
      <c r="B577" s="24" t="s">
        <v>2936</v>
      </c>
      <c r="C577" s="25" t="s">
        <v>2937</v>
      </c>
      <c r="D577" s="26" t="s">
        <v>2031</v>
      </c>
      <c r="E577" s="27"/>
      <c r="F577" s="28" t="s">
        <v>2938</v>
      </c>
      <c r="G577" s="28" t="s">
        <v>1270</v>
      </c>
      <c r="H577" s="25" t="s">
        <v>19</v>
      </c>
      <c r="I577" s="29" t="s">
        <v>20</v>
      </c>
      <c r="J577" s="30"/>
      <c r="K577" s="30"/>
      <c r="L577" s="30"/>
      <c r="M577" s="29" t="s">
        <v>2939</v>
      </c>
      <c r="N577" s="30"/>
      <c r="O577" s="30"/>
      <c r="P577" s="30"/>
      <c r="Q577" s="30"/>
      <c r="R577" s="30"/>
      <c r="S577" s="30"/>
      <c r="T577" s="30"/>
      <c r="U577" s="30"/>
      <c r="V577" s="30"/>
      <c r="W577" s="30"/>
      <c r="X577" s="30"/>
      <c r="Y577" s="30"/>
      <c r="Z577" s="30"/>
    </row>
    <row r="578">
      <c r="A578" s="23">
        <v>2015.0</v>
      </c>
      <c r="B578" s="24" t="s">
        <v>2940</v>
      </c>
      <c r="C578" s="28" t="s">
        <v>2941</v>
      </c>
      <c r="D578" s="26" t="s">
        <v>1644</v>
      </c>
      <c r="E578" s="28" t="s">
        <v>2942</v>
      </c>
      <c r="F578" s="28" t="s">
        <v>2943</v>
      </c>
      <c r="G578" s="28" t="s">
        <v>1270</v>
      </c>
      <c r="H578" s="25" t="s">
        <v>19</v>
      </c>
      <c r="I578" s="29" t="s">
        <v>20</v>
      </c>
      <c r="J578" s="30"/>
      <c r="K578" s="30"/>
      <c r="L578" s="30"/>
      <c r="M578" s="29" t="s">
        <v>2944</v>
      </c>
      <c r="N578" s="30"/>
      <c r="O578" s="30"/>
      <c r="P578" s="30"/>
      <c r="Q578" s="30"/>
      <c r="R578" s="30"/>
      <c r="S578" s="30"/>
      <c r="T578" s="30"/>
      <c r="U578" s="30"/>
      <c r="V578" s="30"/>
      <c r="W578" s="30"/>
      <c r="X578" s="30"/>
      <c r="Y578" s="30"/>
      <c r="Z578" s="30"/>
    </row>
    <row r="579">
      <c r="A579" s="23">
        <v>2010.0</v>
      </c>
      <c r="B579" s="24" t="s">
        <v>2945</v>
      </c>
      <c r="C579" s="28" t="s">
        <v>2946</v>
      </c>
      <c r="D579" s="26" t="s">
        <v>2947</v>
      </c>
      <c r="E579" s="28" t="s">
        <v>2948</v>
      </c>
      <c r="F579" s="28" t="s">
        <v>2949</v>
      </c>
      <c r="G579" s="28" t="s">
        <v>1270</v>
      </c>
      <c r="H579" s="25" t="s">
        <v>19</v>
      </c>
      <c r="I579" s="29" t="s">
        <v>20</v>
      </c>
      <c r="J579" s="30"/>
      <c r="K579" s="30"/>
      <c r="L579" s="30"/>
      <c r="M579" s="29" t="s">
        <v>2950</v>
      </c>
      <c r="N579" s="30"/>
      <c r="O579" s="30"/>
      <c r="P579" s="30"/>
      <c r="Q579" s="30"/>
      <c r="R579" s="30"/>
      <c r="S579" s="30"/>
      <c r="T579" s="30"/>
      <c r="U579" s="30"/>
      <c r="V579" s="30"/>
      <c r="W579" s="30"/>
      <c r="X579" s="30"/>
      <c r="Y579" s="30"/>
      <c r="Z579" s="30"/>
    </row>
    <row r="580">
      <c r="A580" s="23">
        <v>2025.0</v>
      </c>
      <c r="B580" s="24" t="s">
        <v>2951</v>
      </c>
      <c r="C580" s="28" t="s">
        <v>2952</v>
      </c>
      <c r="D580" s="26" t="s">
        <v>1644</v>
      </c>
      <c r="E580" s="28" t="s">
        <v>2953</v>
      </c>
      <c r="F580" s="28" t="s">
        <v>2954</v>
      </c>
      <c r="G580" s="28" t="s">
        <v>1270</v>
      </c>
      <c r="H580" s="25" t="s">
        <v>19</v>
      </c>
      <c r="I580" s="29" t="s">
        <v>20</v>
      </c>
      <c r="J580" s="30"/>
      <c r="K580" s="30"/>
      <c r="L580" s="30"/>
      <c r="M580" s="29" t="s">
        <v>2955</v>
      </c>
      <c r="N580" s="30"/>
      <c r="O580" s="30"/>
      <c r="P580" s="30"/>
      <c r="Q580" s="30"/>
      <c r="R580" s="30"/>
      <c r="S580" s="30"/>
      <c r="T580" s="30"/>
      <c r="U580" s="30"/>
      <c r="V580" s="30"/>
      <c r="W580" s="30"/>
      <c r="X580" s="30"/>
      <c r="Y580" s="30"/>
      <c r="Z580" s="30"/>
    </row>
    <row r="581">
      <c r="A581" s="23">
        <v>2013.0</v>
      </c>
      <c r="B581" s="24" t="s">
        <v>2956</v>
      </c>
      <c r="C581" s="28" t="s">
        <v>2957</v>
      </c>
      <c r="D581" s="26" t="s">
        <v>1704</v>
      </c>
      <c r="E581" s="28" t="s">
        <v>2958</v>
      </c>
      <c r="F581" s="28" t="s">
        <v>2959</v>
      </c>
      <c r="G581" s="28" t="s">
        <v>1270</v>
      </c>
      <c r="H581" s="25" t="s">
        <v>19</v>
      </c>
      <c r="I581" s="29" t="s">
        <v>27</v>
      </c>
      <c r="J581" s="30"/>
      <c r="K581" s="30"/>
      <c r="L581" s="30"/>
      <c r="M581" s="30"/>
      <c r="N581" s="30"/>
      <c r="O581" s="30"/>
      <c r="P581" s="30"/>
      <c r="Q581" s="30"/>
      <c r="R581" s="30"/>
      <c r="S581" s="30"/>
      <c r="T581" s="30"/>
      <c r="U581" s="30"/>
      <c r="V581" s="30"/>
      <c r="W581" s="30"/>
      <c r="X581" s="30"/>
      <c r="Y581" s="30"/>
      <c r="Z581" s="30"/>
    </row>
    <row r="582">
      <c r="A582" s="23">
        <v>2006.0</v>
      </c>
      <c r="B582" s="24" t="s">
        <v>2960</v>
      </c>
      <c r="C582" s="28" t="s">
        <v>2961</v>
      </c>
      <c r="D582" s="26" t="s">
        <v>2962</v>
      </c>
      <c r="E582" s="28" t="s">
        <v>2963</v>
      </c>
      <c r="F582" s="28" t="s">
        <v>2964</v>
      </c>
      <c r="G582" s="28" t="s">
        <v>1270</v>
      </c>
      <c r="H582" s="25" t="s">
        <v>19</v>
      </c>
      <c r="I582" s="29" t="s">
        <v>20</v>
      </c>
      <c r="J582" s="30"/>
      <c r="K582" s="30"/>
      <c r="L582" s="30"/>
      <c r="M582" s="29" t="s">
        <v>2965</v>
      </c>
      <c r="N582" s="30"/>
      <c r="O582" s="30"/>
      <c r="P582" s="30"/>
      <c r="Q582" s="30"/>
      <c r="R582" s="30"/>
      <c r="S582" s="30"/>
      <c r="T582" s="30"/>
      <c r="U582" s="30"/>
      <c r="V582" s="30"/>
      <c r="W582" s="30"/>
      <c r="X582" s="30"/>
      <c r="Y582" s="30"/>
      <c r="Z582" s="30"/>
    </row>
    <row r="583">
      <c r="A583" s="23">
        <v>2009.0</v>
      </c>
      <c r="B583" s="24" t="s">
        <v>2966</v>
      </c>
      <c r="C583" s="28" t="s">
        <v>2967</v>
      </c>
      <c r="D583" s="26" t="s">
        <v>1886</v>
      </c>
      <c r="E583" s="28" t="s">
        <v>2968</v>
      </c>
      <c r="F583" s="28" t="s">
        <v>2969</v>
      </c>
      <c r="G583" s="28" t="s">
        <v>1270</v>
      </c>
      <c r="H583" s="25" t="s">
        <v>19</v>
      </c>
      <c r="I583" s="29" t="s">
        <v>20</v>
      </c>
      <c r="J583" s="30"/>
      <c r="K583" s="30"/>
      <c r="L583" s="30"/>
      <c r="M583" s="29" t="s">
        <v>2970</v>
      </c>
      <c r="N583" s="30"/>
      <c r="O583" s="30"/>
      <c r="P583" s="30"/>
      <c r="Q583" s="30"/>
      <c r="R583" s="30"/>
      <c r="S583" s="30"/>
      <c r="T583" s="30"/>
      <c r="U583" s="30"/>
      <c r="V583" s="30"/>
      <c r="W583" s="30"/>
      <c r="X583" s="30"/>
      <c r="Y583" s="30"/>
      <c r="Z583" s="30"/>
    </row>
    <row r="584">
      <c r="A584" s="23">
        <v>2013.0</v>
      </c>
      <c r="B584" s="24" t="s">
        <v>2971</v>
      </c>
      <c r="C584" s="28" t="s">
        <v>2972</v>
      </c>
      <c r="D584" s="26" t="s">
        <v>237</v>
      </c>
      <c r="E584" s="28" t="s">
        <v>2973</v>
      </c>
      <c r="F584" s="28" t="s">
        <v>2974</v>
      </c>
      <c r="G584" s="28" t="s">
        <v>1270</v>
      </c>
      <c r="H584" s="25" t="s">
        <v>19</v>
      </c>
      <c r="I584" s="29" t="s">
        <v>20</v>
      </c>
      <c r="J584" s="30"/>
      <c r="K584" s="30"/>
      <c r="L584" s="30"/>
      <c r="M584" s="29" t="s">
        <v>2975</v>
      </c>
      <c r="N584" s="30"/>
      <c r="O584" s="30"/>
      <c r="P584" s="30"/>
      <c r="Q584" s="30"/>
      <c r="R584" s="30"/>
      <c r="S584" s="30"/>
      <c r="T584" s="30"/>
      <c r="U584" s="30"/>
      <c r="V584" s="30"/>
      <c r="W584" s="30"/>
      <c r="X584" s="30"/>
      <c r="Y584" s="30"/>
      <c r="Z584" s="30"/>
    </row>
    <row r="585">
      <c r="A585" s="23">
        <v>2016.0</v>
      </c>
      <c r="B585" s="24" t="s">
        <v>2976</v>
      </c>
      <c r="C585" s="28" t="s">
        <v>2977</v>
      </c>
      <c r="D585" s="26" t="s">
        <v>1474</v>
      </c>
      <c r="E585" s="28" t="s">
        <v>2978</v>
      </c>
      <c r="F585" s="28" t="s">
        <v>2979</v>
      </c>
      <c r="G585" s="28" t="s">
        <v>1270</v>
      </c>
      <c r="H585" s="25" t="s">
        <v>19</v>
      </c>
      <c r="I585" s="29" t="s">
        <v>20</v>
      </c>
      <c r="J585" s="30"/>
      <c r="K585" s="30"/>
      <c r="L585" s="30"/>
      <c r="M585" s="29" t="s">
        <v>2980</v>
      </c>
      <c r="N585" s="30"/>
      <c r="O585" s="30"/>
      <c r="P585" s="30"/>
      <c r="Q585" s="30"/>
      <c r="R585" s="30"/>
      <c r="S585" s="30"/>
      <c r="T585" s="30"/>
      <c r="U585" s="30"/>
      <c r="V585" s="30"/>
      <c r="W585" s="30"/>
      <c r="X585" s="30"/>
      <c r="Y585" s="30"/>
      <c r="Z585" s="30"/>
    </row>
    <row r="586">
      <c r="A586" s="23">
        <v>2010.0</v>
      </c>
      <c r="B586" s="24" t="s">
        <v>2981</v>
      </c>
      <c r="C586" s="28" t="s">
        <v>2982</v>
      </c>
      <c r="D586" s="26" t="s">
        <v>1912</v>
      </c>
      <c r="E586" s="28" t="s">
        <v>2983</v>
      </c>
      <c r="F586" s="28" t="s">
        <v>2984</v>
      </c>
      <c r="G586" s="28" t="s">
        <v>1270</v>
      </c>
      <c r="H586" s="25" t="s">
        <v>19</v>
      </c>
      <c r="I586" s="29" t="s">
        <v>20</v>
      </c>
      <c r="J586" s="30"/>
      <c r="K586" s="30"/>
      <c r="L586" s="30"/>
      <c r="M586" s="29" t="s">
        <v>2985</v>
      </c>
      <c r="N586" s="30"/>
      <c r="O586" s="30"/>
      <c r="P586" s="30"/>
      <c r="Q586" s="30"/>
      <c r="R586" s="30"/>
      <c r="S586" s="30"/>
      <c r="T586" s="30"/>
      <c r="U586" s="30"/>
      <c r="V586" s="30"/>
      <c r="W586" s="30"/>
      <c r="X586" s="30"/>
      <c r="Y586" s="30"/>
      <c r="Z586" s="30"/>
    </row>
    <row r="587">
      <c r="A587" s="23">
        <v>2008.0</v>
      </c>
      <c r="B587" s="24" t="s">
        <v>2986</v>
      </c>
      <c r="C587" s="28" t="s">
        <v>2987</v>
      </c>
      <c r="D587" s="26" t="s">
        <v>1541</v>
      </c>
      <c r="E587" s="28" t="s">
        <v>2988</v>
      </c>
      <c r="F587" s="28" t="s">
        <v>2989</v>
      </c>
      <c r="G587" s="28" t="s">
        <v>1270</v>
      </c>
      <c r="H587" s="25" t="s">
        <v>19</v>
      </c>
      <c r="I587" s="29" t="s">
        <v>20</v>
      </c>
      <c r="J587" s="30"/>
      <c r="K587" s="30"/>
      <c r="L587" s="30"/>
      <c r="M587" s="29" t="s">
        <v>2990</v>
      </c>
      <c r="N587" s="30"/>
      <c r="O587" s="30"/>
      <c r="P587" s="30"/>
      <c r="Q587" s="30"/>
      <c r="R587" s="30"/>
      <c r="S587" s="30"/>
      <c r="T587" s="30"/>
      <c r="U587" s="30"/>
      <c r="V587" s="30"/>
      <c r="W587" s="30"/>
      <c r="X587" s="30"/>
      <c r="Y587" s="30"/>
      <c r="Z587" s="30"/>
    </row>
    <row r="588">
      <c r="A588" s="23">
        <v>2014.0</v>
      </c>
      <c r="B588" s="24" t="s">
        <v>2991</v>
      </c>
      <c r="C588" s="28" t="s">
        <v>2992</v>
      </c>
      <c r="D588" s="26" t="s">
        <v>2194</v>
      </c>
      <c r="E588" s="28" t="s">
        <v>2993</v>
      </c>
      <c r="F588" s="28" t="s">
        <v>2994</v>
      </c>
      <c r="G588" s="28" t="s">
        <v>1270</v>
      </c>
      <c r="H588" s="25" t="s">
        <v>19</v>
      </c>
      <c r="I588" s="29" t="s">
        <v>27</v>
      </c>
      <c r="J588" s="30"/>
      <c r="K588" s="30"/>
      <c r="L588" s="30"/>
      <c r="M588" s="30"/>
      <c r="N588" s="30"/>
      <c r="O588" s="30"/>
      <c r="P588" s="30"/>
      <c r="Q588" s="30"/>
      <c r="R588" s="30"/>
      <c r="S588" s="30"/>
      <c r="T588" s="30"/>
      <c r="U588" s="30"/>
      <c r="V588" s="30"/>
      <c r="W588" s="30"/>
      <c r="X588" s="30"/>
      <c r="Y588" s="30"/>
      <c r="Z588" s="30"/>
    </row>
    <row r="589">
      <c r="A589" s="23">
        <v>2008.0</v>
      </c>
      <c r="B589" s="24" t="s">
        <v>2995</v>
      </c>
      <c r="C589" s="28" t="s">
        <v>2996</v>
      </c>
      <c r="D589" s="26" t="s">
        <v>2997</v>
      </c>
      <c r="E589" s="28" t="s">
        <v>2998</v>
      </c>
      <c r="F589" s="28" t="s">
        <v>2999</v>
      </c>
      <c r="G589" s="28" t="s">
        <v>1270</v>
      </c>
      <c r="H589" s="25" t="s">
        <v>19</v>
      </c>
      <c r="I589" s="29" t="s">
        <v>20</v>
      </c>
      <c r="J589" s="30"/>
      <c r="K589" s="30"/>
      <c r="L589" s="30"/>
      <c r="M589" s="29" t="s">
        <v>3000</v>
      </c>
      <c r="N589" s="30"/>
      <c r="O589" s="30"/>
      <c r="P589" s="30"/>
      <c r="Q589" s="30"/>
      <c r="R589" s="30"/>
      <c r="S589" s="30"/>
      <c r="T589" s="30"/>
      <c r="U589" s="30"/>
      <c r="V589" s="30"/>
      <c r="W589" s="30"/>
      <c r="X589" s="30"/>
      <c r="Y589" s="30"/>
      <c r="Z589" s="30"/>
    </row>
    <row r="590">
      <c r="A590" s="23">
        <v>2005.0</v>
      </c>
      <c r="B590" s="24" t="s">
        <v>3001</v>
      </c>
      <c r="C590" s="28" t="s">
        <v>3002</v>
      </c>
      <c r="D590" s="26" t="s">
        <v>2278</v>
      </c>
      <c r="E590" s="28" t="s">
        <v>3003</v>
      </c>
      <c r="F590" s="28" t="s">
        <v>3004</v>
      </c>
      <c r="G590" s="28" t="s">
        <v>1270</v>
      </c>
      <c r="H590" s="25" t="s">
        <v>19</v>
      </c>
      <c r="I590" s="29" t="s">
        <v>20</v>
      </c>
      <c r="J590" s="30"/>
      <c r="K590" s="30"/>
      <c r="L590" s="30"/>
      <c r="M590" s="29" t="s">
        <v>3005</v>
      </c>
      <c r="N590" s="30"/>
      <c r="O590" s="30"/>
      <c r="P590" s="30"/>
      <c r="Q590" s="30"/>
      <c r="R590" s="30"/>
      <c r="S590" s="30"/>
      <c r="T590" s="30"/>
      <c r="U590" s="30"/>
      <c r="V590" s="30"/>
      <c r="W590" s="30"/>
      <c r="X590" s="30"/>
      <c r="Y590" s="30"/>
      <c r="Z590" s="30"/>
    </row>
    <row r="591">
      <c r="A591" s="23">
        <v>2005.0</v>
      </c>
      <c r="B591" s="24" t="s">
        <v>3006</v>
      </c>
      <c r="C591" s="25" t="s">
        <v>3007</v>
      </c>
      <c r="D591" s="26" t="s">
        <v>2031</v>
      </c>
      <c r="E591" s="27"/>
      <c r="F591" s="28" t="s">
        <v>3008</v>
      </c>
      <c r="G591" s="28" t="s">
        <v>1270</v>
      </c>
      <c r="H591" s="25" t="s">
        <v>19</v>
      </c>
      <c r="I591" s="29" t="s">
        <v>20</v>
      </c>
      <c r="J591" s="30"/>
      <c r="K591" s="30"/>
      <c r="L591" s="30"/>
      <c r="M591" s="29" t="s">
        <v>3009</v>
      </c>
      <c r="N591" s="30"/>
      <c r="O591" s="30"/>
      <c r="P591" s="30"/>
      <c r="Q591" s="30"/>
      <c r="R591" s="30"/>
      <c r="S591" s="30"/>
      <c r="T591" s="30"/>
      <c r="U591" s="30"/>
      <c r="V591" s="30"/>
      <c r="W591" s="30"/>
      <c r="X591" s="30"/>
      <c r="Y591" s="30"/>
      <c r="Z591" s="30"/>
    </row>
    <row r="592">
      <c r="A592" s="23">
        <v>2013.0</v>
      </c>
      <c r="B592" s="24" t="s">
        <v>3010</v>
      </c>
      <c r="C592" s="28" t="s">
        <v>3011</v>
      </c>
      <c r="D592" s="26" t="s">
        <v>1850</v>
      </c>
      <c r="E592" s="28" t="s">
        <v>3012</v>
      </c>
      <c r="F592" s="28" t="s">
        <v>3013</v>
      </c>
      <c r="G592" s="28" t="s">
        <v>1270</v>
      </c>
      <c r="H592" s="25" t="s">
        <v>19</v>
      </c>
      <c r="I592" s="29" t="s">
        <v>20</v>
      </c>
      <c r="J592" s="30"/>
      <c r="K592" s="30"/>
      <c r="L592" s="30"/>
      <c r="M592" s="29" t="s">
        <v>3014</v>
      </c>
      <c r="N592" s="30"/>
      <c r="O592" s="30"/>
      <c r="P592" s="30"/>
      <c r="Q592" s="30"/>
      <c r="R592" s="30"/>
      <c r="S592" s="30"/>
      <c r="T592" s="30"/>
      <c r="U592" s="30"/>
      <c r="V592" s="30"/>
      <c r="W592" s="30"/>
      <c r="X592" s="30"/>
      <c r="Y592" s="30"/>
      <c r="Z592" s="30"/>
    </row>
    <row r="593">
      <c r="A593" s="23">
        <v>2006.0</v>
      </c>
      <c r="B593" s="24" t="s">
        <v>3015</v>
      </c>
      <c r="C593" s="28" t="s">
        <v>3016</v>
      </c>
      <c r="D593" s="26" t="s">
        <v>1850</v>
      </c>
      <c r="E593" s="28" t="s">
        <v>3017</v>
      </c>
      <c r="F593" s="28" t="s">
        <v>3018</v>
      </c>
      <c r="G593" s="28" t="s">
        <v>1270</v>
      </c>
      <c r="H593" s="25" t="s">
        <v>19</v>
      </c>
      <c r="I593" s="29" t="s">
        <v>20</v>
      </c>
      <c r="J593" s="30"/>
      <c r="K593" s="30"/>
      <c r="L593" s="30"/>
      <c r="M593" s="29" t="s">
        <v>3019</v>
      </c>
      <c r="N593" s="30"/>
      <c r="O593" s="30"/>
      <c r="P593" s="30"/>
      <c r="Q593" s="30"/>
      <c r="R593" s="30"/>
      <c r="S593" s="30"/>
      <c r="T593" s="30"/>
      <c r="U593" s="30"/>
      <c r="V593" s="30"/>
      <c r="W593" s="30"/>
      <c r="X593" s="30"/>
      <c r="Y593" s="30"/>
      <c r="Z593" s="30"/>
    </row>
    <row r="594">
      <c r="A594" s="23">
        <v>2009.0</v>
      </c>
      <c r="B594" s="24" t="s">
        <v>3020</v>
      </c>
      <c r="C594" s="28" t="s">
        <v>3021</v>
      </c>
      <c r="D594" s="26" t="s">
        <v>660</v>
      </c>
      <c r="E594" s="28" t="s">
        <v>3022</v>
      </c>
      <c r="F594" s="28" t="s">
        <v>3023</v>
      </c>
      <c r="G594" s="28" t="s">
        <v>1270</v>
      </c>
      <c r="H594" s="25" t="s">
        <v>19</v>
      </c>
      <c r="I594" s="29" t="s">
        <v>20</v>
      </c>
      <c r="J594" s="30"/>
      <c r="K594" s="30"/>
      <c r="L594" s="30"/>
      <c r="M594" s="29" t="s">
        <v>3024</v>
      </c>
      <c r="N594" s="30"/>
      <c r="O594" s="30"/>
      <c r="P594" s="30"/>
      <c r="Q594" s="30"/>
      <c r="R594" s="30"/>
      <c r="S594" s="30"/>
      <c r="T594" s="30"/>
      <c r="U594" s="30"/>
      <c r="V594" s="30"/>
      <c r="W594" s="30"/>
      <c r="X594" s="30"/>
      <c r="Y594" s="30"/>
      <c r="Z594" s="30"/>
    </row>
    <row r="595">
      <c r="A595" s="23">
        <v>2016.0</v>
      </c>
      <c r="B595" s="24" t="s">
        <v>3025</v>
      </c>
      <c r="C595" s="28" t="s">
        <v>3026</v>
      </c>
      <c r="D595" s="26" t="s">
        <v>3027</v>
      </c>
      <c r="E595" s="28" t="s">
        <v>3028</v>
      </c>
      <c r="F595" s="28" t="s">
        <v>3029</v>
      </c>
      <c r="G595" s="28" t="s">
        <v>1270</v>
      </c>
      <c r="H595" s="25" t="s">
        <v>19</v>
      </c>
      <c r="I595" s="29" t="s">
        <v>20</v>
      </c>
      <c r="J595" s="30"/>
      <c r="K595" s="30"/>
      <c r="L595" s="30"/>
      <c r="M595" s="29" t="s">
        <v>3030</v>
      </c>
      <c r="N595" s="30"/>
      <c r="O595" s="30"/>
      <c r="P595" s="30"/>
      <c r="Q595" s="30"/>
      <c r="R595" s="30"/>
      <c r="S595" s="30"/>
      <c r="T595" s="30"/>
      <c r="U595" s="30"/>
      <c r="V595" s="30"/>
      <c r="W595" s="30"/>
      <c r="X595" s="30"/>
      <c r="Y595" s="30"/>
      <c r="Z595" s="30"/>
    </row>
    <row r="596">
      <c r="A596" s="23">
        <v>2013.0</v>
      </c>
      <c r="B596" s="24" t="s">
        <v>3031</v>
      </c>
      <c r="C596" s="28" t="s">
        <v>3032</v>
      </c>
      <c r="D596" s="26" t="s">
        <v>1573</v>
      </c>
      <c r="E596" s="28" t="s">
        <v>3033</v>
      </c>
      <c r="F596" s="28" t="s">
        <v>3034</v>
      </c>
      <c r="G596" s="28" t="s">
        <v>1270</v>
      </c>
      <c r="H596" s="25" t="s">
        <v>19</v>
      </c>
      <c r="I596" s="29" t="s">
        <v>20</v>
      </c>
      <c r="J596" s="30"/>
      <c r="K596" s="30"/>
      <c r="L596" s="30"/>
      <c r="M596" s="29" t="s">
        <v>3035</v>
      </c>
      <c r="N596" s="30"/>
      <c r="O596" s="30"/>
      <c r="P596" s="30"/>
      <c r="Q596" s="30"/>
      <c r="R596" s="30"/>
      <c r="S596" s="30"/>
      <c r="T596" s="30"/>
      <c r="U596" s="30"/>
      <c r="V596" s="30"/>
      <c r="W596" s="30"/>
      <c r="X596" s="30"/>
      <c r="Y596" s="30"/>
      <c r="Z596" s="30"/>
    </row>
    <row r="597">
      <c r="A597" s="23">
        <v>2005.0</v>
      </c>
      <c r="B597" s="24" t="s">
        <v>3036</v>
      </c>
      <c r="C597" s="28" t="s">
        <v>3037</v>
      </c>
      <c r="D597" s="26" t="s">
        <v>3038</v>
      </c>
      <c r="E597" s="28" t="s">
        <v>3039</v>
      </c>
      <c r="F597" s="28" t="s">
        <v>3040</v>
      </c>
      <c r="G597" s="28" t="s">
        <v>1270</v>
      </c>
      <c r="H597" s="25" t="s">
        <v>19</v>
      </c>
      <c r="I597" s="29" t="s">
        <v>20</v>
      </c>
      <c r="J597" s="30"/>
      <c r="K597" s="30"/>
      <c r="L597" s="30"/>
      <c r="M597" s="29" t="s">
        <v>3041</v>
      </c>
      <c r="N597" s="30"/>
      <c r="O597" s="30"/>
      <c r="P597" s="30"/>
      <c r="Q597" s="30"/>
      <c r="R597" s="30"/>
      <c r="S597" s="30"/>
      <c r="T597" s="30"/>
      <c r="U597" s="30"/>
      <c r="V597" s="30"/>
      <c r="W597" s="30"/>
      <c r="X597" s="30"/>
      <c r="Y597" s="30"/>
      <c r="Z597" s="30"/>
    </row>
    <row r="598">
      <c r="A598" s="23">
        <v>2006.0</v>
      </c>
      <c r="B598" s="24" t="s">
        <v>3042</v>
      </c>
      <c r="C598" s="28" t="s">
        <v>3043</v>
      </c>
      <c r="D598" s="26" t="s">
        <v>3044</v>
      </c>
      <c r="E598" s="28" t="s">
        <v>3045</v>
      </c>
      <c r="F598" s="28" t="s">
        <v>3046</v>
      </c>
      <c r="G598" s="28" t="s">
        <v>1270</v>
      </c>
      <c r="H598" s="25" t="s">
        <v>19</v>
      </c>
      <c r="I598" s="29" t="s">
        <v>20</v>
      </c>
      <c r="J598" s="30"/>
      <c r="K598" s="30"/>
      <c r="L598" s="30"/>
      <c r="M598" s="29" t="s">
        <v>3047</v>
      </c>
      <c r="N598" s="30"/>
      <c r="O598" s="30"/>
      <c r="P598" s="30"/>
      <c r="Q598" s="30"/>
      <c r="R598" s="30"/>
      <c r="S598" s="30"/>
      <c r="T598" s="30"/>
      <c r="U598" s="30"/>
      <c r="V598" s="30"/>
      <c r="W598" s="30"/>
      <c r="X598" s="30"/>
      <c r="Y598" s="30"/>
      <c r="Z598" s="30"/>
    </row>
    <row r="599">
      <c r="A599" s="23">
        <v>2012.0</v>
      </c>
      <c r="B599" s="24" t="s">
        <v>3048</v>
      </c>
      <c r="C599" s="28" t="s">
        <v>3049</v>
      </c>
      <c r="D599" s="26" t="s">
        <v>1704</v>
      </c>
      <c r="E599" s="28" t="s">
        <v>3050</v>
      </c>
      <c r="F599" s="28" t="s">
        <v>3051</v>
      </c>
      <c r="G599" s="28" t="s">
        <v>1270</v>
      </c>
      <c r="H599" s="25" t="s">
        <v>19</v>
      </c>
      <c r="I599" s="29" t="s">
        <v>20</v>
      </c>
      <c r="J599" s="30"/>
      <c r="K599" s="30"/>
      <c r="L599" s="30"/>
      <c r="M599" s="29" t="s">
        <v>3052</v>
      </c>
      <c r="N599" s="30"/>
      <c r="O599" s="30"/>
      <c r="P599" s="30"/>
      <c r="Q599" s="30"/>
      <c r="R599" s="30"/>
      <c r="S599" s="30"/>
      <c r="T599" s="30"/>
      <c r="U599" s="30"/>
      <c r="V599" s="30"/>
      <c r="W599" s="30"/>
      <c r="X599" s="30"/>
      <c r="Y599" s="30"/>
      <c r="Z599" s="30"/>
    </row>
    <row r="600">
      <c r="A600" s="23">
        <v>2010.0</v>
      </c>
      <c r="B600" s="24" t="s">
        <v>3053</v>
      </c>
      <c r="C600" s="28" t="s">
        <v>3054</v>
      </c>
      <c r="D600" s="26" t="s">
        <v>3055</v>
      </c>
      <c r="E600" s="28" t="s">
        <v>3056</v>
      </c>
      <c r="F600" s="28" t="s">
        <v>3057</v>
      </c>
      <c r="G600" s="28" t="s">
        <v>1270</v>
      </c>
      <c r="H600" s="25" t="s">
        <v>19</v>
      </c>
      <c r="I600" s="29" t="s">
        <v>20</v>
      </c>
      <c r="J600" s="30"/>
      <c r="K600" s="30"/>
      <c r="L600" s="30"/>
      <c r="M600" s="29" t="s">
        <v>3058</v>
      </c>
      <c r="N600" s="30"/>
      <c r="O600" s="30"/>
      <c r="P600" s="30"/>
      <c r="Q600" s="30"/>
      <c r="R600" s="30"/>
      <c r="S600" s="30"/>
      <c r="T600" s="30"/>
      <c r="U600" s="30"/>
      <c r="V600" s="30"/>
      <c r="W600" s="30"/>
      <c r="X600" s="30"/>
      <c r="Y600" s="30"/>
      <c r="Z600" s="30"/>
    </row>
    <row r="601">
      <c r="A601" s="23">
        <v>2011.0</v>
      </c>
      <c r="B601" s="24" t="s">
        <v>3059</v>
      </c>
      <c r="C601" s="28" t="s">
        <v>3060</v>
      </c>
      <c r="D601" s="26" t="s">
        <v>1667</v>
      </c>
      <c r="E601" s="28" t="s">
        <v>3061</v>
      </c>
      <c r="F601" s="28" t="s">
        <v>3062</v>
      </c>
      <c r="G601" s="28" t="s">
        <v>1270</v>
      </c>
      <c r="H601" s="25" t="s">
        <v>19</v>
      </c>
      <c r="I601" s="29" t="s">
        <v>20</v>
      </c>
      <c r="J601" s="30"/>
      <c r="K601" s="30"/>
      <c r="L601" s="30"/>
      <c r="M601" s="29" t="s">
        <v>3063</v>
      </c>
      <c r="N601" s="30"/>
      <c r="O601" s="30"/>
      <c r="P601" s="30"/>
      <c r="Q601" s="30"/>
      <c r="R601" s="30"/>
      <c r="S601" s="30"/>
      <c r="T601" s="30"/>
      <c r="U601" s="30"/>
      <c r="V601" s="30"/>
      <c r="W601" s="30"/>
      <c r="X601" s="30"/>
      <c r="Y601" s="30"/>
      <c r="Z601" s="30"/>
    </row>
    <row r="602">
      <c r="A602" s="23">
        <v>2006.0</v>
      </c>
      <c r="B602" s="24" t="s">
        <v>3064</v>
      </c>
      <c r="C602" s="28" t="s">
        <v>3065</v>
      </c>
      <c r="D602" s="26" t="s">
        <v>3066</v>
      </c>
      <c r="E602" s="28" t="s">
        <v>3067</v>
      </c>
      <c r="F602" s="28" t="s">
        <v>3068</v>
      </c>
      <c r="G602" s="28" t="s">
        <v>1270</v>
      </c>
      <c r="H602" s="25" t="s">
        <v>19</v>
      </c>
      <c r="I602" s="29" t="s">
        <v>20</v>
      </c>
      <c r="J602" s="30"/>
      <c r="K602" s="30"/>
      <c r="L602" s="30"/>
      <c r="M602" s="29" t="s">
        <v>3069</v>
      </c>
      <c r="N602" s="30"/>
      <c r="O602" s="30"/>
      <c r="P602" s="30"/>
      <c r="Q602" s="30"/>
      <c r="R602" s="30"/>
      <c r="S602" s="30"/>
      <c r="T602" s="30"/>
      <c r="U602" s="30"/>
      <c r="V602" s="30"/>
      <c r="W602" s="30"/>
      <c r="X602" s="30"/>
      <c r="Y602" s="30"/>
      <c r="Z602" s="30"/>
    </row>
    <row r="603">
      <c r="A603" s="23">
        <v>2017.0</v>
      </c>
      <c r="B603" s="24" t="s">
        <v>3070</v>
      </c>
      <c r="C603" s="28" t="s">
        <v>3071</v>
      </c>
      <c r="D603" s="26" t="s">
        <v>1789</v>
      </c>
      <c r="E603" s="28" t="s">
        <v>3072</v>
      </c>
      <c r="F603" s="28" t="s">
        <v>3073</v>
      </c>
      <c r="G603" s="28" t="s">
        <v>1270</v>
      </c>
      <c r="H603" s="25" t="s">
        <v>19</v>
      </c>
      <c r="I603" s="29" t="s">
        <v>20</v>
      </c>
      <c r="J603" s="30"/>
      <c r="K603" s="30"/>
      <c r="L603" s="30"/>
      <c r="M603" s="29" t="s">
        <v>3074</v>
      </c>
      <c r="N603" s="30"/>
      <c r="O603" s="30"/>
      <c r="P603" s="30"/>
      <c r="Q603" s="30"/>
      <c r="R603" s="30"/>
      <c r="S603" s="30"/>
      <c r="T603" s="30"/>
      <c r="U603" s="30"/>
      <c r="V603" s="30"/>
      <c r="W603" s="30"/>
      <c r="X603" s="30"/>
      <c r="Y603" s="30"/>
      <c r="Z603" s="30"/>
    </row>
    <row r="604">
      <c r="A604" s="23">
        <v>2008.0</v>
      </c>
      <c r="B604" s="24" t="s">
        <v>3075</v>
      </c>
      <c r="C604" s="28" t="s">
        <v>3076</v>
      </c>
      <c r="D604" s="26" t="s">
        <v>3077</v>
      </c>
      <c r="E604" s="28" t="s">
        <v>3078</v>
      </c>
      <c r="F604" s="28" t="s">
        <v>3079</v>
      </c>
      <c r="G604" s="28" t="s">
        <v>1270</v>
      </c>
      <c r="H604" s="25" t="s">
        <v>19</v>
      </c>
      <c r="I604" s="29" t="s">
        <v>20</v>
      </c>
      <c r="J604" s="30"/>
      <c r="K604" s="30"/>
      <c r="L604" s="30"/>
      <c r="M604" s="29" t="s">
        <v>3080</v>
      </c>
      <c r="N604" s="30"/>
      <c r="O604" s="30"/>
      <c r="P604" s="30"/>
      <c r="Q604" s="30"/>
      <c r="R604" s="30"/>
      <c r="S604" s="30"/>
      <c r="T604" s="30"/>
      <c r="U604" s="30"/>
      <c r="V604" s="30"/>
      <c r="W604" s="30"/>
      <c r="X604" s="30"/>
      <c r="Y604" s="30"/>
      <c r="Z604" s="30"/>
    </row>
    <row r="605">
      <c r="A605" s="23">
        <v>2020.0</v>
      </c>
      <c r="B605" s="24" t="s">
        <v>3081</v>
      </c>
      <c r="C605" s="28" t="s">
        <v>3082</v>
      </c>
      <c r="D605" s="26" t="s">
        <v>3083</v>
      </c>
      <c r="E605" s="28" t="s">
        <v>3084</v>
      </c>
      <c r="F605" s="28" t="s">
        <v>3085</v>
      </c>
      <c r="G605" s="28" t="s">
        <v>1348</v>
      </c>
      <c r="H605" s="25" t="s">
        <v>19</v>
      </c>
      <c r="I605" s="29" t="s">
        <v>27</v>
      </c>
      <c r="J605" s="30"/>
      <c r="K605" s="30"/>
      <c r="L605" s="30"/>
      <c r="M605" s="30"/>
      <c r="N605" s="30"/>
      <c r="O605" s="30"/>
      <c r="P605" s="30"/>
      <c r="Q605" s="30"/>
      <c r="R605" s="30"/>
      <c r="S605" s="30"/>
      <c r="T605" s="30"/>
      <c r="U605" s="30"/>
      <c r="V605" s="30"/>
      <c r="W605" s="30"/>
      <c r="X605" s="30"/>
      <c r="Y605" s="30"/>
      <c r="Z605" s="30"/>
    </row>
    <row r="606">
      <c r="A606" s="23">
        <v>2025.0</v>
      </c>
      <c r="B606" s="24" t="s">
        <v>3086</v>
      </c>
      <c r="C606" s="28" t="s">
        <v>3087</v>
      </c>
      <c r="D606" s="26" t="s">
        <v>3088</v>
      </c>
      <c r="E606" s="28" t="s">
        <v>3089</v>
      </c>
      <c r="F606" s="28" t="s">
        <v>3090</v>
      </c>
      <c r="G606" s="28" t="s">
        <v>1348</v>
      </c>
      <c r="H606" s="25" t="s">
        <v>19</v>
      </c>
      <c r="I606" s="29" t="s">
        <v>20</v>
      </c>
      <c r="J606" s="30"/>
      <c r="K606" s="30"/>
      <c r="L606" s="30"/>
      <c r="M606" s="29" t="s">
        <v>3091</v>
      </c>
      <c r="N606" s="30"/>
      <c r="O606" s="30"/>
      <c r="P606" s="30"/>
      <c r="Q606" s="30"/>
      <c r="R606" s="30"/>
      <c r="S606" s="30"/>
      <c r="T606" s="30"/>
      <c r="U606" s="30"/>
      <c r="V606" s="30"/>
      <c r="W606" s="30"/>
      <c r="X606" s="30"/>
      <c r="Y606" s="30"/>
      <c r="Z606" s="30"/>
    </row>
    <row r="607">
      <c r="A607" s="23">
        <v>2020.0</v>
      </c>
      <c r="B607" s="24" t="s">
        <v>3092</v>
      </c>
      <c r="C607" s="28" t="s">
        <v>3093</v>
      </c>
      <c r="D607" s="26" t="s">
        <v>3094</v>
      </c>
      <c r="E607" s="28" t="s">
        <v>3095</v>
      </c>
      <c r="F607" s="28" t="s">
        <v>3096</v>
      </c>
      <c r="G607" s="28" t="s">
        <v>1348</v>
      </c>
      <c r="H607" s="25" t="s">
        <v>19</v>
      </c>
      <c r="I607" s="29" t="s">
        <v>20</v>
      </c>
      <c r="J607" s="30"/>
      <c r="K607" s="30"/>
      <c r="L607" s="30"/>
      <c r="M607" s="29" t="s">
        <v>3097</v>
      </c>
      <c r="N607" s="30"/>
      <c r="O607" s="30"/>
      <c r="P607" s="30"/>
      <c r="Q607" s="30"/>
      <c r="R607" s="30"/>
      <c r="S607" s="30"/>
      <c r="T607" s="30"/>
      <c r="U607" s="30"/>
      <c r="V607" s="30"/>
      <c r="W607" s="30"/>
      <c r="X607" s="30"/>
      <c r="Y607" s="30"/>
      <c r="Z607" s="30"/>
    </row>
    <row r="608">
      <c r="A608" s="23">
        <v>2022.0</v>
      </c>
      <c r="B608" s="24" t="s">
        <v>3098</v>
      </c>
      <c r="C608" s="28" t="s">
        <v>3099</v>
      </c>
      <c r="D608" s="26" t="s">
        <v>3100</v>
      </c>
      <c r="E608" s="28" t="s">
        <v>3101</v>
      </c>
      <c r="F608" s="28" t="s">
        <v>3102</v>
      </c>
      <c r="G608" s="28" t="s">
        <v>1348</v>
      </c>
      <c r="H608" s="25" t="s">
        <v>19</v>
      </c>
      <c r="I608" s="29" t="s">
        <v>20</v>
      </c>
      <c r="J608" s="30"/>
      <c r="K608" s="30"/>
      <c r="L608" s="30"/>
      <c r="M608" s="29" t="s">
        <v>3103</v>
      </c>
      <c r="N608" s="30"/>
      <c r="O608" s="30"/>
      <c r="P608" s="30"/>
      <c r="Q608" s="30"/>
      <c r="R608" s="30"/>
      <c r="S608" s="30"/>
      <c r="T608" s="30"/>
      <c r="U608" s="30"/>
      <c r="V608" s="30"/>
      <c r="W608" s="30"/>
      <c r="X608" s="30"/>
      <c r="Y608" s="30"/>
      <c r="Z608" s="30"/>
    </row>
    <row r="609">
      <c r="A609" s="7">
        <v>2025.0</v>
      </c>
      <c r="B609" s="8" t="s">
        <v>3104</v>
      </c>
      <c r="C609" s="12" t="s">
        <v>3105</v>
      </c>
      <c r="D609" s="10" t="s">
        <v>1784</v>
      </c>
      <c r="E609" s="18" t="s">
        <v>3106</v>
      </c>
      <c r="F609" s="18" t="s">
        <v>3107</v>
      </c>
      <c r="G609" s="18" t="s">
        <v>1270</v>
      </c>
      <c r="H609" s="19" t="s">
        <v>67</v>
      </c>
      <c r="I609" s="20" t="s">
        <v>27</v>
      </c>
      <c r="J609" s="21"/>
      <c r="K609" s="21"/>
      <c r="L609" s="21"/>
      <c r="M609" s="21"/>
      <c r="N609" s="14"/>
      <c r="O609" s="30"/>
      <c r="P609" s="30"/>
      <c r="Q609" s="30"/>
      <c r="R609" s="30"/>
      <c r="S609" s="30"/>
      <c r="T609" s="30"/>
      <c r="U609" s="30"/>
      <c r="V609" s="30"/>
      <c r="W609" s="30"/>
      <c r="X609" s="30"/>
      <c r="Y609" s="30"/>
      <c r="Z609" s="30"/>
    </row>
    <row r="610">
      <c r="A610" s="23">
        <v>2021.0</v>
      </c>
      <c r="B610" s="24" t="s">
        <v>3108</v>
      </c>
      <c r="C610" s="28" t="s">
        <v>3109</v>
      </c>
      <c r="D610" s="26" t="s">
        <v>3110</v>
      </c>
      <c r="E610" s="28" t="s">
        <v>3111</v>
      </c>
      <c r="F610" s="28" t="s">
        <v>3112</v>
      </c>
      <c r="G610" s="28" t="s">
        <v>1348</v>
      </c>
      <c r="H610" s="25" t="s">
        <v>19</v>
      </c>
      <c r="I610" s="29" t="s">
        <v>20</v>
      </c>
      <c r="J610" s="30"/>
      <c r="K610" s="30"/>
      <c r="L610" s="30"/>
      <c r="M610" s="29" t="s">
        <v>3109</v>
      </c>
      <c r="N610" s="30"/>
      <c r="O610" s="30"/>
      <c r="P610" s="30"/>
      <c r="Q610" s="30"/>
      <c r="R610" s="30"/>
      <c r="S610" s="30"/>
      <c r="T610" s="30"/>
      <c r="U610" s="30"/>
      <c r="V610" s="30"/>
      <c r="W610" s="30"/>
      <c r="X610" s="30"/>
      <c r="Y610" s="30"/>
      <c r="Z610" s="30"/>
    </row>
    <row r="611">
      <c r="A611" s="23">
        <v>2024.0</v>
      </c>
      <c r="B611" s="24" t="s">
        <v>3113</v>
      </c>
      <c r="C611" s="28" t="s">
        <v>3114</v>
      </c>
      <c r="D611" s="26" t="s">
        <v>3115</v>
      </c>
      <c r="E611" s="28" t="s">
        <v>3116</v>
      </c>
      <c r="F611" s="28" t="s">
        <v>3117</v>
      </c>
      <c r="G611" s="28" t="s">
        <v>1348</v>
      </c>
      <c r="H611" s="25" t="s">
        <v>19</v>
      </c>
      <c r="I611" s="29" t="s">
        <v>20</v>
      </c>
      <c r="J611" s="30"/>
      <c r="K611" s="30"/>
      <c r="L611" s="30"/>
      <c r="M611" s="29" t="s">
        <v>3118</v>
      </c>
      <c r="N611" s="30"/>
      <c r="O611" s="30"/>
      <c r="P611" s="30"/>
      <c r="Q611" s="30"/>
      <c r="R611" s="30"/>
      <c r="S611" s="30"/>
      <c r="T611" s="30"/>
      <c r="U611" s="30"/>
      <c r="V611" s="30"/>
      <c r="W611" s="30"/>
      <c r="X611" s="30"/>
      <c r="Y611" s="30"/>
      <c r="Z611" s="30"/>
    </row>
    <row r="612">
      <c r="A612" s="23">
        <v>2021.0</v>
      </c>
      <c r="B612" s="24" t="s">
        <v>3119</v>
      </c>
      <c r="C612" s="28" t="s">
        <v>3120</v>
      </c>
      <c r="D612" s="26" t="s">
        <v>3115</v>
      </c>
      <c r="E612" s="28" t="s">
        <v>3121</v>
      </c>
      <c r="F612" s="28" t="s">
        <v>3122</v>
      </c>
      <c r="G612" s="28" t="s">
        <v>1348</v>
      </c>
      <c r="H612" s="25" t="s">
        <v>19</v>
      </c>
      <c r="I612" s="29" t="s">
        <v>27</v>
      </c>
      <c r="J612" s="30"/>
      <c r="K612" s="30"/>
      <c r="L612" s="30"/>
      <c r="M612" s="30"/>
      <c r="N612" s="30"/>
      <c r="O612" s="30"/>
      <c r="P612" s="30"/>
      <c r="Q612" s="30"/>
      <c r="R612" s="30"/>
      <c r="S612" s="30"/>
      <c r="T612" s="30"/>
      <c r="U612" s="30"/>
      <c r="V612" s="30"/>
      <c r="W612" s="30"/>
      <c r="X612" s="30"/>
      <c r="Y612" s="30"/>
      <c r="Z612" s="30"/>
    </row>
    <row r="613">
      <c r="A613" s="23">
        <v>2025.0</v>
      </c>
      <c r="B613" s="24" t="s">
        <v>3123</v>
      </c>
      <c r="C613" s="28" t="s">
        <v>3124</v>
      </c>
      <c r="D613" s="26" t="s">
        <v>1373</v>
      </c>
      <c r="E613" s="28" t="s">
        <v>3125</v>
      </c>
      <c r="F613" s="28" t="s">
        <v>3126</v>
      </c>
      <c r="G613" s="28" t="s">
        <v>1348</v>
      </c>
      <c r="H613" s="25" t="s">
        <v>19</v>
      </c>
      <c r="I613" s="29" t="s">
        <v>27</v>
      </c>
      <c r="J613" s="30"/>
      <c r="K613" s="30"/>
      <c r="L613" s="30"/>
      <c r="M613" s="30"/>
      <c r="N613" s="30"/>
      <c r="O613" s="30"/>
      <c r="P613" s="30"/>
      <c r="Q613" s="30"/>
      <c r="R613" s="30"/>
      <c r="S613" s="30"/>
      <c r="T613" s="30"/>
      <c r="U613" s="30"/>
      <c r="V613" s="30"/>
      <c r="W613" s="30"/>
      <c r="X613" s="30"/>
      <c r="Y613" s="30"/>
      <c r="Z613" s="30"/>
    </row>
    <row r="614">
      <c r="A614" s="31">
        <v>2025.0</v>
      </c>
      <c r="B614" s="32" t="s">
        <v>3127</v>
      </c>
      <c r="C614" s="33" t="s">
        <v>3128</v>
      </c>
      <c r="D614" s="34" t="s">
        <v>1573</v>
      </c>
      <c r="E614" s="33" t="s">
        <v>3129</v>
      </c>
      <c r="F614" s="33" t="s">
        <v>3130</v>
      </c>
      <c r="G614" s="33" t="s">
        <v>1270</v>
      </c>
      <c r="H614" s="35" t="s">
        <v>67</v>
      </c>
      <c r="I614" s="36" t="s">
        <v>27</v>
      </c>
      <c r="J614" s="37"/>
      <c r="K614" s="37"/>
      <c r="L614" s="37"/>
      <c r="M614" s="37"/>
      <c r="N614" s="37"/>
      <c r="O614" s="30"/>
      <c r="P614" s="30"/>
      <c r="Q614" s="30"/>
      <c r="R614" s="30"/>
      <c r="S614" s="30"/>
      <c r="T614" s="30"/>
      <c r="U614" s="30"/>
      <c r="V614" s="30"/>
      <c r="W614" s="30"/>
      <c r="X614" s="30"/>
      <c r="Y614" s="30"/>
      <c r="Z614" s="30"/>
    </row>
    <row r="615">
      <c r="A615" s="23">
        <v>2018.0</v>
      </c>
      <c r="B615" s="24" t="s">
        <v>3131</v>
      </c>
      <c r="C615" s="25" t="s">
        <v>3132</v>
      </c>
      <c r="D615" s="26" t="s">
        <v>112</v>
      </c>
      <c r="E615" s="27"/>
      <c r="F615" s="27"/>
      <c r="G615" s="28" t="s">
        <v>1348</v>
      </c>
      <c r="H615" s="25" t="s">
        <v>19</v>
      </c>
      <c r="I615" s="29" t="s">
        <v>27</v>
      </c>
      <c r="J615" s="30"/>
      <c r="K615" s="30"/>
      <c r="L615" s="30"/>
      <c r="M615" s="30"/>
      <c r="N615" s="30"/>
      <c r="O615" s="30"/>
      <c r="P615" s="30"/>
      <c r="Q615" s="30"/>
      <c r="R615" s="30"/>
      <c r="S615" s="30"/>
      <c r="T615" s="30"/>
      <c r="U615" s="30"/>
      <c r="V615" s="30"/>
      <c r="W615" s="30"/>
      <c r="X615" s="30"/>
      <c r="Y615" s="30"/>
      <c r="Z615" s="30"/>
    </row>
    <row r="616">
      <c r="A616" s="31">
        <v>2025.0</v>
      </c>
      <c r="B616" s="32" t="s">
        <v>3133</v>
      </c>
      <c r="C616" s="33" t="s">
        <v>3134</v>
      </c>
      <c r="D616" s="34" t="s">
        <v>1373</v>
      </c>
      <c r="E616" s="33" t="s">
        <v>3135</v>
      </c>
      <c r="F616" s="33" t="s">
        <v>3136</v>
      </c>
      <c r="G616" s="33" t="s">
        <v>1270</v>
      </c>
      <c r="H616" s="35" t="s">
        <v>67</v>
      </c>
      <c r="I616" s="36" t="s">
        <v>27</v>
      </c>
      <c r="J616" s="37"/>
      <c r="K616" s="37"/>
      <c r="L616" s="37"/>
      <c r="M616" s="37"/>
      <c r="N616" s="37"/>
      <c r="O616" s="30"/>
      <c r="P616" s="30"/>
      <c r="Q616" s="30"/>
      <c r="R616" s="30"/>
      <c r="S616" s="30"/>
      <c r="T616" s="30"/>
      <c r="U616" s="30"/>
      <c r="V616" s="30"/>
      <c r="W616" s="30"/>
      <c r="X616" s="30"/>
      <c r="Y616" s="30"/>
      <c r="Z616" s="30"/>
    </row>
    <row r="617">
      <c r="A617" s="23">
        <v>2021.0</v>
      </c>
      <c r="B617" s="24" t="s">
        <v>3137</v>
      </c>
      <c r="C617" s="28" t="s">
        <v>3138</v>
      </c>
      <c r="D617" s="26" t="s">
        <v>3139</v>
      </c>
      <c r="E617" s="28" t="s">
        <v>3140</v>
      </c>
      <c r="F617" s="28" t="s">
        <v>3141</v>
      </c>
      <c r="G617" s="28" t="s">
        <v>1348</v>
      </c>
      <c r="H617" s="25" t="s">
        <v>19</v>
      </c>
      <c r="I617" s="29" t="s">
        <v>27</v>
      </c>
      <c r="J617" s="30"/>
      <c r="K617" s="30"/>
      <c r="L617" s="30"/>
      <c r="M617" s="30"/>
      <c r="N617" s="30"/>
      <c r="O617" s="30"/>
      <c r="P617" s="30"/>
      <c r="Q617" s="30"/>
      <c r="R617" s="30"/>
      <c r="S617" s="30"/>
      <c r="T617" s="30"/>
      <c r="U617" s="30"/>
      <c r="V617" s="30"/>
      <c r="W617" s="30"/>
      <c r="X617" s="30"/>
      <c r="Y617" s="30"/>
      <c r="Z617" s="30"/>
    </row>
    <row r="618">
      <c r="A618" s="23">
        <v>2022.0</v>
      </c>
      <c r="B618" s="24" t="s">
        <v>3142</v>
      </c>
      <c r="C618" s="28" t="s">
        <v>3143</v>
      </c>
      <c r="D618" s="26" t="s">
        <v>3144</v>
      </c>
      <c r="E618" s="28" t="s">
        <v>3145</v>
      </c>
      <c r="F618" s="28" t="s">
        <v>3146</v>
      </c>
      <c r="G618" s="28" t="s">
        <v>1348</v>
      </c>
      <c r="H618" s="25" t="s">
        <v>19</v>
      </c>
      <c r="I618" s="29" t="s">
        <v>1193</v>
      </c>
      <c r="J618" s="30"/>
      <c r="K618" s="30"/>
      <c r="L618" s="30"/>
      <c r="M618" s="29" t="s">
        <v>3147</v>
      </c>
      <c r="N618" s="30"/>
      <c r="O618" s="30"/>
      <c r="P618" s="30"/>
      <c r="Q618" s="30"/>
      <c r="R618" s="30"/>
      <c r="S618" s="30"/>
      <c r="T618" s="30"/>
      <c r="U618" s="30"/>
      <c r="V618" s="30"/>
      <c r="W618" s="30"/>
      <c r="X618" s="30"/>
      <c r="Y618" s="30"/>
      <c r="Z618" s="30"/>
    </row>
    <row r="619">
      <c r="A619" s="23">
        <v>2024.0</v>
      </c>
      <c r="B619" s="24" t="s">
        <v>3148</v>
      </c>
      <c r="C619" s="28" t="s">
        <v>3149</v>
      </c>
      <c r="D619" s="26" t="s">
        <v>3038</v>
      </c>
      <c r="E619" s="28" t="s">
        <v>3150</v>
      </c>
      <c r="F619" s="28" t="s">
        <v>3151</v>
      </c>
      <c r="G619" s="28" t="s">
        <v>1348</v>
      </c>
      <c r="H619" s="25" t="s">
        <v>19</v>
      </c>
      <c r="I619" s="29" t="s">
        <v>1193</v>
      </c>
      <c r="J619" s="30"/>
      <c r="K619" s="30"/>
      <c r="L619" s="30"/>
      <c r="M619" s="29" t="s">
        <v>3152</v>
      </c>
      <c r="N619" s="30"/>
      <c r="O619" s="30"/>
      <c r="P619" s="30"/>
      <c r="Q619" s="30"/>
      <c r="R619" s="30"/>
      <c r="S619" s="30"/>
      <c r="T619" s="30"/>
      <c r="U619" s="30"/>
      <c r="V619" s="30"/>
      <c r="W619" s="30"/>
      <c r="X619" s="30"/>
      <c r="Y619" s="30"/>
      <c r="Z619" s="30"/>
    </row>
    <row r="620">
      <c r="A620" s="23">
        <v>2022.0</v>
      </c>
      <c r="B620" s="24" t="s">
        <v>3153</v>
      </c>
      <c r="C620" s="28" t="s">
        <v>3154</v>
      </c>
      <c r="D620" s="26" t="s">
        <v>3155</v>
      </c>
      <c r="E620" s="28" t="s">
        <v>3156</v>
      </c>
      <c r="F620" s="28" t="s">
        <v>3157</v>
      </c>
      <c r="G620" s="28" t="s">
        <v>1348</v>
      </c>
      <c r="H620" s="25" t="s">
        <v>19</v>
      </c>
      <c r="I620" s="29" t="s">
        <v>27</v>
      </c>
      <c r="J620" s="30"/>
      <c r="K620" s="30"/>
      <c r="L620" s="30"/>
      <c r="M620" s="30"/>
      <c r="N620" s="30"/>
      <c r="O620" s="30"/>
      <c r="P620" s="30"/>
      <c r="Q620" s="30"/>
      <c r="R620" s="30"/>
      <c r="S620" s="30"/>
      <c r="T620" s="30"/>
      <c r="U620" s="30"/>
      <c r="V620" s="30"/>
      <c r="W620" s="30"/>
      <c r="X620" s="30"/>
      <c r="Y620" s="30"/>
      <c r="Z620" s="30"/>
    </row>
    <row r="621">
      <c r="A621" s="23">
        <v>2022.0</v>
      </c>
      <c r="B621" s="24" t="s">
        <v>3158</v>
      </c>
      <c r="C621" s="28" t="s">
        <v>3159</v>
      </c>
      <c r="D621" s="26" t="s">
        <v>3160</v>
      </c>
      <c r="E621" s="28" t="s">
        <v>3161</v>
      </c>
      <c r="F621" s="28" t="s">
        <v>3162</v>
      </c>
      <c r="G621" s="28" t="s">
        <v>1348</v>
      </c>
      <c r="H621" s="25" t="s">
        <v>19</v>
      </c>
      <c r="I621" s="29" t="s">
        <v>27</v>
      </c>
      <c r="J621" s="30"/>
      <c r="K621" s="30"/>
      <c r="L621" s="30"/>
      <c r="M621" s="30"/>
      <c r="N621" s="30"/>
      <c r="O621" s="30"/>
      <c r="P621" s="30"/>
      <c r="Q621" s="30"/>
      <c r="R621" s="30"/>
      <c r="S621" s="30"/>
      <c r="T621" s="30"/>
      <c r="U621" s="30"/>
      <c r="V621" s="30"/>
      <c r="W621" s="30"/>
      <c r="X621" s="30"/>
      <c r="Y621" s="30"/>
      <c r="Z621" s="30"/>
    </row>
    <row r="622">
      <c r="A622" s="23">
        <v>2023.0</v>
      </c>
      <c r="B622" s="24" t="s">
        <v>3163</v>
      </c>
      <c r="C622" s="28" t="s">
        <v>3164</v>
      </c>
      <c r="D622" s="26" t="s">
        <v>3165</v>
      </c>
      <c r="E622" s="28" t="s">
        <v>3166</v>
      </c>
      <c r="F622" s="28" t="s">
        <v>3167</v>
      </c>
      <c r="G622" s="28" t="s">
        <v>1348</v>
      </c>
      <c r="H622" s="25" t="s">
        <v>19</v>
      </c>
      <c r="I622" s="29" t="s">
        <v>20</v>
      </c>
      <c r="J622" s="30"/>
      <c r="K622" s="30"/>
      <c r="L622" s="30"/>
      <c r="M622" s="29" t="s">
        <v>3168</v>
      </c>
      <c r="N622" s="30"/>
      <c r="O622" s="30"/>
      <c r="P622" s="30"/>
      <c r="Q622" s="30"/>
      <c r="R622" s="30"/>
      <c r="S622" s="30"/>
      <c r="T622" s="30"/>
      <c r="U622" s="30"/>
      <c r="V622" s="30"/>
      <c r="W622" s="30"/>
      <c r="X622" s="30"/>
      <c r="Y622" s="30"/>
      <c r="Z622" s="30"/>
    </row>
    <row r="623">
      <c r="A623" s="23">
        <v>2023.0</v>
      </c>
      <c r="B623" s="24" t="s">
        <v>3169</v>
      </c>
      <c r="C623" s="28" t="s">
        <v>3170</v>
      </c>
      <c r="D623" s="26" t="s">
        <v>3144</v>
      </c>
      <c r="E623" s="25" t="s">
        <v>3171</v>
      </c>
      <c r="F623" s="28" t="s">
        <v>3172</v>
      </c>
      <c r="G623" s="28" t="s">
        <v>1348</v>
      </c>
      <c r="H623" s="25" t="s">
        <v>19</v>
      </c>
      <c r="I623" s="29" t="s">
        <v>1193</v>
      </c>
      <c r="J623" s="30"/>
      <c r="K623" s="30"/>
      <c r="L623" s="30"/>
      <c r="M623" s="29" t="s">
        <v>3173</v>
      </c>
      <c r="N623" s="30"/>
      <c r="O623" s="30"/>
      <c r="P623" s="30"/>
      <c r="Q623" s="30"/>
      <c r="R623" s="30"/>
      <c r="S623" s="30"/>
      <c r="T623" s="30"/>
      <c r="U623" s="30"/>
      <c r="V623" s="30"/>
      <c r="W623" s="30"/>
      <c r="X623" s="30"/>
      <c r="Y623" s="30"/>
      <c r="Z623" s="30"/>
    </row>
    <row r="624">
      <c r="A624" s="23">
        <v>2025.0</v>
      </c>
      <c r="B624" s="24" t="s">
        <v>3174</v>
      </c>
      <c r="C624" s="28" t="s">
        <v>3175</v>
      </c>
      <c r="D624" s="26" t="s">
        <v>3144</v>
      </c>
      <c r="E624" s="28" t="s">
        <v>3176</v>
      </c>
      <c r="F624" s="28" t="s">
        <v>3177</v>
      </c>
      <c r="G624" s="28" t="s">
        <v>1348</v>
      </c>
      <c r="H624" s="25" t="s">
        <v>19</v>
      </c>
      <c r="I624" s="29" t="s">
        <v>1193</v>
      </c>
      <c r="J624" s="30"/>
      <c r="K624" s="30"/>
      <c r="L624" s="30"/>
      <c r="M624" s="29" t="s">
        <v>3178</v>
      </c>
      <c r="N624" s="30"/>
      <c r="O624" s="30"/>
      <c r="P624" s="30"/>
      <c r="Q624" s="30"/>
      <c r="R624" s="30"/>
      <c r="S624" s="30"/>
      <c r="T624" s="30"/>
      <c r="U624" s="30"/>
      <c r="V624" s="30"/>
      <c r="W624" s="30"/>
      <c r="X624" s="30"/>
      <c r="Y624" s="30"/>
      <c r="Z624" s="30"/>
    </row>
    <row r="625">
      <c r="A625" s="23">
        <v>2017.0</v>
      </c>
      <c r="B625" s="24" t="s">
        <v>3179</v>
      </c>
      <c r="C625" s="28" t="s">
        <v>3180</v>
      </c>
      <c r="D625" s="26" t="s">
        <v>3181</v>
      </c>
      <c r="E625" s="28" t="s">
        <v>3182</v>
      </c>
      <c r="F625" s="28" t="s">
        <v>3183</v>
      </c>
      <c r="G625" s="28" t="s">
        <v>1348</v>
      </c>
      <c r="H625" s="25" t="s">
        <v>19</v>
      </c>
      <c r="I625" s="29" t="s">
        <v>1193</v>
      </c>
      <c r="J625" s="30"/>
      <c r="K625" s="30"/>
      <c r="L625" s="30"/>
      <c r="M625" s="29" t="s">
        <v>3184</v>
      </c>
      <c r="N625" s="30"/>
      <c r="O625" s="30"/>
      <c r="P625" s="30"/>
      <c r="Q625" s="30"/>
      <c r="R625" s="30"/>
      <c r="S625" s="30"/>
      <c r="T625" s="30"/>
      <c r="U625" s="30"/>
      <c r="V625" s="30"/>
      <c r="W625" s="30"/>
      <c r="X625" s="30"/>
      <c r="Y625" s="30"/>
      <c r="Z625" s="30"/>
    </row>
    <row r="626">
      <c r="A626" s="23">
        <v>2024.0</v>
      </c>
      <c r="B626" s="24" t="s">
        <v>3185</v>
      </c>
      <c r="C626" s="28" t="s">
        <v>3186</v>
      </c>
      <c r="D626" s="26" t="s">
        <v>3187</v>
      </c>
      <c r="E626" s="28" t="s">
        <v>3188</v>
      </c>
      <c r="F626" s="28" t="s">
        <v>3189</v>
      </c>
      <c r="G626" s="28" t="s">
        <v>1348</v>
      </c>
      <c r="H626" s="25" t="s">
        <v>19</v>
      </c>
      <c r="I626" s="29" t="s">
        <v>27</v>
      </c>
      <c r="J626" s="30"/>
      <c r="K626" s="30"/>
      <c r="L626" s="30"/>
      <c r="M626" s="30"/>
      <c r="N626" s="30"/>
      <c r="O626" s="30"/>
      <c r="P626" s="30"/>
      <c r="Q626" s="30"/>
      <c r="R626" s="30"/>
      <c r="S626" s="30"/>
      <c r="T626" s="30"/>
      <c r="U626" s="30"/>
      <c r="V626" s="30"/>
      <c r="W626" s="30"/>
      <c r="X626" s="30"/>
      <c r="Y626" s="30"/>
      <c r="Z626" s="30"/>
    </row>
    <row r="627">
      <c r="A627" s="23">
        <v>2025.0</v>
      </c>
      <c r="B627" s="24" t="s">
        <v>3190</v>
      </c>
      <c r="C627" s="28" t="s">
        <v>3191</v>
      </c>
      <c r="D627" s="26" t="s">
        <v>3192</v>
      </c>
      <c r="E627" s="28" t="s">
        <v>3193</v>
      </c>
      <c r="F627" s="28" t="s">
        <v>3194</v>
      </c>
      <c r="G627" s="28" t="s">
        <v>1348</v>
      </c>
      <c r="H627" s="25" t="s">
        <v>19</v>
      </c>
      <c r="I627" s="29" t="s">
        <v>20</v>
      </c>
      <c r="J627" s="30"/>
      <c r="K627" s="30"/>
      <c r="L627" s="30"/>
      <c r="M627" s="29" t="s">
        <v>3195</v>
      </c>
      <c r="N627" s="30"/>
      <c r="O627" s="30"/>
      <c r="P627" s="30"/>
      <c r="Q627" s="30"/>
      <c r="R627" s="30"/>
      <c r="S627" s="30"/>
      <c r="T627" s="30"/>
      <c r="U627" s="30"/>
      <c r="V627" s="30"/>
      <c r="W627" s="30"/>
      <c r="X627" s="30"/>
      <c r="Y627" s="30"/>
      <c r="Z627" s="30"/>
    </row>
    <row r="628">
      <c r="A628" s="23">
        <v>2017.0</v>
      </c>
      <c r="B628" s="24" t="s">
        <v>3196</v>
      </c>
      <c r="C628" s="28" t="s">
        <v>3197</v>
      </c>
      <c r="D628" s="26" t="s">
        <v>3115</v>
      </c>
      <c r="E628" s="28" t="s">
        <v>3198</v>
      </c>
      <c r="F628" s="28" t="s">
        <v>3199</v>
      </c>
      <c r="G628" s="28" t="s">
        <v>1348</v>
      </c>
      <c r="H628" s="25" t="s">
        <v>19</v>
      </c>
      <c r="I628" s="29" t="s">
        <v>27</v>
      </c>
      <c r="J628" s="30"/>
      <c r="K628" s="30"/>
      <c r="L628" s="30"/>
      <c r="M628" s="30"/>
      <c r="N628" s="30"/>
      <c r="O628" s="30"/>
      <c r="P628" s="30"/>
      <c r="Q628" s="30"/>
      <c r="R628" s="30"/>
      <c r="S628" s="30"/>
      <c r="T628" s="30"/>
      <c r="U628" s="30"/>
      <c r="V628" s="30"/>
      <c r="W628" s="30"/>
      <c r="X628" s="30"/>
      <c r="Y628" s="30"/>
      <c r="Z628" s="30"/>
    </row>
    <row r="629">
      <c r="A629" s="23">
        <v>2021.0</v>
      </c>
      <c r="B629" s="24" t="s">
        <v>3200</v>
      </c>
      <c r="C629" s="28" t="s">
        <v>3201</v>
      </c>
      <c r="D629" s="26" t="s">
        <v>3139</v>
      </c>
      <c r="E629" s="28" t="s">
        <v>3202</v>
      </c>
      <c r="F629" s="28" t="s">
        <v>3203</v>
      </c>
      <c r="G629" s="28" t="s">
        <v>1348</v>
      </c>
      <c r="H629" s="25" t="s">
        <v>19</v>
      </c>
      <c r="I629" s="29" t="s">
        <v>27</v>
      </c>
      <c r="J629" s="30"/>
      <c r="K629" s="30"/>
      <c r="L629" s="30"/>
      <c r="M629" s="30"/>
      <c r="N629" s="30"/>
      <c r="O629" s="30"/>
      <c r="P629" s="30"/>
      <c r="Q629" s="30"/>
      <c r="R629" s="30"/>
      <c r="S629" s="30"/>
      <c r="T629" s="30"/>
      <c r="U629" s="30"/>
      <c r="V629" s="30"/>
      <c r="W629" s="30"/>
      <c r="X629" s="30"/>
      <c r="Y629" s="30"/>
      <c r="Z629" s="30"/>
    </row>
    <row r="630">
      <c r="A630" s="23">
        <v>2023.0</v>
      </c>
      <c r="B630" s="24" t="s">
        <v>3204</v>
      </c>
      <c r="C630" s="28" t="s">
        <v>3205</v>
      </c>
      <c r="D630" s="26" t="s">
        <v>3206</v>
      </c>
      <c r="E630" s="28" t="s">
        <v>3207</v>
      </c>
      <c r="F630" s="28" t="s">
        <v>3208</v>
      </c>
      <c r="G630" s="28" t="s">
        <v>1348</v>
      </c>
      <c r="H630" s="25" t="s">
        <v>19</v>
      </c>
      <c r="I630" s="29" t="s">
        <v>27</v>
      </c>
      <c r="J630" s="30"/>
      <c r="K630" s="30"/>
      <c r="L630" s="30"/>
      <c r="M630" s="30"/>
      <c r="N630" s="30"/>
      <c r="O630" s="30"/>
      <c r="P630" s="30"/>
      <c r="Q630" s="30"/>
      <c r="R630" s="30"/>
      <c r="S630" s="30"/>
      <c r="T630" s="30"/>
      <c r="U630" s="30"/>
      <c r="V630" s="30"/>
      <c r="W630" s="30"/>
      <c r="X630" s="30"/>
      <c r="Y630" s="30"/>
      <c r="Z630" s="30"/>
    </row>
    <row r="631">
      <c r="A631" s="23">
        <v>2016.0</v>
      </c>
      <c r="B631" s="24" t="s">
        <v>3209</v>
      </c>
      <c r="C631" s="28" t="s">
        <v>3210</v>
      </c>
      <c r="D631" s="26" t="s">
        <v>3211</v>
      </c>
      <c r="E631" s="28" t="s">
        <v>3212</v>
      </c>
      <c r="F631" s="28" t="s">
        <v>3213</v>
      </c>
      <c r="G631" s="28" t="s">
        <v>1348</v>
      </c>
      <c r="H631" s="25" t="s">
        <v>19</v>
      </c>
      <c r="I631" s="29" t="s">
        <v>1193</v>
      </c>
      <c r="J631" s="30"/>
      <c r="K631" s="30"/>
      <c r="L631" s="30"/>
      <c r="M631" s="29" t="s">
        <v>3214</v>
      </c>
      <c r="N631" s="30"/>
      <c r="O631" s="30"/>
      <c r="P631" s="30"/>
      <c r="Q631" s="30"/>
      <c r="R631" s="30"/>
      <c r="S631" s="30"/>
      <c r="T631" s="30"/>
      <c r="U631" s="30"/>
      <c r="V631" s="30"/>
      <c r="W631" s="30"/>
      <c r="X631" s="30"/>
      <c r="Y631" s="30"/>
      <c r="Z631" s="30"/>
    </row>
    <row r="632">
      <c r="A632" s="23">
        <v>2022.0</v>
      </c>
      <c r="B632" s="24" t="s">
        <v>3215</v>
      </c>
      <c r="C632" s="28" t="s">
        <v>3216</v>
      </c>
      <c r="D632" s="26" t="s">
        <v>3165</v>
      </c>
      <c r="E632" s="28" t="s">
        <v>3217</v>
      </c>
      <c r="F632" s="28" t="s">
        <v>3218</v>
      </c>
      <c r="G632" s="28" t="s">
        <v>1348</v>
      </c>
      <c r="H632" s="25" t="s">
        <v>19</v>
      </c>
      <c r="I632" s="29" t="s">
        <v>20</v>
      </c>
      <c r="J632" s="30"/>
      <c r="K632" s="30"/>
      <c r="L632" s="30"/>
      <c r="M632" s="29" t="s">
        <v>3219</v>
      </c>
      <c r="N632" s="30"/>
      <c r="O632" s="30"/>
      <c r="P632" s="30"/>
      <c r="Q632" s="30"/>
      <c r="R632" s="30"/>
      <c r="S632" s="30"/>
      <c r="T632" s="30"/>
      <c r="U632" s="30"/>
      <c r="V632" s="30"/>
      <c r="W632" s="30"/>
      <c r="X632" s="30"/>
      <c r="Y632" s="30"/>
      <c r="Z632" s="30"/>
    </row>
    <row r="633">
      <c r="A633" s="23">
        <v>2024.0</v>
      </c>
      <c r="B633" s="24" t="s">
        <v>3220</v>
      </c>
      <c r="C633" s="28" t="s">
        <v>3221</v>
      </c>
      <c r="D633" s="26" t="s">
        <v>1784</v>
      </c>
      <c r="E633" s="28" t="s">
        <v>3222</v>
      </c>
      <c r="F633" s="28" t="s">
        <v>3223</v>
      </c>
      <c r="G633" s="28" t="s">
        <v>1348</v>
      </c>
      <c r="H633" s="25" t="s">
        <v>19</v>
      </c>
      <c r="I633" s="29" t="s">
        <v>27</v>
      </c>
      <c r="J633" s="30"/>
      <c r="K633" s="30"/>
      <c r="L633" s="30"/>
      <c r="M633" s="30"/>
      <c r="N633" s="30"/>
      <c r="O633" s="30"/>
      <c r="P633" s="30"/>
      <c r="Q633" s="30"/>
      <c r="R633" s="30"/>
      <c r="S633" s="30"/>
      <c r="T633" s="30"/>
      <c r="U633" s="30"/>
      <c r="V633" s="30"/>
      <c r="W633" s="30"/>
      <c r="X633" s="30"/>
      <c r="Y633" s="30"/>
      <c r="Z633" s="30"/>
    </row>
    <row r="634">
      <c r="A634" s="23">
        <v>2024.0</v>
      </c>
      <c r="B634" s="24" t="s">
        <v>3224</v>
      </c>
      <c r="C634" s="28" t="s">
        <v>3225</v>
      </c>
      <c r="D634" s="26" t="s">
        <v>3165</v>
      </c>
      <c r="E634" s="28" t="s">
        <v>3226</v>
      </c>
      <c r="F634" s="28" t="s">
        <v>3227</v>
      </c>
      <c r="G634" s="28" t="s">
        <v>1348</v>
      </c>
      <c r="H634" s="25" t="s">
        <v>19</v>
      </c>
      <c r="I634" s="29" t="s">
        <v>20</v>
      </c>
      <c r="J634" s="30"/>
      <c r="K634" s="30"/>
      <c r="L634" s="30"/>
      <c r="M634" s="29" t="s">
        <v>3228</v>
      </c>
      <c r="N634" s="30"/>
      <c r="O634" s="30"/>
      <c r="P634" s="30"/>
      <c r="Q634" s="30"/>
      <c r="R634" s="30"/>
      <c r="S634" s="30"/>
      <c r="T634" s="30"/>
      <c r="U634" s="30"/>
      <c r="V634" s="30"/>
      <c r="W634" s="30"/>
      <c r="X634" s="30"/>
      <c r="Y634" s="30"/>
      <c r="Z634" s="30"/>
    </row>
    <row r="635">
      <c r="A635" s="23">
        <v>2018.0</v>
      </c>
      <c r="B635" s="24" t="s">
        <v>3229</v>
      </c>
      <c r="C635" s="28" t="s">
        <v>3230</v>
      </c>
      <c r="D635" s="26" t="s">
        <v>3231</v>
      </c>
      <c r="E635" s="28" t="s">
        <v>3232</v>
      </c>
      <c r="F635" s="28" t="s">
        <v>3233</v>
      </c>
      <c r="G635" s="28" t="s">
        <v>1348</v>
      </c>
      <c r="H635" s="25" t="s">
        <v>19</v>
      </c>
      <c r="I635" s="29" t="s">
        <v>20</v>
      </c>
      <c r="J635" s="30"/>
      <c r="K635" s="30"/>
      <c r="L635" s="30"/>
      <c r="M635" s="29" t="s">
        <v>3234</v>
      </c>
      <c r="N635" s="30"/>
      <c r="O635" s="30"/>
      <c r="P635" s="30"/>
      <c r="Q635" s="30"/>
      <c r="R635" s="30"/>
      <c r="S635" s="30"/>
      <c r="T635" s="30"/>
      <c r="U635" s="30"/>
      <c r="V635" s="30"/>
      <c r="W635" s="30"/>
      <c r="X635" s="30"/>
      <c r="Y635" s="30"/>
      <c r="Z635" s="30"/>
    </row>
    <row r="636">
      <c r="A636" s="23">
        <v>2024.0</v>
      </c>
      <c r="B636" s="24" t="s">
        <v>3235</v>
      </c>
      <c r="C636" s="28" t="s">
        <v>3236</v>
      </c>
      <c r="D636" s="26" t="s">
        <v>3237</v>
      </c>
      <c r="E636" s="28" t="s">
        <v>3238</v>
      </c>
      <c r="F636" s="28" t="s">
        <v>3239</v>
      </c>
      <c r="G636" s="28" t="s">
        <v>1348</v>
      </c>
      <c r="H636" s="25" t="s">
        <v>19</v>
      </c>
      <c r="I636" s="29" t="s">
        <v>20</v>
      </c>
      <c r="J636" s="30"/>
      <c r="K636" s="30"/>
      <c r="L636" s="30"/>
      <c r="M636" s="29" t="s">
        <v>3240</v>
      </c>
      <c r="N636" s="30"/>
      <c r="O636" s="30"/>
      <c r="P636" s="30"/>
      <c r="Q636" s="30"/>
      <c r="R636" s="30"/>
      <c r="S636" s="30"/>
      <c r="T636" s="30"/>
      <c r="U636" s="30"/>
      <c r="V636" s="30"/>
      <c r="W636" s="30"/>
      <c r="X636" s="30"/>
      <c r="Y636" s="30"/>
      <c r="Z636" s="30"/>
    </row>
    <row r="637">
      <c r="A637" s="23">
        <v>2025.0</v>
      </c>
      <c r="B637" s="24" t="s">
        <v>3241</v>
      </c>
      <c r="C637" s="28" t="s">
        <v>3242</v>
      </c>
      <c r="D637" s="26" t="s">
        <v>3243</v>
      </c>
      <c r="E637" s="28" t="s">
        <v>3244</v>
      </c>
      <c r="F637" s="28" t="s">
        <v>3245</v>
      </c>
      <c r="G637" s="28" t="s">
        <v>1348</v>
      </c>
      <c r="H637" s="25" t="s">
        <v>19</v>
      </c>
      <c r="I637" s="29" t="s">
        <v>20</v>
      </c>
      <c r="J637" s="30"/>
      <c r="K637" s="30"/>
      <c r="L637" s="30"/>
      <c r="M637" s="29" t="s">
        <v>3246</v>
      </c>
      <c r="N637" s="30"/>
      <c r="O637" s="30"/>
      <c r="P637" s="30"/>
      <c r="Q637" s="30"/>
      <c r="R637" s="30"/>
      <c r="S637" s="30"/>
      <c r="T637" s="30"/>
      <c r="U637" s="30"/>
      <c r="V637" s="30"/>
      <c r="W637" s="30"/>
      <c r="X637" s="30"/>
      <c r="Y637" s="30"/>
      <c r="Z637" s="30"/>
    </row>
    <row r="638">
      <c r="A638" s="23">
        <v>2024.0</v>
      </c>
      <c r="B638" s="24" t="s">
        <v>3247</v>
      </c>
      <c r="C638" s="25" t="s">
        <v>3248</v>
      </c>
      <c r="D638" s="26" t="s">
        <v>112</v>
      </c>
      <c r="E638" s="28" t="s">
        <v>3249</v>
      </c>
      <c r="F638" s="27"/>
      <c r="G638" s="28" t="s">
        <v>1348</v>
      </c>
      <c r="H638" s="25" t="s">
        <v>19</v>
      </c>
      <c r="I638" s="29" t="s">
        <v>27</v>
      </c>
      <c r="J638" s="30"/>
      <c r="K638" s="30"/>
      <c r="L638" s="30"/>
      <c r="M638" s="30"/>
      <c r="N638" s="30"/>
      <c r="O638" s="30"/>
      <c r="P638" s="30"/>
      <c r="Q638" s="30"/>
      <c r="R638" s="30"/>
      <c r="S638" s="30"/>
      <c r="T638" s="30"/>
      <c r="U638" s="30"/>
      <c r="V638" s="30"/>
      <c r="W638" s="30"/>
      <c r="X638" s="30"/>
      <c r="Y638" s="30"/>
      <c r="Z638" s="30"/>
    </row>
    <row r="639">
      <c r="A639" s="23">
        <v>2024.0</v>
      </c>
      <c r="B639" s="24" t="s">
        <v>3250</v>
      </c>
      <c r="C639" s="25" t="s">
        <v>3251</v>
      </c>
      <c r="D639" s="26" t="s">
        <v>272</v>
      </c>
      <c r="E639" s="27"/>
      <c r="F639" s="27"/>
      <c r="G639" s="28" t="s">
        <v>1348</v>
      </c>
      <c r="H639" s="25" t="s">
        <v>19</v>
      </c>
      <c r="I639" s="29" t="s">
        <v>27</v>
      </c>
      <c r="J639" s="30"/>
      <c r="K639" s="30"/>
      <c r="L639" s="30"/>
      <c r="M639" s="30"/>
      <c r="N639" s="30"/>
      <c r="O639" s="30"/>
      <c r="P639" s="30"/>
      <c r="Q639" s="30"/>
      <c r="R639" s="30"/>
      <c r="S639" s="30"/>
      <c r="T639" s="30"/>
      <c r="U639" s="30"/>
      <c r="V639" s="30"/>
      <c r="W639" s="30"/>
      <c r="X639" s="30"/>
      <c r="Y639" s="30"/>
      <c r="Z639" s="30"/>
    </row>
    <row r="640">
      <c r="A640" s="23">
        <v>2024.0</v>
      </c>
      <c r="B640" s="24" t="s">
        <v>3252</v>
      </c>
      <c r="C640" s="28" t="s">
        <v>3253</v>
      </c>
      <c r="D640" s="26" t="s">
        <v>3254</v>
      </c>
      <c r="E640" s="28" t="s">
        <v>3255</v>
      </c>
      <c r="F640" s="28" t="s">
        <v>3256</v>
      </c>
      <c r="G640" s="28" t="s">
        <v>1348</v>
      </c>
      <c r="H640" s="25" t="s">
        <v>19</v>
      </c>
      <c r="I640" s="29" t="s">
        <v>27</v>
      </c>
      <c r="J640" s="30"/>
      <c r="K640" s="30"/>
      <c r="L640" s="30"/>
      <c r="M640" s="29" t="s">
        <v>3257</v>
      </c>
      <c r="N640" s="30"/>
      <c r="O640" s="30"/>
      <c r="P640" s="30"/>
      <c r="Q640" s="30"/>
      <c r="R640" s="30"/>
      <c r="S640" s="30"/>
      <c r="T640" s="30"/>
      <c r="U640" s="30"/>
      <c r="V640" s="30"/>
      <c r="W640" s="30"/>
      <c r="X640" s="30"/>
      <c r="Y640" s="30"/>
      <c r="Z640" s="30"/>
    </row>
    <row r="641">
      <c r="A641" s="23">
        <v>2016.0</v>
      </c>
      <c r="B641" s="24" t="s">
        <v>3258</v>
      </c>
      <c r="C641" s="28" t="s">
        <v>3259</v>
      </c>
      <c r="D641" s="26" t="s">
        <v>1452</v>
      </c>
      <c r="E641" s="28" t="s">
        <v>3260</v>
      </c>
      <c r="F641" s="28" t="s">
        <v>3261</v>
      </c>
      <c r="G641" s="28" t="s">
        <v>1348</v>
      </c>
      <c r="H641" s="25" t="s">
        <v>19</v>
      </c>
      <c r="I641" s="29" t="s">
        <v>27</v>
      </c>
      <c r="J641" s="30"/>
      <c r="K641" s="30"/>
      <c r="L641" s="30"/>
      <c r="M641" s="29" t="s">
        <v>3262</v>
      </c>
      <c r="N641" s="30"/>
      <c r="O641" s="30"/>
      <c r="P641" s="30"/>
      <c r="Q641" s="30"/>
      <c r="R641" s="30"/>
      <c r="S641" s="30"/>
      <c r="T641" s="30"/>
      <c r="U641" s="30"/>
      <c r="V641" s="30"/>
      <c r="W641" s="30"/>
      <c r="X641" s="30"/>
      <c r="Y641" s="30"/>
      <c r="Z641" s="30"/>
    </row>
    <row r="642">
      <c r="A642" s="23">
        <v>2025.0</v>
      </c>
      <c r="B642" s="24" t="s">
        <v>3263</v>
      </c>
      <c r="C642" s="28" t="s">
        <v>3264</v>
      </c>
      <c r="D642" s="26" t="s">
        <v>3265</v>
      </c>
      <c r="E642" s="25" t="s">
        <v>3266</v>
      </c>
      <c r="F642" s="28" t="s">
        <v>3267</v>
      </c>
      <c r="G642" s="28" t="s">
        <v>1348</v>
      </c>
      <c r="H642" s="25" t="s">
        <v>19</v>
      </c>
      <c r="I642" s="29" t="s">
        <v>20</v>
      </c>
      <c r="J642" s="30"/>
      <c r="K642" s="30"/>
      <c r="L642" s="30"/>
      <c r="M642" s="29" t="s">
        <v>3268</v>
      </c>
      <c r="N642" s="30"/>
      <c r="O642" s="30"/>
      <c r="P642" s="30"/>
      <c r="Q642" s="30"/>
      <c r="R642" s="30"/>
      <c r="S642" s="30"/>
      <c r="T642" s="30"/>
      <c r="U642" s="30"/>
      <c r="V642" s="30"/>
      <c r="W642" s="30"/>
      <c r="X642" s="30"/>
      <c r="Y642" s="30"/>
      <c r="Z642" s="30"/>
    </row>
    <row r="643">
      <c r="B643" s="39"/>
      <c r="H643" s="40"/>
      <c r="I643" s="40"/>
      <c r="J643" s="40"/>
      <c r="K643" s="40"/>
      <c r="L643" s="40"/>
    </row>
    <row r="644">
      <c r="B644" s="39"/>
      <c r="H644" s="40"/>
      <c r="I644" s="40"/>
      <c r="J644" s="40"/>
      <c r="K644" s="40"/>
      <c r="L644" s="40"/>
    </row>
    <row r="645">
      <c r="B645" s="39"/>
      <c r="H645" s="40"/>
      <c r="I645" s="40"/>
      <c r="J645" s="40"/>
      <c r="K645" s="40"/>
      <c r="L645" s="40"/>
    </row>
    <row r="646">
      <c r="B646" s="39"/>
      <c r="H646" s="40"/>
      <c r="I646" s="40"/>
      <c r="J646" s="40"/>
      <c r="K646" s="40"/>
      <c r="L646" s="40"/>
    </row>
    <row r="647">
      <c r="B647" s="39"/>
      <c r="H647" s="40"/>
      <c r="I647" s="40"/>
      <c r="J647" s="40"/>
      <c r="K647" s="40"/>
      <c r="L647" s="40"/>
    </row>
    <row r="648">
      <c r="B648" s="39"/>
      <c r="H648" s="40"/>
      <c r="I648" s="40"/>
      <c r="J648" s="40"/>
      <c r="K648" s="40"/>
      <c r="L648" s="40"/>
    </row>
    <row r="649">
      <c r="B649" s="39"/>
      <c r="H649" s="40"/>
      <c r="I649" s="40"/>
      <c r="J649" s="40"/>
      <c r="K649" s="40"/>
      <c r="L649" s="40"/>
    </row>
    <row r="650">
      <c r="B650" s="39"/>
      <c r="H650" s="40"/>
      <c r="I650" s="40"/>
      <c r="J650" s="40"/>
      <c r="K650" s="40"/>
      <c r="L650" s="40"/>
    </row>
    <row r="651">
      <c r="B651" s="39"/>
      <c r="H651" s="40"/>
      <c r="I651" s="40"/>
      <c r="J651" s="40"/>
      <c r="K651" s="40"/>
      <c r="L651" s="40"/>
    </row>
    <row r="652">
      <c r="A652" s="41" t="s">
        <v>3269</v>
      </c>
      <c r="B652" s="42">
        <f>COUNTIF(I2:I642, "Yes")</f>
        <v>123</v>
      </c>
      <c r="H652" s="40"/>
      <c r="I652" s="40"/>
      <c r="J652" s="40"/>
      <c r="K652" s="40"/>
      <c r="L652" s="40"/>
    </row>
    <row r="653">
      <c r="A653" s="43" t="s">
        <v>3270</v>
      </c>
      <c r="B653" s="39">
        <f>COUNTIF(I3:I643, "No")</f>
        <v>474</v>
      </c>
      <c r="H653" s="40"/>
      <c r="I653" s="40"/>
      <c r="J653" s="40"/>
      <c r="K653" s="40"/>
      <c r="L653" s="40"/>
    </row>
    <row r="654">
      <c r="A654" s="43" t="s">
        <v>3271</v>
      </c>
      <c r="B654" s="39">
        <f>sum(B652:B653)</f>
        <v>597</v>
      </c>
      <c r="H654" s="40"/>
      <c r="I654" s="40"/>
      <c r="J654" s="40"/>
      <c r="K654" s="40"/>
      <c r="L654" s="40"/>
    </row>
    <row r="655">
      <c r="B655" s="39"/>
      <c r="H655" s="40"/>
      <c r="I655" s="40"/>
      <c r="J655" s="40"/>
      <c r="K655" s="40"/>
      <c r="L655" s="40"/>
    </row>
    <row r="656">
      <c r="B656" s="39"/>
      <c r="H656" s="40"/>
      <c r="I656" s="40"/>
      <c r="J656" s="40"/>
      <c r="K656" s="40"/>
      <c r="L656" s="40"/>
    </row>
    <row r="657">
      <c r="B657" s="39"/>
      <c r="H657" s="40"/>
      <c r="I657" s="40"/>
      <c r="J657" s="40"/>
      <c r="K657" s="40"/>
      <c r="L657" s="40"/>
    </row>
    <row r="658">
      <c r="B658" s="39"/>
      <c r="H658" s="40"/>
      <c r="I658" s="40"/>
      <c r="J658" s="40"/>
      <c r="K658" s="40"/>
      <c r="L658" s="40"/>
    </row>
    <row r="659">
      <c r="B659" s="39"/>
      <c r="H659" s="40"/>
      <c r="I659" s="40"/>
      <c r="J659" s="40"/>
      <c r="K659" s="40"/>
      <c r="L659" s="40"/>
    </row>
    <row r="660">
      <c r="B660" s="39"/>
      <c r="H660" s="40"/>
      <c r="I660" s="40"/>
      <c r="J660" s="40"/>
      <c r="K660" s="40"/>
      <c r="L660" s="40"/>
    </row>
    <row r="661">
      <c r="B661" s="39"/>
      <c r="H661" s="40"/>
      <c r="I661" s="40"/>
      <c r="J661" s="40"/>
      <c r="K661" s="40"/>
      <c r="L661" s="40"/>
    </row>
    <row r="662">
      <c r="B662" s="39"/>
      <c r="H662" s="40"/>
      <c r="I662" s="40"/>
      <c r="J662" s="40"/>
      <c r="K662" s="40"/>
      <c r="L662" s="40"/>
    </row>
    <row r="663">
      <c r="B663" s="39"/>
      <c r="H663" s="40"/>
      <c r="I663" s="40"/>
      <c r="J663" s="40"/>
      <c r="K663" s="40"/>
      <c r="L663" s="40"/>
    </row>
    <row r="664">
      <c r="B664" s="39"/>
      <c r="H664" s="40"/>
      <c r="I664" s="40"/>
      <c r="J664" s="40"/>
      <c r="K664" s="40"/>
      <c r="L664" s="40"/>
    </row>
    <row r="665">
      <c r="B665" s="39"/>
      <c r="H665" s="40"/>
      <c r="I665" s="40"/>
      <c r="J665" s="40"/>
      <c r="K665" s="40"/>
      <c r="L665" s="40"/>
    </row>
    <row r="666">
      <c r="B666" s="39"/>
      <c r="H666" s="40"/>
      <c r="I666" s="40"/>
      <c r="J666" s="40"/>
      <c r="K666" s="40"/>
      <c r="L666" s="40"/>
    </row>
    <row r="667">
      <c r="B667" s="39"/>
      <c r="H667" s="40"/>
      <c r="I667" s="40"/>
      <c r="J667" s="40"/>
      <c r="K667" s="40"/>
      <c r="L667" s="40"/>
    </row>
    <row r="668">
      <c r="B668" s="39"/>
      <c r="H668" s="40"/>
      <c r="I668" s="40"/>
      <c r="J668" s="40"/>
      <c r="K668" s="40"/>
      <c r="L668" s="40"/>
    </row>
    <row r="669">
      <c r="B669" s="39"/>
      <c r="H669" s="40"/>
      <c r="I669" s="40"/>
      <c r="J669" s="40"/>
      <c r="K669" s="40"/>
      <c r="L669" s="40"/>
    </row>
    <row r="670">
      <c r="B670" s="39"/>
      <c r="H670" s="40"/>
      <c r="I670" s="40"/>
      <c r="J670" s="40"/>
      <c r="K670" s="40"/>
      <c r="L670" s="40"/>
    </row>
    <row r="671">
      <c r="B671" s="39"/>
      <c r="H671" s="40"/>
      <c r="I671" s="40"/>
      <c r="J671" s="40"/>
      <c r="K671" s="40"/>
      <c r="L671" s="40"/>
    </row>
    <row r="672">
      <c r="B672" s="39"/>
      <c r="H672" s="40"/>
      <c r="I672" s="40"/>
      <c r="J672" s="40"/>
      <c r="K672" s="40"/>
      <c r="L672" s="40"/>
    </row>
    <row r="673">
      <c r="B673" s="39"/>
      <c r="H673" s="40"/>
      <c r="I673" s="40"/>
      <c r="J673" s="40"/>
      <c r="K673" s="40"/>
      <c r="L673" s="40"/>
    </row>
    <row r="674">
      <c r="B674" s="39"/>
      <c r="H674" s="40"/>
      <c r="I674" s="40"/>
      <c r="J674" s="40"/>
      <c r="K674" s="40"/>
      <c r="L674" s="40"/>
    </row>
    <row r="675">
      <c r="B675" s="39"/>
      <c r="H675" s="40"/>
      <c r="I675" s="40"/>
      <c r="J675" s="40"/>
      <c r="K675" s="40"/>
      <c r="L675" s="40"/>
    </row>
    <row r="676">
      <c r="B676" s="39"/>
      <c r="H676" s="40"/>
      <c r="I676" s="40"/>
      <c r="J676" s="40"/>
      <c r="K676" s="40"/>
      <c r="L676" s="40"/>
    </row>
    <row r="677">
      <c r="B677" s="39"/>
      <c r="H677" s="40"/>
      <c r="I677" s="40"/>
      <c r="J677" s="40"/>
      <c r="K677" s="40"/>
      <c r="L677" s="40"/>
    </row>
    <row r="678">
      <c r="B678" s="39"/>
      <c r="H678" s="40"/>
      <c r="I678" s="40"/>
      <c r="J678" s="40"/>
      <c r="K678" s="40"/>
      <c r="L678" s="40"/>
    </row>
    <row r="679">
      <c r="B679" s="39"/>
      <c r="H679" s="40"/>
      <c r="I679" s="40"/>
      <c r="J679" s="40"/>
      <c r="K679" s="40"/>
      <c r="L679" s="40"/>
    </row>
    <row r="680">
      <c r="B680" s="39"/>
      <c r="H680" s="40"/>
      <c r="I680" s="40"/>
      <c r="J680" s="40"/>
      <c r="K680" s="40"/>
      <c r="L680" s="40"/>
    </row>
    <row r="681">
      <c r="B681" s="39"/>
      <c r="H681" s="40"/>
      <c r="I681" s="40"/>
      <c r="J681" s="40"/>
      <c r="K681" s="40"/>
      <c r="L681" s="40"/>
    </row>
    <row r="682">
      <c r="B682" s="39"/>
      <c r="H682" s="40"/>
      <c r="I682" s="40"/>
      <c r="J682" s="40"/>
      <c r="K682" s="40"/>
      <c r="L682" s="40"/>
    </row>
    <row r="683">
      <c r="B683" s="39"/>
      <c r="H683" s="40"/>
      <c r="I683" s="40"/>
      <c r="J683" s="40"/>
      <c r="K683" s="40"/>
      <c r="L683" s="40"/>
    </row>
    <row r="684">
      <c r="B684" s="39"/>
      <c r="H684" s="40"/>
      <c r="I684" s="40"/>
      <c r="J684" s="40"/>
      <c r="K684" s="40"/>
      <c r="L684" s="40"/>
    </row>
    <row r="685">
      <c r="B685" s="39"/>
      <c r="H685" s="40"/>
      <c r="I685" s="40"/>
      <c r="J685" s="40"/>
      <c r="K685" s="40"/>
      <c r="L685" s="40"/>
    </row>
    <row r="686">
      <c r="B686" s="39"/>
      <c r="H686" s="40"/>
      <c r="I686" s="40"/>
      <c r="J686" s="40"/>
      <c r="K686" s="40"/>
      <c r="L686" s="40"/>
    </row>
    <row r="687">
      <c r="B687" s="39"/>
      <c r="H687" s="40"/>
      <c r="I687" s="40"/>
      <c r="J687" s="40"/>
      <c r="K687" s="40"/>
      <c r="L687" s="40"/>
    </row>
    <row r="688">
      <c r="B688" s="39"/>
      <c r="H688" s="40"/>
      <c r="I688" s="40"/>
      <c r="J688" s="40"/>
      <c r="K688" s="40"/>
      <c r="L688" s="40"/>
    </row>
    <row r="689">
      <c r="B689" s="39"/>
      <c r="H689" s="40"/>
      <c r="I689" s="40"/>
      <c r="J689" s="40"/>
      <c r="K689" s="40"/>
      <c r="L689" s="40"/>
    </row>
    <row r="690">
      <c r="B690" s="39"/>
      <c r="H690" s="40"/>
      <c r="I690" s="40"/>
      <c r="J690" s="40"/>
      <c r="K690" s="40"/>
      <c r="L690" s="40"/>
    </row>
    <row r="691">
      <c r="B691" s="39"/>
      <c r="H691" s="40"/>
      <c r="I691" s="40"/>
      <c r="J691" s="40"/>
      <c r="K691" s="40"/>
      <c r="L691" s="40"/>
    </row>
    <row r="692">
      <c r="B692" s="39"/>
      <c r="H692" s="40"/>
      <c r="I692" s="40"/>
      <c r="J692" s="40"/>
      <c r="K692" s="40"/>
      <c r="L692" s="40"/>
    </row>
    <row r="693">
      <c r="B693" s="39"/>
      <c r="H693" s="40"/>
      <c r="I693" s="40"/>
      <c r="J693" s="40"/>
      <c r="K693" s="40"/>
      <c r="L693" s="40"/>
    </row>
    <row r="694">
      <c r="B694" s="39"/>
      <c r="H694" s="40"/>
      <c r="I694" s="40"/>
      <c r="J694" s="40"/>
      <c r="K694" s="40"/>
      <c r="L694" s="40"/>
    </row>
    <row r="695">
      <c r="B695" s="39"/>
      <c r="H695" s="40"/>
      <c r="I695" s="40"/>
      <c r="J695" s="40"/>
      <c r="K695" s="40"/>
      <c r="L695" s="40"/>
    </row>
    <row r="696">
      <c r="B696" s="39"/>
      <c r="H696" s="40"/>
      <c r="I696" s="40"/>
      <c r="J696" s="40"/>
      <c r="K696" s="40"/>
      <c r="L696" s="40"/>
    </row>
    <row r="697">
      <c r="B697" s="39"/>
      <c r="H697" s="40"/>
      <c r="I697" s="40"/>
      <c r="J697" s="40"/>
      <c r="K697" s="40"/>
      <c r="L697" s="40"/>
    </row>
    <row r="698">
      <c r="B698" s="39"/>
      <c r="H698" s="40"/>
      <c r="I698" s="40"/>
      <c r="J698" s="40"/>
      <c r="K698" s="40"/>
      <c r="L698" s="40"/>
    </row>
    <row r="699">
      <c r="B699" s="39"/>
      <c r="H699" s="40"/>
      <c r="I699" s="40"/>
      <c r="J699" s="40"/>
      <c r="K699" s="40"/>
      <c r="L699" s="40"/>
    </row>
    <row r="700">
      <c r="B700" s="39"/>
      <c r="H700" s="40"/>
      <c r="I700" s="40"/>
      <c r="J700" s="40"/>
      <c r="K700" s="40"/>
      <c r="L700" s="40"/>
    </row>
    <row r="701">
      <c r="B701" s="39"/>
      <c r="H701" s="40"/>
      <c r="I701" s="40"/>
      <c r="J701" s="40"/>
      <c r="K701" s="40"/>
      <c r="L701" s="40"/>
    </row>
    <row r="702">
      <c r="B702" s="39"/>
      <c r="H702" s="40"/>
      <c r="I702" s="40"/>
      <c r="J702" s="40"/>
      <c r="K702" s="40"/>
      <c r="L702" s="40"/>
    </row>
    <row r="703">
      <c r="B703" s="39"/>
      <c r="H703" s="40"/>
      <c r="I703" s="40"/>
      <c r="J703" s="40"/>
      <c r="K703" s="40"/>
      <c r="L703" s="40"/>
    </row>
    <row r="704">
      <c r="B704" s="39"/>
      <c r="H704" s="40"/>
      <c r="I704" s="40"/>
      <c r="J704" s="40"/>
      <c r="K704" s="40"/>
      <c r="L704" s="40"/>
    </row>
    <row r="705">
      <c r="B705" s="39"/>
      <c r="H705" s="40"/>
      <c r="I705" s="40"/>
      <c r="J705" s="40"/>
      <c r="K705" s="40"/>
      <c r="L705" s="40"/>
    </row>
    <row r="706">
      <c r="B706" s="39"/>
      <c r="H706" s="40"/>
      <c r="I706" s="40"/>
      <c r="J706" s="40"/>
      <c r="K706" s="40"/>
      <c r="L706" s="40"/>
    </row>
    <row r="707">
      <c r="B707" s="39"/>
      <c r="H707" s="40"/>
      <c r="I707" s="40"/>
      <c r="J707" s="40"/>
      <c r="K707" s="40"/>
      <c r="L707" s="40"/>
    </row>
    <row r="708">
      <c r="B708" s="39"/>
      <c r="H708" s="40"/>
      <c r="I708" s="40"/>
      <c r="J708" s="40"/>
      <c r="K708" s="40"/>
      <c r="L708" s="40"/>
    </row>
    <row r="709">
      <c r="B709" s="39"/>
      <c r="H709" s="40"/>
      <c r="I709" s="40"/>
      <c r="J709" s="40"/>
      <c r="K709" s="40"/>
      <c r="L709" s="40"/>
    </row>
    <row r="710">
      <c r="B710" s="39"/>
      <c r="H710" s="40"/>
      <c r="I710" s="40"/>
      <c r="J710" s="40"/>
      <c r="K710" s="40"/>
      <c r="L710" s="40"/>
    </row>
    <row r="711">
      <c r="B711" s="39"/>
      <c r="H711" s="40"/>
      <c r="I711" s="40"/>
      <c r="J711" s="40"/>
      <c r="K711" s="40"/>
      <c r="L711" s="40"/>
    </row>
    <row r="712">
      <c r="B712" s="39"/>
      <c r="H712" s="40"/>
      <c r="I712" s="40"/>
      <c r="J712" s="40"/>
      <c r="K712" s="40"/>
      <c r="L712" s="40"/>
    </row>
    <row r="713">
      <c r="B713" s="39"/>
      <c r="H713" s="40"/>
      <c r="I713" s="40"/>
      <c r="J713" s="40"/>
      <c r="K713" s="40"/>
      <c r="L713" s="40"/>
    </row>
    <row r="714">
      <c r="B714" s="39"/>
      <c r="H714" s="40"/>
      <c r="I714" s="40"/>
      <c r="J714" s="40"/>
      <c r="K714" s="40"/>
      <c r="L714" s="40"/>
    </row>
    <row r="715">
      <c r="B715" s="39"/>
      <c r="H715" s="40"/>
      <c r="I715" s="40"/>
      <c r="J715" s="40"/>
      <c r="K715" s="40"/>
      <c r="L715" s="40"/>
    </row>
    <row r="716">
      <c r="B716" s="39"/>
      <c r="H716" s="40"/>
      <c r="I716" s="40"/>
      <c r="J716" s="40"/>
      <c r="K716" s="40"/>
      <c r="L716" s="40"/>
    </row>
    <row r="717">
      <c r="B717" s="39"/>
      <c r="H717" s="40"/>
      <c r="I717" s="40"/>
      <c r="J717" s="40"/>
      <c r="K717" s="40"/>
      <c r="L717" s="40"/>
    </row>
    <row r="718">
      <c r="B718" s="39"/>
      <c r="H718" s="40"/>
      <c r="I718" s="40"/>
      <c r="J718" s="40"/>
      <c r="K718" s="40"/>
      <c r="L718" s="40"/>
    </row>
    <row r="719">
      <c r="B719" s="39"/>
      <c r="H719" s="40"/>
      <c r="I719" s="40"/>
      <c r="J719" s="40"/>
      <c r="K719" s="40"/>
      <c r="L719" s="40"/>
    </row>
    <row r="720">
      <c r="B720" s="39"/>
      <c r="H720" s="40"/>
      <c r="I720" s="40"/>
      <c r="J720" s="40"/>
      <c r="K720" s="40"/>
      <c r="L720" s="40"/>
    </row>
    <row r="721">
      <c r="B721" s="39"/>
      <c r="H721" s="40"/>
      <c r="I721" s="40"/>
      <c r="J721" s="40"/>
      <c r="K721" s="40"/>
      <c r="L721" s="40"/>
    </row>
    <row r="722">
      <c r="B722" s="39"/>
      <c r="H722" s="40"/>
      <c r="I722" s="40"/>
      <c r="J722" s="40"/>
      <c r="K722" s="40"/>
      <c r="L722" s="40"/>
    </row>
    <row r="723">
      <c r="B723" s="39"/>
      <c r="H723" s="40"/>
      <c r="I723" s="40"/>
      <c r="J723" s="40"/>
      <c r="K723" s="40"/>
      <c r="L723" s="40"/>
    </row>
    <row r="724">
      <c r="B724" s="39"/>
      <c r="H724" s="40"/>
      <c r="I724" s="40"/>
      <c r="J724" s="40"/>
      <c r="K724" s="40"/>
      <c r="L724" s="40"/>
    </row>
    <row r="725">
      <c r="B725" s="39"/>
      <c r="H725" s="40"/>
      <c r="I725" s="40"/>
      <c r="J725" s="40"/>
      <c r="K725" s="40"/>
      <c r="L725" s="40"/>
    </row>
    <row r="726">
      <c r="B726" s="39"/>
      <c r="H726" s="40"/>
      <c r="I726" s="40"/>
      <c r="J726" s="40"/>
      <c r="K726" s="40"/>
      <c r="L726" s="40"/>
    </row>
    <row r="727">
      <c r="B727" s="39"/>
      <c r="H727" s="40"/>
      <c r="I727" s="40"/>
      <c r="J727" s="40"/>
      <c r="K727" s="40"/>
      <c r="L727" s="40"/>
    </row>
    <row r="728">
      <c r="B728" s="39"/>
      <c r="H728" s="40"/>
      <c r="I728" s="40"/>
      <c r="J728" s="40"/>
      <c r="K728" s="40"/>
      <c r="L728" s="40"/>
    </row>
    <row r="729">
      <c r="B729" s="39"/>
      <c r="H729" s="40"/>
      <c r="I729" s="40"/>
      <c r="J729" s="40"/>
      <c r="K729" s="40"/>
      <c r="L729" s="40"/>
    </row>
    <row r="730">
      <c r="B730" s="39"/>
      <c r="H730" s="40"/>
      <c r="I730" s="40"/>
      <c r="J730" s="40"/>
      <c r="K730" s="40"/>
      <c r="L730" s="40"/>
    </row>
    <row r="731">
      <c r="B731" s="39"/>
      <c r="H731" s="40"/>
      <c r="I731" s="40"/>
      <c r="J731" s="40"/>
      <c r="K731" s="40"/>
      <c r="L731" s="40"/>
    </row>
    <row r="732">
      <c r="B732" s="39"/>
      <c r="H732" s="40"/>
      <c r="I732" s="40"/>
      <c r="J732" s="40"/>
      <c r="K732" s="40"/>
      <c r="L732" s="40"/>
    </row>
    <row r="733">
      <c r="B733" s="39"/>
      <c r="H733" s="40"/>
      <c r="I733" s="40"/>
      <c r="J733" s="40"/>
      <c r="K733" s="40"/>
      <c r="L733" s="40"/>
    </row>
    <row r="734">
      <c r="B734" s="39"/>
      <c r="H734" s="40"/>
      <c r="I734" s="40"/>
      <c r="J734" s="40"/>
      <c r="K734" s="40"/>
      <c r="L734" s="40"/>
    </row>
    <row r="735">
      <c r="B735" s="39"/>
      <c r="H735" s="40"/>
      <c r="I735" s="40"/>
      <c r="J735" s="40"/>
      <c r="K735" s="40"/>
      <c r="L735" s="40"/>
    </row>
    <row r="736">
      <c r="B736" s="39"/>
      <c r="H736" s="40"/>
      <c r="I736" s="40"/>
      <c r="J736" s="40"/>
      <c r="K736" s="40"/>
      <c r="L736" s="40"/>
    </row>
    <row r="737">
      <c r="B737" s="39"/>
      <c r="H737" s="40"/>
      <c r="I737" s="40"/>
      <c r="J737" s="40"/>
      <c r="K737" s="40"/>
      <c r="L737" s="40"/>
    </row>
    <row r="738">
      <c r="B738" s="39"/>
      <c r="H738" s="40"/>
      <c r="I738" s="40"/>
      <c r="J738" s="40"/>
      <c r="K738" s="40"/>
      <c r="L738" s="40"/>
    </row>
    <row r="739">
      <c r="B739" s="39"/>
      <c r="H739" s="40"/>
      <c r="I739" s="40"/>
      <c r="J739" s="40"/>
      <c r="K739" s="40"/>
      <c r="L739" s="40"/>
    </row>
    <row r="740">
      <c r="B740" s="39"/>
      <c r="H740" s="40"/>
      <c r="I740" s="40"/>
      <c r="J740" s="40"/>
      <c r="K740" s="40"/>
      <c r="L740" s="40"/>
    </row>
    <row r="741">
      <c r="B741" s="39"/>
      <c r="H741" s="40"/>
      <c r="I741" s="40"/>
      <c r="J741" s="40"/>
      <c r="K741" s="40"/>
      <c r="L741" s="40"/>
    </row>
    <row r="742">
      <c r="B742" s="39"/>
      <c r="H742" s="40"/>
      <c r="I742" s="40"/>
      <c r="J742" s="40"/>
      <c r="K742" s="40"/>
      <c r="L742" s="40"/>
    </row>
    <row r="743">
      <c r="B743" s="39"/>
      <c r="H743" s="40"/>
      <c r="I743" s="40"/>
      <c r="J743" s="40"/>
      <c r="K743" s="40"/>
      <c r="L743" s="40"/>
    </row>
    <row r="744">
      <c r="B744" s="39"/>
      <c r="H744" s="40"/>
      <c r="I744" s="40"/>
      <c r="J744" s="40"/>
      <c r="K744" s="40"/>
      <c r="L744" s="40"/>
    </row>
    <row r="745">
      <c r="B745" s="39"/>
      <c r="H745" s="40"/>
      <c r="I745" s="40"/>
      <c r="J745" s="40"/>
      <c r="K745" s="40"/>
      <c r="L745" s="40"/>
    </row>
    <row r="746">
      <c r="B746" s="39"/>
      <c r="H746" s="40"/>
      <c r="I746" s="40"/>
      <c r="J746" s="40"/>
      <c r="K746" s="40"/>
      <c r="L746" s="40"/>
    </row>
    <row r="747">
      <c r="B747" s="39"/>
      <c r="H747" s="40"/>
      <c r="I747" s="40"/>
      <c r="J747" s="40"/>
      <c r="K747" s="40"/>
      <c r="L747" s="40"/>
    </row>
    <row r="748">
      <c r="B748" s="39"/>
      <c r="H748" s="40"/>
      <c r="I748" s="40"/>
      <c r="J748" s="40"/>
      <c r="K748" s="40"/>
      <c r="L748" s="40"/>
    </row>
    <row r="749">
      <c r="B749" s="39"/>
      <c r="H749" s="40"/>
      <c r="I749" s="40"/>
      <c r="J749" s="40"/>
      <c r="K749" s="40"/>
      <c r="L749" s="40"/>
    </row>
    <row r="750">
      <c r="B750" s="39"/>
      <c r="H750" s="40"/>
      <c r="I750" s="40"/>
      <c r="J750" s="40"/>
      <c r="K750" s="40"/>
      <c r="L750" s="40"/>
    </row>
    <row r="751">
      <c r="B751" s="39"/>
      <c r="H751" s="40"/>
      <c r="I751" s="40"/>
      <c r="J751" s="40"/>
      <c r="K751" s="40"/>
      <c r="L751" s="40"/>
    </row>
    <row r="752">
      <c r="B752" s="39"/>
      <c r="H752" s="40"/>
      <c r="I752" s="40"/>
      <c r="J752" s="40"/>
      <c r="K752" s="40"/>
      <c r="L752" s="40"/>
    </row>
    <row r="753">
      <c r="B753" s="39"/>
      <c r="H753" s="40"/>
      <c r="I753" s="40"/>
      <c r="J753" s="40"/>
      <c r="K753" s="40"/>
      <c r="L753" s="40"/>
    </row>
    <row r="754">
      <c r="B754" s="39"/>
      <c r="H754" s="40"/>
      <c r="I754" s="40"/>
      <c r="J754" s="40"/>
      <c r="K754" s="40"/>
      <c r="L754" s="40"/>
    </row>
    <row r="755">
      <c r="B755" s="39"/>
      <c r="H755" s="40"/>
      <c r="I755" s="40"/>
      <c r="J755" s="40"/>
      <c r="K755" s="40"/>
      <c r="L755" s="40"/>
    </row>
    <row r="756">
      <c r="B756" s="39"/>
      <c r="H756" s="40"/>
      <c r="I756" s="40"/>
      <c r="J756" s="40"/>
      <c r="K756" s="40"/>
      <c r="L756" s="40"/>
    </row>
    <row r="757">
      <c r="B757" s="39"/>
      <c r="H757" s="40"/>
      <c r="I757" s="40"/>
      <c r="J757" s="40"/>
      <c r="K757" s="40"/>
      <c r="L757" s="40"/>
    </row>
    <row r="758">
      <c r="B758" s="39"/>
      <c r="H758" s="40"/>
      <c r="I758" s="40"/>
      <c r="J758" s="40"/>
      <c r="K758" s="40"/>
      <c r="L758" s="40"/>
    </row>
    <row r="759">
      <c r="B759" s="39"/>
      <c r="H759" s="40"/>
      <c r="I759" s="40"/>
      <c r="J759" s="40"/>
      <c r="K759" s="40"/>
      <c r="L759" s="40"/>
    </row>
    <row r="760">
      <c r="B760" s="39"/>
      <c r="H760" s="40"/>
      <c r="I760" s="40"/>
      <c r="J760" s="40"/>
      <c r="K760" s="40"/>
      <c r="L760" s="40"/>
    </row>
    <row r="761">
      <c r="B761" s="39"/>
      <c r="H761" s="40"/>
      <c r="I761" s="40"/>
      <c r="J761" s="40"/>
      <c r="K761" s="40"/>
      <c r="L761" s="40"/>
    </row>
    <row r="762">
      <c r="B762" s="39"/>
      <c r="H762" s="40"/>
      <c r="I762" s="40"/>
      <c r="J762" s="40"/>
      <c r="K762" s="40"/>
      <c r="L762" s="40"/>
    </row>
    <row r="763">
      <c r="B763" s="39"/>
      <c r="H763" s="40"/>
      <c r="I763" s="40"/>
      <c r="J763" s="40"/>
      <c r="K763" s="40"/>
      <c r="L763" s="40"/>
    </row>
    <row r="764">
      <c r="B764" s="39"/>
      <c r="H764" s="40"/>
      <c r="I764" s="40"/>
      <c r="J764" s="40"/>
      <c r="K764" s="40"/>
      <c r="L764" s="40"/>
    </row>
    <row r="765">
      <c r="B765" s="39"/>
      <c r="H765" s="40"/>
      <c r="I765" s="40"/>
      <c r="J765" s="40"/>
      <c r="K765" s="40"/>
      <c r="L765" s="40"/>
    </row>
    <row r="766">
      <c r="B766" s="39"/>
      <c r="H766" s="40"/>
      <c r="I766" s="40"/>
      <c r="J766" s="40"/>
      <c r="K766" s="40"/>
      <c r="L766" s="40"/>
    </row>
    <row r="767">
      <c r="B767" s="39"/>
      <c r="H767" s="40"/>
      <c r="I767" s="40"/>
      <c r="J767" s="40"/>
      <c r="K767" s="40"/>
      <c r="L767" s="40"/>
    </row>
    <row r="768">
      <c r="B768" s="39"/>
      <c r="H768" s="40"/>
      <c r="I768" s="40"/>
      <c r="J768" s="40"/>
      <c r="K768" s="40"/>
      <c r="L768" s="40"/>
    </row>
    <row r="769">
      <c r="B769" s="39"/>
      <c r="H769" s="40"/>
      <c r="I769" s="40"/>
      <c r="J769" s="40"/>
      <c r="K769" s="40"/>
      <c r="L769" s="40"/>
    </row>
    <row r="770">
      <c r="B770" s="39"/>
      <c r="H770" s="40"/>
      <c r="I770" s="40"/>
      <c r="J770" s="40"/>
      <c r="K770" s="40"/>
      <c r="L770" s="40"/>
    </row>
    <row r="771">
      <c r="B771" s="39"/>
      <c r="H771" s="40"/>
      <c r="I771" s="40"/>
      <c r="J771" s="40"/>
      <c r="K771" s="40"/>
      <c r="L771" s="40"/>
    </row>
    <row r="772">
      <c r="B772" s="39"/>
      <c r="H772" s="40"/>
      <c r="I772" s="40"/>
      <c r="J772" s="40"/>
      <c r="K772" s="40"/>
      <c r="L772" s="40"/>
    </row>
    <row r="773">
      <c r="B773" s="39"/>
      <c r="H773" s="40"/>
      <c r="I773" s="40"/>
      <c r="J773" s="40"/>
      <c r="K773" s="40"/>
      <c r="L773" s="40"/>
    </row>
    <row r="774">
      <c r="B774" s="39"/>
      <c r="H774" s="40"/>
      <c r="I774" s="40"/>
      <c r="J774" s="40"/>
      <c r="K774" s="40"/>
      <c r="L774" s="40"/>
    </row>
    <row r="775">
      <c r="B775" s="39"/>
      <c r="H775" s="40"/>
      <c r="I775" s="40"/>
      <c r="J775" s="40"/>
      <c r="K775" s="40"/>
      <c r="L775" s="40"/>
    </row>
    <row r="776">
      <c r="B776" s="39"/>
      <c r="H776" s="40"/>
      <c r="I776" s="40"/>
      <c r="J776" s="40"/>
      <c r="K776" s="40"/>
      <c r="L776" s="40"/>
    </row>
    <row r="777">
      <c r="B777" s="39"/>
      <c r="H777" s="40"/>
      <c r="I777" s="40"/>
      <c r="J777" s="40"/>
      <c r="K777" s="40"/>
      <c r="L777" s="40"/>
    </row>
    <row r="778">
      <c r="B778" s="39"/>
      <c r="H778" s="40"/>
      <c r="I778" s="40"/>
      <c r="J778" s="40"/>
      <c r="K778" s="40"/>
      <c r="L778" s="40"/>
    </row>
    <row r="779">
      <c r="B779" s="39"/>
      <c r="H779" s="40"/>
      <c r="I779" s="40"/>
      <c r="J779" s="40"/>
      <c r="K779" s="40"/>
      <c r="L779" s="40"/>
    </row>
    <row r="780">
      <c r="B780" s="39"/>
      <c r="H780" s="40"/>
      <c r="I780" s="40"/>
      <c r="J780" s="40"/>
      <c r="K780" s="40"/>
      <c r="L780" s="40"/>
    </row>
    <row r="781">
      <c r="B781" s="39"/>
      <c r="H781" s="40"/>
      <c r="I781" s="40"/>
      <c r="J781" s="40"/>
      <c r="K781" s="40"/>
      <c r="L781" s="40"/>
    </row>
    <row r="782">
      <c r="B782" s="39"/>
      <c r="H782" s="40"/>
      <c r="I782" s="40"/>
      <c r="J782" s="40"/>
      <c r="K782" s="40"/>
      <c r="L782" s="40"/>
    </row>
    <row r="783">
      <c r="B783" s="39"/>
      <c r="H783" s="40"/>
      <c r="I783" s="40"/>
      <c r="J783" s="40"/>
      <c r="K783" s="40"/>
      <c r="L783" s="40"/>
    </row>
    <row r="784">
      <c r="B784" s="39"/>
      <c r="H784" s="40"/>
      <c r="I784" s="40"/>
      <c r="J784" s="40"/>
      <c r="K784" s="40"/>
      <c r="L784" s="40"/>
    </row>
    <row r="785">
      <c r="B785" s="39"/>
      <c r="H785" s="40"/>
      <c r="I785" s="40"/>
      <c r="J785" s="40"/>
      <c r="K785" s="40"/>
      <c r="L785" s="40"/>
    </row>
    <row r="786">
      <c r="B786" s="39"/>
      <c r="H786" s="40"/>
      <c r="I786" s="40"/>
      <c r="J786" s="40"/>
      <c r="K786" s="40"/>
      <c r="L786" s="40"/>
    </row>
    <row r="787">
      <c r="B787" s="39"/>
      <c r="H787" s="40"/>
      <c r="I787" s="40"/>
      <c r="J787" s="40"/>
      <c r="K787" s="40"/>
      <c r="L787" s="40"/>
    </row>
    <row r="788">
      <c r="B788" s="39"/>
      <c r="H788" s="40"/>
      <c r="I788" s="40"/>
      <c r="J788" s="40"/>
      <c r="K788" s="40"/>
      <c r="L788" s="40"/>
    </row>
    <row r="789">
      <c r="B789" s="39"/>
      <c r="H789" s="40"/>
      <c r="I789" s="40"/>
      <c r="J789" s="40"/>
      <c r="K789" s="40"/>
      <c r="L789" s="40"/>
    </row>
    <row r="790">
      <c r="B790" s="39"/>
      <c r="H790" s="40"/>
      <c r="I790" s="40"/>
      <c r="J790" s="40"/>
      <c r="K790" s="40"/>
      <c r="L790" s="40"/>
    </row>
    <row r="791">
      <c r="B791" s="39"/>
      <c r="H791" s="40"/>
      <c r="I791" s="40"/>
      <c r="J791" s="40"/>
      <c r="K791" s="40"/>
      <c r="L791" s="40"/>
    </row>
    <row r="792">
      <c r="B792" s="39"/>
      <c r="H792" s="40"/>
      <c r="I792" s="40"/>
      <c r="J792" s="40"/>
      <c r="K792" s="40"/>
      <c r="L792" s="40"/>
    </row>
    <row r="793">
      <c r="B793" s="39"/>
      <c r="H793" s="40"/>
      <c r="I793" s="40"/>
      <c r="J793" s="40"/>
      <c r="K793" s="40"/>
      <c r="L793" s="40"/>
    </row>
    <row r="794">
      <c r="B794" s="39"/>
      <c r="H794" s="40"/>
      <c r="I794" s="40"/>
      <c r="J794" s="40"/>
      <c r="K794" s="40"/>
      <c r="L794" s="40"/>
    </row>
    <row r="795">
      <c r="B795" s="39"/>
      <c r="H795" s="40"/>
      <c r="I795" s="40"/>
      <c r="J795" s="40"/>
      <c r="K795" s="40"/>
      <c r="L795" s="40"/>
    </row>
    <row r="796">
      <c r="B796" s="39"/>
      <c r="H796" s="40"/>
      <c r="I796" s="40"/>
      <c r="J796" s="40"/>
      <c r="K796" s="40"/>
      <c r="L796" s="40"/>
    </row>
    <row r="797">
      <c r="B797" s="39"/>
      <c r="H797" s="40"/>
      <c r="I797" s="40"/>
      <c r="J797" s="40"/>
      <c r="K797" s="40"/>
      <c r="L797" s="40"/>
    </row>
    <row r="798">
      <c r="B798" s="39"/>
      <c r="H798" s="40"/>
      <c r="I798" s="40"/>
      <c r="J798" s="40"/>
      <c r="K798" s="40"/>
      <c r="L798" s="40"/>
    </row>
    <row r="799">
      <c r="B799" s="39"/>
      <c r="H799" s="40"/>
      <c r="I799" s="40"/>
      <c r="J799" s="40"/>
      <c r="K799" s="40"/>
      <c r="L799" s="40"/>
    </row>
    <row r="800">
      <c r="B800" s="39"/>
      <c r="H800" s="40"/>
      <c r="I800" s="40"/>
      <c r="J800" s="40"/>
      <c r="K800" s="40"/>
      <c r="L800" s="40"/>
    </row>
    <row r="801">
      <c r="B801" s="39"/>
      <c r="H801" s="40"/>
      <c r="I801" s="40"/>
      <c r="J801" s="40"/>
      <c r="K801" s="40"/>
      <c r="L801" s="40"/>
    </row>
    <row r="802">
      <c r="B802" s="39"/>
      <c r="H802" s="40"/>
      <c r="I802" s="40"/>
      <c r="J802" s="40"/>
      <c r="K802" s="40"/>
      <c r="L802" s="40"/>
    </row>
    <row r="803">
      <c r="B803" s="39"/>
      <c r="H803" s="40"/>
      <c r="I803" s="40"/>
      <c r="J803" s="40"/>
      <c r="K803" s="40"/>
      <c r="L803" s="40"/>
    </row>
    <row r="804">
      <c r="B804" s="39"/>
      <c r="H804" s="40"/>
      <c r="I804" s="40"/>
      <c r="J804" s="40"/>
      <c r="K804" s="40"/>
      <c r="L804" s="40"/>
    </row>
    <row r="805">
      <c r="B805" s="39"/>
      <c r="H805" s="40"/>
      <c r="I805" s="40"/>
      <c r="J805" s="40"/>
      <c r="K805" s="40"/>
      <c r="L805" s="40"/>
    </row>
    <row r="806">
      <c r="B806" s="39"/>
      <c r="H806" s="40"/>
      <c r="I806" s="40"/>
      <c r="J806" s="40"/>
      <c r="K806" s="40"/>
      <c r="L806" s="40"/>
    </row>
    <row r="807">
      <c r="B807" s="39"/>
      <c r="H807" s="40"/>
      <c r="I807" s="40"/>
      <c r="J807" s="40"/>
      <c r="K807" s="40"/>
      <c r="L807" s="40"/>
    </row>
    <row r="808">
      <c r="B808" s="39"/>
      <c r="H808" s="40"/>
      <c r="I808" s="40"/>
      <c r="J808" s="40"/>
      <c r="K808" s="40"/>
      <c r="L808" s="40"/>
    </row>
    <row r="809">
      <c r="B809" s="39"/>
      <c r="H809" s="40"/>
      <c r="I809" s="40"/>
      <c r="J809" s="40"/>
      <c r="K809" s="40"/>
      <c r="L809" s="40"/>
    </row>
    <row r="810">
      <c r="B810" s="39"/>
      <c r="H810" s="40"/>
      <c r="I810" s="40"/>
      <c r="J810" s="40"/>
      <c r="K810" s="40"/>
      <c r="L810" s="40"/>
    </row>
    <row r="811">
      <c r="B811" s="39"/>
      <c r="H811" s="40"/>
      <c r="I811" s="40"/>
      <c r="J811" s="40"/>
      <c r="K811" s="40"/>
      <c r="L811" s="40"/>
    </row>
    <row r="812">
      <c r="B812" s="39"/>
      <c r="H812" s="40"/>
      <c r="I812" s="40"/>
      <c r="J812" s="40"/>
      <c r="K812" s="40"/>
      <c r="L812" s="40"/>
    </row>
    <row r="813">
      <c r="B813" s="39"/>
      <c r="H813" s="40"/>
      <c r="I813" s="40"/>
      <c r="J813" s="40"/>
      <c r="K813" s="40"/>
      <c r="L813" s="40"/>
    </row>
    <row r="814">
      <c r="B814" s="39"/>
      <c r="H814" s="40"/>
      <c r="I814" s="40"/>
      <c r="J814" s="40"/>
      <c r="K814" s="40"/>
      <c r="L814" s="40"/>
    </row>
    <row r="815">
      <c r="B815" s="39"/>
      <c r="H815" s="40"/>
      <c r="I815" s="40"/>
      <c r="J815" s="40"/>
      <c r="K815" s="40"/>
      <c r="L815" s="40"/>
    </row>
    <row r="816">
      <c r="B816" s="39"/>
      <c r="H816" s="40"/>
      <c r="I816" s="40"/>
      <c r="J816" s="40"/>
      <c r="K816" s="40"/>
      <c r="L816" s="40"/>
    </row>
    <row r="817">
      <c r="B817" s="39"/>
      <c r="H817" s="40"/>
      <c r="I817" s="40"/>
      <c r="J817" s="40"/>
      <c r="K817" s="40"/>
      <c r="L817" s="40"/>
    </row>
    <row r="818">
      <c r="B818" s="39"/>
      <c r="H818" s="40"/>
      <c r="I818" s="40"/>
      <c r="J818" s="40"/>
      <c r="K818" s="40"/>
      <c r="L818" s="40"/>
    </row>
    <row r="819">
      <c r="B819" s="39"/>
      <c r="H819" s="40"/>
      <c r="I819" s="40"/>
      <c r="J819" s="40"/>
      <c r="K819" s="40"/>
      <c r="L819" s="40"/>
    </row>
    <row r="820">
      <c r="B820" s="39"/>
      <c r="H820" s="40"/>
      <c r="I820" s="40"/>
      <c r="J820" s="40"/>
      <c r="K820" s="40"/>
      <c r="L820" s="40"/>
    </row>
    <row r="821">
      <c r="B821" s="39"/>
      <c r="H821" s="40"/>
      <c r="I821" s="40"/>
      <c r="J821" s="40"/>
      <c r="K821" s="40"/>
      <c r="L821" s="40"/>
    </row>
    <row r="822">
      <c r="B822" s="39"/>
      <c r="H822" s="40"/>
      <c r="I822" s="40"/>
      <c r="J822" s="40"/>
      <c r="K822" s="40"/>
      <c r="L822" s="40"/>
    </row>
    <row r="823">
      <c r="B823" s="39"/>
      <c r="H823" s="40"/>
      <c r="I823" s="40"/>
      <c r="J823" s="40"/>
      <c r="K823" s="40"/>
      <c r="L823" s="40"/>
    </row>
    <row r="824">
      <c r="B824" s="39"/>
      <c r="H824" s="40"/>
      <c r="I824" s="40"/>
      <c r="J824" s="40"/>
      <c r="K824" s="40"/>
      <c r="L824" s="40"/>
    </row>
    <row r="825">
      <c r="B825" s="39"/>
      <c r="H825" s="40"/>
      <c r="I825" s="40"/>
      <c r="J825" s="40"/>
      <c r="K825" s="40"/>
      <c r="L825" s="40"/>
    </row>
    <row r="826">
      <c r="B826" s="39"/>
      <c r="H826" s="40"/>
      <c r="I826" s="40"/>
      <c r="J826" s="40"/>
      <c r="K826" s="40"/>
      <c r="L826" s="40"/>
    </row>
    <row r="827">
      <c r="B827" s="39"/>
      <c r="H827" s="40"/>
      <c r="I827" s="40"/>
      <c r="J827" s="40"/>
      <c r="K827" s="40"/>
      <c r="L827" s="40"/>
    </row>
    <row r="828">
      <c r="B828" s="39"/>
      <c r="H828" s="40"/>
      <c r="I828" s="40"/>
      <c r="J828" s="40"/>
      <c r="K828" s="40"/>
      <c r="L828" s="40"/>
    </row>
    <row r="829">
      <c r="B829" s="39"/>
      <c r="H829" s="40"/>
      <c r="I829" s="40"/>
      <c r="J829" s="40"/>
      <c r="K829" s="40"/>
      <c r="L829" s="40"/>
    </row>
    <row r="830">
      <c r="B830" s="39"/>
      <c r="H830" s="40"/>
      <c r="I830" s="40"/>
      <c r="J830" s="40"/>
      <c r="K830" s="40"/>
      <c r="L830" s="40"/>
    </row>
    <row r="831">
      <c r="B831" s="39"/>
      <c r="H831" s="40"/>
      <c r="I831" s="40"/>
      <c r="J831" s="40"/>
      <c r="K831" s="40"/>
      <c r="L831" s="40"/>
    </row>
    <row r="832">
      <c r="B832" s="39"/>
      <c r="H832" s="40"/>
      <c r="I832" s="40"/>
      <c r="J832" s="40"/>
      <c r="K832" s="40"/>
      <c r="L832" s="40"/>
    </row>
    <row r="833">
      <c r="B833" s="39"/>
      <c r="H833" s="40"/>
      <c r="I833" s="40"/>
      <c r="J833" s="40"/>
      <c r="K833" s="40"/>
      <c r="L833" s="40"/>
    </row>
    <row r="834">
      <c r="B834" s="39"/>
      <c r="H834" s="40"/>
      <c r="I834" s="40"/>
      <c r="J834" s="40"/>
      <c r="K834" s="40"/>
      <c r="L834" s="40"/>
    </row>
    <row r="835">
      <c r="B835" s="39"/>
      <c r="H835" s="40"/>
      <c r="I835" s="40"/>
      <c r="J835" s="40"/>
      <c r="K835" s="40"/>
      <c r="L835" s="40"/>
    </row>
    <row r="836">
      <c r="B836" s="39"/>
      <c r="H836" s="40"/>
      <c r="I836" s="40"/>
      <c r="J836" s="40"/>
      <c r="K836" s="40"/>
      <c r="L836" s="40"/>
    </row>
    <row r="837">
      <c r="B837" s="39"/>
      <c r="H837" s="40"/>
      <c r="I837" s="40"/>
      <c r="J837" s="40"/>
      <c r="K837" s="40"/>
      <c r="L837" s="40"/>
    </row>
    <row r="838">
      <c r="B838" s="39"/>
      <c r="H838" s="40"/>
      <c r="I838" s="40"/>
      <c r="J838" s="40"/>
      <c r="K838" s="40"/>
      <c r="L838" s="40"/>
    </row>
    <row r="839">
      <c r="B839" s="39"/>
      <c r="H839" s="40"/>
      <c r="I839" s="40"/>
      <c r="J839" s="40"/>
      <c r="K839" s="40"/>
      <c r="L839" s="40"/>
    </row>
    <row r="840">
      <c r="B840" s="39"/>
      <c r="H840" s="40"/>
      <c r="I840" s="40"/>
      <c r="J840" s="40"/>
      <c r="K840" s="40"/>
      <c r="L840" s="40"/>
    </row>
    <row r="841">
      <c r="B841" s="39"/>
      <c r="H841" s="40"/>
      <c r="I841" s="40"/>
      <c r="J841" s="40"/>
      <c r="K841" s="40"/>
      <c r="L841" s="40"/>
    </row>
    <row r="842">
      <c r="B842" s="39"/>
      <c r="H842" s="40"/>
      <c r="I842" s="40"/>
      <c r="J842" s="40"/>
      <c r="K842" s="40"/>
      <c r="L842" s="40"/>
    </row>
    <row r="843">
      <c r="B843" s="39"/>
      <c r="H843" s="40"/>
      <c r="I843" s="40"/>
      <c r="J843" s="40"/>
      <c r="K843" s="40"/>
      <c r="L843" s="40"/>
    </row>
    <row r="844">
      <c r="B844" s="39"/>
      <c r="H844" s="40"/>
      <c r="I844" s="40"/>
      <c r="J844" s="40"/>
      <c r="K844" s="40"/>
      <c r="L844" s="40"/>
    </row>
    <row r="845">
      <c r="B845" s="39"/>
      <c r="H845" s="40"/>
      <c r="I845" s="40"/>
      <c r="J845" s="40"/>
      <c r="K845" s="40"/>
      <c r="L845" s="40"/>
    </row>
    <row r="846">
      <c r="B846" s="39"/>
      <c r="H846" s="40"/>
      <c r="I846" s="40"/>
      <c r="J846" s="40"/>
      <c r="K846" s="40"/>
      <c r="L846" s="40"/>
    </row>
    <row r="847">
      <c r="B847" s="39"/>
      <c r="H847" s="40"/>
      <c r="I847" s="40"/>
      <c r="J847" s="40"/>
      <c r="K847" s="40"/>
      <c r="L847" s="40"/>
    </row>
    <row r="848">
      <c r="B848" s="39"/>
      <c r="H848" s="40"/>
      <c r="I848" s="40"/>
      <c r="J848" s="40"/>
      <c r="K848" s="40"/>
      <c r="L848" s="40"/>
    </row>
    <row r="849">
      <c r="B849" s="39"/>
      <c r="H849" s="40"/>
      <c r="I849" s="40"/>
      <c r="J849" s="40"/>
      <c r="K849" s="40"/>
      <c r="L849" s="40"/>
    </row>
    <row r="850">
      <c r="B850" s="39"/>
      <c r="H850" s="40"/>
      <c r="I850" s="40"/>
      <c r="J850" s="40"/>
      <c r="K850" s="40"/>
      <c r="L850" s="40"/>
    </row>
    <row r="851">
      <c r="B851" s="39"/>
      <c r="H851" s="40"/>
      <c r="I851" s="40"/>
      <c r="J851" s="40"/>
      <c r="K851" s="40"/>
      <c r="L851" s="40"/>
    </row>
    <row r="852">
      <c r="B852" s="39"/>
      <c r="H852" s="40"/>
      <c r="I852" s="40"/>
      <c r="J852" s="40"/>
      <c r="K852" s="40"/>
      <c r="L852" s="40"/>
    </row>
    <row r="853">
      <c r="B853" s="39"/>
      <c r="H853" s="40"/>
      <c r="I853" s="40"/>
      <c r="J853" s="40"/>
      <c r="K853" s="40"/>
      <c r="L853" s="40"/>
    </row>
    <row r="854">
      <c r="B854" s="39"/>
      <c r="H854" s="40"/>
      <c r="I854" s="40"/>
      <c r="J854" s="40"/>
      <c r="K854" s="40"/>
      <c r="L854" s="40"/>
    </row>
    <row r="855">
      <c r="B855" s="39"/>
      <c r="H855" s="40"/>
      <c r="I855" s="40"/>
      <c r="J855" s="40"/>
      <c r="K855" s="40"/>
      <c r="L855" s="40"/>
    </row>
    <row r="856">
      <c r="B856" s="39"/>
      <c r="H856" s="40"/>
      <c r="I856" s="40"/>
      <c r="J856" s="40"/>
      <c r="K856" s="40"/>
      <c r="L856" s="40"/>
    </row>
    <row r="857">
      <c r="B857" s="39"/>
      <c r="H857" s="40"/>
      <c r="I857" s="40"/>
      <c r="J857" s="40"/>
      <c r="K857" s="40"/>
      <c r="L857" s="40"/>
    </row>
    <row r="858">
      <c r="B858" s="39"/>
      <c r="H858" s="40"/>
      <c r="I858" s="40"/>
      <c r="J858" s="40"/>
      <c r="K858" s="40"/>
      <c r="L858" s="40"/>
    </row>
    <row r="859">
      <c r="B859" s="39"/>
      <c r="H859" s="40"/>
      <c r="I859" s="40"/>
      <c r="J859" s="40"/>
      <c r="K859" s="40"/>
      <c r="L859" s="40"/>
    </row>
    <row r="860">
      <c r="B860" s="39"/>
      <c r="H860" s="40"/>
      <c r="I860" s="40"/>
      <c r="J860" s="40"/>
      <c r="K860" s="40"/>
      <c r="L860" s="40"/>
    </row>
    <row r="861">
      <c r="B861" s="39"/>
      <c r="H861" s="40"/>
      <c r="I861" s="40"/>
      <c r="J861" s="40"/>
      <c r="K861" s="40"/>
      <c r="L861" s="40"/>
    </row>
    <row r="862">
      <c r="B862" s="39"/>
      <c r="H862" s="40"/>
      <c r="I862" s="40"/>
      <c r="J862" s="40"/>
      <c r="K862" s="40"/>
      <c r="L862" s="40"/>
    </row>
    <row r="863">
      <c r="B863" s="39"/>
      <c r="H863" s="40"/>
      <c r="I863" s="40"/>
      <c r="J863" s="40"/>
      <c r="K863" s="40"/>
      <c r="L863" s="40"/>
    </row>
    <row r="864">
      <c r="B864" s="39"/>
      <c r="H864" s="40"/>
      <c r="I864" s="40"/>
      <c r="J864" s="40"/>
      <c r="K864" s="40"/>
      <c r="L864" s="40"/>
    </row>
    <row r="865">
      <c r="B865" s="39"/>
      <c r="H865" s="40"/>
      <c r="I865" s="40"/>
      <c r="J865" s="40"/>
      <c r="K865" s="40"/>
      <c r="L865" s="40"/>
    </row>
    <row r="866">
      <c r="B866" s="39"/>
      <c r="H866" s="40"/>
      <c r="I866" s="40"/>
      <c r="J866" s="40"/>
      <c r="K866" s="40"/>
      <c r="L866" s="40"/>
    </row>
    <row r="867">
      <c r="B867" s="39"/>
      <c r="H867" s="40"/>
      <c r="I867" s="40"/>
      <c r="J867" s="40"/>
      <c r="K867" s="40"/>
      <c r="L867" s="40"/>
    </row>
    <row r="868">
      <c r="B868" s="39"/>
      <c r="H868" s="40"/>
      <c r="I868" s="40"/>
      <c r="J868" s="40"/>
      <c r="K868" s="40"/>
      <c r="L868" s="40"/>
    </row>
    <row r="869">
      <c r="B869" s="39"/>
      <c r="H869" s="40"/>
      <c r="I869" s="40"/>
      <c r="J869" s="40"/>
      <c r="K869" s="40"/>
      <c r="L869" s="40"/>
    </row>
    <row r="870">
      <c r="B870" s="39"/>
      <c r="H870" s="40"/>
      <c r="I870" s="40"/>
      <c r="J870" s="40"/>
      <c r="K870" s="40"/>
      <c r="L870" s="40"/>
    </row>
    <row r="871">
      <c r="B871" s="39"/>
      <c r="H871" s="40"/>
      <c r="I871" s="40"/>
      <c r="J871" s="40"/>
      <c r="K871" s="40"/>
      <c r="L871" s="40"/>
    </row>
    <row r="872">
      <c r="B872" s="39"/>
      <c r="H872" s="40"/>
      <c r="I872" s="40"/>
      <c r="J872" s="40"/>
      <c r="K872" s="40"/>
      <c r="L872" s="40"/>
    </row>
    <row r="873">
      <c r="B873" s="39"/>
      <c r="H873" s="40"/>
      <c r="I873" s="40"/>
      <c r="J873" s="40"/>
      <c r="K873" s="40"/>
      <c r="L873" s="40"/>
    </row>
    <row r="874">
      <c r="B874" s="39"/>
      <c r="H874" s="40"/>
      <c r="I874" s="40"/>
      <c r="J874" s="40"/>
      <c r="K874" s="40"/>
      <c r="L874" s="40"/>
    </row>
    <row r="875">
      <c r="B875" s="39"/>
      <c r="H875" s="40"/>
      <c r="I875" s="40"/>
      <c r="J875" s="40"/>
      <c r="K875" s="40"/>
      <c r="L875" s="40"/>
    </row>
    <row r="876">
      <c r="B876" s="39"/>
      <c r="H876" s="40"/>
      <c r="I876" s="40"/>
      <c r="J876" s="40"/>
      <c r="K876" s="40"/>
      <c r="L876" s="40"/>
    </row>
    <row r="877">
      <c r="B877" s="39"/>
      <c r="H877" s="40"/>
      <c r="I877" s="40"/>
      <c r="J877" s="40"/>
      <c r="K877" s="40"/>
      <c r="L877" s="40"/>
    </row>
    <row r="878">
      <c r="B878" s="39"/>
      <c r="H878" s="40"/>
      <c r="I878" s="40"/>
      <c r="J878" s="40"/>
      <c r="K878" s="40"/>
      <c r="L878" s="40"/>
    </row>
    <row r="879">
      <c r="B879" s="39"/>
      <c r="H879" s="40"/>
      <c r="I879" s="40"/>
      <c r="J879" s="40"/>
      <c r="K879" s="40"/>
      <c r="L879" s="40"/>
    </row>
    <row r="880">
      <c r="B880" s="39"/>
      <c r="H880" s="40"/>
      <c r="I880" s="40"/>
      <c r="J880" s="40"/>
      <c r="K880" s="40"/>
      <c r="L880" s="40"/>
    </row>
    <row r="881">
      <c r="B881" s="39"/>
      <c r="H881" s="40"/>
      <c r="I881" s="40"/>
      <c r="J881" s="40"/>
      <c r="K881" s="40"/>
      <c r="L881" s="40"/>
    </row>
    <row r="882">
      <c r="B882" s="39"/>
      <c r="H882" s="40"/>
      <c r="I882" s="40"/>
      <c r="J882" s="40"/>
      <c r="K882" s="40"/>
      <c r="L882" s="40"/>
    </row>
    <row r="883">
      <c r="B883" s="39"/>
      <c r="H883" s="40"/>
      <c r="I883" s="40"/>
      <c r="J883" s="40"/>
      <c r="K883" s="40"/>
      <c r="L883" s="40"/>
    </row>
    <row r="884">
      <c r="B884" s="39"/>
      <c r="H884" s="40"/>
      <c r="I884" s="40"/>
      <c r="J884" s="40"/>
      <c r="K884" s="40"/>
      <c r="L884" s="40"/>
    </row>
    <row r="885">
      <c r="B885" s="39"/>
      <c r="H885" s="40"/>
      <c r="I885" s="40"/>
      <c r="J885" s="40"/>
      <c r="K885" s="40"/>
      <c r="L885" s="40"/>
    </row>
    <row r="886">
      <c r="B886" s="39"/>
      <c r="H886" s="40"/>
      <c r="I886" s="40"/>
      <c r="J886" s="40"/>
      <c r="K886" s="40"/>
      <c r="L886" s="40"/>
    </row>
    <row r="887">
      <c r="B887" s="39"/>
      <c r="H887" s="40"/>
      <c r="I887" s="40"/>
      <c r="J887" s="40"/>
      <c r="K887" s="40"/>
      <c r="L887" s="40"/>
    </row>
    <row r="888">
      <c r="B888" s="39"/>
      <c r="H888" s="40"/>
      <c r="I888" s="40"/>
      <c r="J888" s="40"/>
      <c r="K888" s="40"/>
      <c r="L888" s="40"/>
    </row>
    <row r="889">
      <c r="B889" s="39"/>
      <c r="H889" s="40"/>
      <c r="I889" s="40"/>
      <c r="J889" s="40"/>
      <c r="K889" s="40"/>
      <c r="L889" s="40"/>
    </row>
    <row r="890">
      <c r="B890" s="39"/>
      <c r="H890" s="40"/>
      <c r="I890" s="40"/>
      <c r="J890" s="40"/>
      <c r="K890" s="40"/>
      <c r="L890" s="40"/>
    </row>
    <row r="891">
      <c r="B891" s="39"/>
      <c r="H891" s="40"/>
      <c r="I891" s="40"/>
      <c r="J891" s="40"/>
      <c r="K891" s="40"/>
      <c r="L891" s="40"/>
    </row>
    <row r="892">
      <c r="B892" s="39"/>
      <c r="H892" s="40"/>
      <c r="I892" s="40"/>
      <c r="J892" s="40"/>
      <c r="K892" s="40"/>
      <c r="L892" s="40"/>
    </row>
    <row r="893">
      <c r="B893" s="39"/>
      <c r="H893" s="40"/>
      <c r="I893" s="40"/>
      <c r="J893" s="40"/>
      <c r="K893" s="40"/>
      <c r="L893" s="40"/>
    </row>
    <row r="894">
      <c r="B894" s="39"/>
      <c r="H894" s="40"/>
      <c r="I894" s="40"/>
      <c r="J894" s="40"/>
      <c r="K894" s="40"/>
      <c r="L894" s="40"/>
    </row>
    <row r="895">
      <c r="B895" s="39"/>
      <c r="H895" s="40"/>
      <c r="I895" s="40"/>
      <c r="J895" s="40"/>
      <c r="K895" s="40"/>
      <c r="L895" s="40"/>
    </row>
    <row r="896">
      <c r="B896" s="39"/>
      <c r="H896" s="40"/>
      <c r="I896" s="40"/>
      <c r="J896" s="40"/>
      <c r="K896" s="40"/>
      <c r="L896" s="40"/>
    </row>
    <row r="897">
      <c r="B897" s="39"/>
      <c r="H897" s="40"/>
      <c r="I897" s="40"/>
      <c r="J897" s="40"/>
      <c r="K897" s="40"/>
      <c r="L897" s="40"/>
    </row>
    <row r="898">
      <c r="B898" s="39"/>
      <c r="H898" s="40"/>
      <c r="I898" s="40"/>
      <c r="J898" s="40"/>
      <c r="K898" s="40"/>
      <c r="L898" s="40"/>
    </row>
    <row r="899">
      <c r="B899" s="39"/>
      <c r="H899" s="40"/>
      <c r="I899" s="40"/>
      <c r="J899" s="40"/>
      <c r="K899" s="40"/>
      <c r="L899" s="40"/>
    </row>
    <row r="900">
      <c r="B900" s="39"/>
      <c r="H900" s="40"/>
      <c r="I900" s="40"/>
      <c r="J900" s="40"/>
      <c r="K900" s="40"/>
      <c r="L900" s="40"/>
    </row>
    <row r="901">
      <c r="B901" s="39"/>
      <c r="H901" s="40"/>
      <c r="I901" s="40"/>
      <c r="J901" s="40"/>
      <c r="K901" s="40"/>
      <c r="L901" s="40"/>
    </row>
    <row r="902">
      <c r="B902" s="39"/>
      <c r="H902" s="40"/>
      <c r="I902" s="40"/>
      <c r="J902" s="40"/>
      <c r="K902" s="40"/>
      <c r="L902" s="40"/>
    </row>
    <row r="903">
      <c r="B903" s="39"/>
      <c r="H903" s="40"/>
      <c r="I903" s="40"/>
      <c r="J903" s="40"/>
      <c r="K903" s="40"/>
      <c r="L903" s="40"/>
    </row>
    <row r="904">
      <c r="B904" s="39"/>
      <c r="H904" s="40"/>
      <c r="I904" s="40"/>
      <c r="J904" s="40"/>
      <c r="K904" s="40"/>
      <c r="L904" s="40"/>
    </row>
    <row r="905">
      <c r="B905" s="39"/>
      <c r="H905" s="40"/>
      <c r="I905" s="40"/>
      <c r="J905" s="40"/>
      <c r="K905" s="40"/>
      <c r="L905" s="40"/>
    </row>
    <row r="906">
      <c r="B906" s="39"/>
      <c r="H906" s="40"/>
      <c r="I906" s="40"/>
      <c r="J906" s="40"/>
      <c r="K906" s="40"/>
      <c r="L906" s="40"/>
    </row>
    <row r="907">
      <c r="B907" s="39"/>
      <c r="H907" s="40"/>
      <c r="I907" s="40"/>
      <c r="J907" s="40"/>
      <c r="K907" s="40"/>
      <c r="L907" s="40"/>
    </row>
    <row r="908">
      <c r="B908" s="39"/>
      <c r="H908" s="40"/>
      <c r="I908" s="40"/>
      <c r="J908" s="40"/>
      <c r="K908" s="40"/>
      <c r="L908" s="40"/>
    </row>
    <row r="909">
      <c r="B909" s="39"/>
      <c r="H909" s="40"/>
      <c r="I909" s="40"/>
      <c r="J909" s="40"/>
      <c r="K909" s="40"/>
      <c r="L909" s="40"/>
    </row>
    <row r="910">
      <c r="B910" s="39"/>
      <c r="H910" s="40"/>
      <c r="I910" s="40"/>
      <c r="J910" s="40"/>
      <c r="K910" s="40"/>
      <c r="L910" s="40"/>
    </row>
    <row r="911">
      <c r="B911" s="39"/>
      <c r="H911" s="40"/>
      <c r="I911" s="40"/>
      <c r="J911" s="40"/>
      <c r="K911" s="40"/>
      <c r="L911" s="40"/>
    </row>
    <row r="912">
      <c r="B912" s="39"/>
      <c r="H912" s="40"/>
      <c r="I912" s="40"/>
      <c r="J912" s="40"/>
      <c r="K912" s="40"/>
      <c r="L912" s="40"/>
    </row>
    <row r="913">
      <c r="B913" s="39"/>
      <c r="H913" s="40"/>
      <c r="I913" s="40"/>
      <c r="J913" s="40"/>
      <c r="K913" s="40"/>
      <c r="L913" s="40"/>
    </row>
    <row r="914">
      <c r="B914" s="39"/>
      <c r="H914" s="40"/>
      <c r="I914" s="40"/>
      <c r="J914" s="40"/>
      <c r="K914" s="40"/>
      <c r="L914" s="40"/>
    </row>
    <row r="915">
      <c r="B915" s="39"/>
      <c r="H915" s="40"/>
      <c r="I915" s="40"/>
      <c r="J915" s="40"/>
      <c r="K915" s="40"/>
      <c r="L915" s="40"/>
    </row>
    <row r="916">
      <c r="B916" s="39"/>
      <c r="H916" s="40"/>
      <c r="I916" s="40"/>
      <c r="J916" s="40"/>
      <c r="K916" s="40"/>
      <c r="L916" s="40"/>
    </row>
    <row r="917">
      <c r="B917" s="39"/>
      <c r="H917" s="40"/>
      <c r="I917" s="40"/>
      <c r="J917" s="40"/>
      <c r="K917" s="40"/>
      <c r="L917" s="40"/>
    </row>
    <row r="918">
      <c r="B918" s="39"/>
      <c r="H918" s="40"/>
      <c r="I918" s="40"/>
      <c r="J918" s="40"/>
      <c r="K918" s="40"/>
      <c r="L918" s="40"/>
    </row>
    <row r="919">
      <c r="B919" s="39"/>
      <c r="H919" s="40"/>
      <c r="I919" s="40"/>
      <c r="J919" s="40"/>
      <c r="K919" s="40"/>
      <c r="L919" s="40"/>
    </row>
    <row r="920">
      <c r="B920" s="39"/>
      <c r="H920" s="40"/>
      <c r="I920" s="40"/>
      <c r="J920" s="40"/>
      <c r="K920" s="40"/>
      <c r="L920" s="40"/>
    </row>
    <row r="921">
      <c r="B921" s="39"/>
      <c r="H921" s="40"/>
      <c r="I921" s="40"/>
      <c r="J921" s="40"/>
      <c r="K921" s="40"/>
      <c r="L921" s="40"/>
    </row>
    <row r="922">
      <c r="B922" s="39"/>
      <c r="H922" s="40"/>
      <c r="I922" s="40"/>
      <c r="J922" s="40"/>
      <c r="K922" s="40"/>
      <c r="L922" s="40"/>
    </row>
    <row r="923">
      <c r="B923" s="39"/>
      <c r="H923" s="40"/>
      <c r="I923" s="40"/>
      <c r="J923" s="40"/>
      <c r="K923" s="40"/>
      <c r="L923" s="40"/>
    </row>
    <row r="924">
      <c r="B924" s="39"/>
      <c r="H924" s="40"/>
      <c r="I924" s="40"/>
      <c r="J924" s="40"/>
      <c r="K924" s="40"/>
      <c r="L924" s="40"/>
    </row>
    <row r="925">
      <c r="B925" s="39"/>
      <c r="H925" s="40"/>
      <c r="I925" s="40"/>
      <c r="J925" s="40"/>
      <c r="K925" s="40"/>
      <c r="L925" s="40"/>
    </row>
    <row r="926">
      <c r="B926" s="39"/>
      <c r="H926" s="40"/>
      <c r="I926" s="40"/>
      <c r="J926" s="40"/>
      <c r="K926" s="40"/>
      <c r="L926" s="40"/>
    </row>
    <row r="927">
      <c r="B927" s="39"/>
      <c r="H927" s="40"/>
      <c r="I927" s="40"/>
      <c r="J927" s="40"/>
      <c r="K927" s="40"/>
      <c r="L927" s="40"/>
    </row>
    <row r="928">
      <c r="B928" s="39"/>
      <c r="H928" s="40"/>
      <c r="I928" s="40"/>
      <c r="J928" s="40"/>
      <c r="K928" s="40"/>
      <c r="L928" s="40"/>
    </row>
    <row r="929">
      <c r="B929" s="39"/>
      <c r="H929" s="40"/>
      <c r="I929" s="40"/>
      <c r="J929" s="40"/>
      <c r="K929" s="40"/>
      <c r="L929" s="40"/>
    </row>
    <row r="930">
      <c r="B930" s="39"/>
      <c r="H930" s="40"/>
      <c r="I930" s="40"/>
      <c r="J930" s="40"/>
      <c r="K930" s="40"/>
      <c r="L930" s="40"/>
    </row>
    <row r="931">
      <c r="B931" s="39"/>
      <c r="H931" s="40"/>
      <c r="I931" s="40"/>
      <c r="J931" s="40"/>
      <c r="K931" s="40"/>
      <c r="L931" s="40"/>
    </row>
    <row r="932">
      <c r="B932" s="39"/>
      <c r="H932" s="40"/>
      <c r="I932" s="40"/>
      <c r="J932" s="40"/>
      <c r="K932" s="40"/>
      <c r="L932" s="40"/>
    </row>
    <row r="933">
      <c r="B933" s="39"/>
      <c r="H933" s="40"/>
      <c r="I933" s="40"/>
      <c r="J933" s="40"/>
      <c r="K933" s="40"/>
      <c r="L933" s="40"/>
    </row>
    <row r="934">
      <c r="B934" s="39"/>
      <c r="H934" s="40"/>
      <c r="I934" s="40"/>
      <c r="J934" s="40"/>
      <c r="K934" s="40"/>
      <c r="L934" s="40"/>
    </row>
    <row r="935">
      <c r="B935" s="39"/>
      <c r="H935" s="40"/>
      <c r="I935" s="40"/>
      <c r="J935" s="40"/>
      <c r="K935" s="40"/>
      <c r="L935" s="40"/>
    </row>
    <row r="936">
      <c r="B936" s="39"/>
      <c r="H936" s="40"/>
      <c r="I936" s="40"/>
      <c r="J936" s="40"/>
      <c r="K936" s="40"/>
      <c r="L936" s="40"/>
    </row>
    <row r="937">
      <c r="B937" s="39"/>
      <c r="H937" s="40"/>
      <c r="I937" s="40"/>
      <c r="J937" s="40"/>
      <c r="K937" s="40"/>
      <c r="L937" s="40"/>
    </row>
    <row r="938">
      <c r="B938" s="39"/>
      <c r="H938" s="40"/>
      <c r="I938" s="40"/>
      <c r="J938" s="40"/>
      <c r="K938" s="40"/>
      <c r="L938" s="40"/>
    </row>
    <row r="939">
      <c r="B939" s="39"/>
      <c r="H939" s="40"/>
      <c r="I939" s="40"/>
      <c r="J939" s="40"/>
      <c r="K939" s="40"/>
      <c r="L939" s="40"/>
    </row>
    <row r="940">
      <c r="B940" s="39"/>
      <c r="H940" s="40"/>
      <c r="I940" s="40"/>
      <c r="J940" s="40"/>
      <c r="K940" s="40"/>
      <c r="L940" s="40"/>
    </row>
    <row r="941">
      <c r="B941" s="39"/>
      <c r="H941" s="40"/>
      <c r="I941" s="40"/>
      <c r="J941" s="40"/>
      <c r="K941" s="40"/>
      <c r="L941" s="40"/>
    </row>
    <row r="942">
      <c r="B942" s="39"/>
      <c r="H942" s="40"/>
      <c r="I942" s="40"/>
      <c r="J942" s="40"/>
      <c r="K942" s="40"/>
      <c r="L942" s="40"/>
    </row>
    <row r="943">
      <c r="B943" s="39"/>
      <c r="H943" s="40"/>
      <c r="I943" s="40"/>
      <c r="J943" s="40"/>
      <c r="K943" s="40"/>
      <c r="L943" s="40"/>
    </row>
    <row r="944">
      <c r="B944" s="39"/>
      <c r="H944" s="40"/>
      <c r="I944" s="40"/>
      <c r="J944" s="40"/>
      <c r="K944" s="40"/>
      <c r="L944" s="40"/>
    </row>
    <row r="945">
      <c r="B945" s="39"/>
      <c r="H945" s="40"/>
      <c r="I945" s="40"/>
      <c r="J945" s="40"/>
      <c r="K945" s="40"/>
      <c r="L945" s="40"/>
    </row>
    <row r="946">
      <c r="B946" s="39"/>
      <c r="H946" s="40"/>
      <c r="I946" s="40"/>
      <c r="J946" s="40"/>
      <c r="K946" s="40"/>
      <c r="L946" s="40"/>
    </row>
    <row r="947">
      <c r="B947" s="39"/>
      <c r="H947" s="40"/>
      <c r="I947" s="40"/>
      <c r="J947" s="40"/>
      <c r="K947" s="40"/>
      <c r="L947" s="40"/>
    </row>
    <row r="948">
      <c r="B948" s="39"/>
      <c r="H948" s="40"/>
      <c r="I948" s="40"/>
      <c r="J948" s="40"/>
      <c r="K948" s="40"/>
      <c r="L948" s="40"/>
    </row>
    <row r="949">
      <c r="B949" s="39"/>
      <c r="H949" s="40"/>
      <c r="I949" s="40"/>
      <c r="J949" s="40"/>
      <c r="K949" s="40"/>
      <c r="L949" s="40"/>
    </row>
    <row r="950">
      <c r="B950" s="39"/>
      <c r="H950" s="40"/>
      <c r="I950" s="40"/>
      <c r="J950" s="40"/>
      <c r="K950" s="40"/>
      <c r="L950" s="40"/>
    </row>
    <row r="951">
      <c r="B951" s="39"/>
      <c r="H951" s="40"/>
      <c r="I951" s="40"/>
      <c r="J951" s="40"/>
      <c r="K951" s="40"/>
      <c r="L951" s="40"/>
    </row>
    <row r="952">
      <c r="B952" s="39"/>
      <c r="H952" s="40"/>
      <c r="I952" s="40"/>
      <c r="J952" s="40"/>
      <c r="K952" s="40"/>
      <c r="L952" s="40"/>
    </row>
    <row r="953">
      <c r="B953" s="39"/>
      <c r="H953" s="40"/>
      <c r="I953" s="40"/>
      <c r="J953" s="40"/>
      <c r="K953" s="40"/>
      <c r="L953" s="40"/>
    </row>
    <row r="954">
      <c r="B954" s="39"/>
      <c r="H954" s="40"/>
      <c r="I954" s="40"/>
      <c r="J954" s="40"/>
      <c r="K954" s="40"/>
      <c r="L954" s="40"/>
    </row>
    <row r="955">
      <c r="B955" s="39"/>
      <c r="H955" s="40"/>
      <c r="I955" s="40"/>
      <c r="J955" s="40"/>
      <c r="K955" s="40"/>
      <c r="L955" s="40"/>
    </row>
    <row r="956">
      <c r="B956" s="39"/>
      <c r="H956" s="40"/>
      <c r="I956" s="40"/>
      <c r="J956" s="40"/>
      <c r="K956" s="40"/>
      <c r="L956" s="40"/>
    </row>
    <row r="957">
      <c r="B957" s="39"/>
      <c r="H957" s="40"/>
      <c r="I957" s="40"/>
      <c r="J957" s="40"/>
      <c r="K957" s="40"/>
      <c r="L957" s="40"/>
    </row>
    <row r="958">
      <c r="B958" s="39"/>
      <c r="H958" s="40"/>
      <c r="I958" s="40"/>
      <c r="J958" s="40"/>
      <c r="K958" s="40"/>
      <c r="L958" s="40"/>
    </row>
    <row r="959">
      <c r="B959" s="39"/>
      <c r="H959" s="40"/>
      <c r="I959" s="40"/>
      <c r="J959" s="40"/>
      <c r="K959" s="40"/>
      <c r="L959" s="40"/>
    </row>
    <row r="960">
      <c r="B960" s="39"/>
      <c r="H960" s="40"/>
      <c r="I960" s="40"/>
      <c r="J960" s="40"/>
      <c r="K960" s="40"/>
      <c r="L960" s="40"/>
    </row>
    <row r="961">
      <c r="B961" s="39"/>
      <c r="H961" s="40"/>
      <c r="I961" s="40"/>
      <c r="J961" s="40"/>
      <c r="K961" s="40"/>
      <c r="L961" s="40"/>
    </row>
    <row r="962">
      <c r="B962" s="39"/>
      <c r="H962" s="40"/>
      <c r="I962" s="40"/>
      <c r="J962" s="40"/>
      <c r="K962" s="40"/>
      <c r="L962" s="40"/>
    </row>
    <row r="963">
      <c r="B963" s="39"/>
      <c r="H963" s="40"/>
      <c r="I963" s="40"/>
      <c r="J963" s="40"/>
      <c r="K963" s="40"/>
      <c r="L963" s="40"/>
    </row>
    <row r="964">
      <c r="B964" s="39"/>
      <c r="H964" s="40"/>
      <c r="I964" s="40"/>
      <c r="J964" s="40"/>
      <c r="K964" s="40"/>
      <c r="L964" s="40"/>
    </row>
    <row r="965">
      <c r="B965" s="39"/>
      <c r="H965" s="40"/>
      <c r="I965" s="40"/>
      <c r="J965" s="40"/>
      <c r="K965" s="40"/>
      <c r="L965" s="40"/>
    </row>
    <row r="966">
      <c r="B966" s="39"/>
      <c r="H966" s="40"/>
      <c r="I966" s="40"/>
      <c r="J966" s="40"/>
      <c r="K966" s="40"/>
      <c r="L966" s="40"/>
    </row>
    <row r="967">
      <c r="B967" s="39"/>
      <c r="H967" s="40"/>
      <c r="I967" s="40"/>
      <c r="J967" s="40"/>
      <c r="K967" s="40"/>
      <c r="L967" s="40"/>
    </row>
    <row r="968">
      <c r="B968" s="39"/>
      <c r="H968" s="40"/>
      <c r="I968" s="40"/>
      <c r="J968" s="40"/>
      <c r="K968" s="40"/>
      <c r="L968" s="40"/>
    </row>
    <row r="969">
      <c r="B969" s="39"/>
      <c r="H969" s="40"/>
      <c r="I969" s="40"/>
      <c r="J969" s="40"/>
      <c r="K969" s="40"/>
      <c r="L969" s="40"/>
    </row>
    <row r="970">
      <c r="B970" s="39"/>
      <c r="H970" s="40"/>
      <c r="I970" s="40"/>
      <c r="J970" s="40"/>
      <c r="K970" s="40"/>
      <c r="L970" s="40"/>
    </row>
    <row r="971">
      <c r="B971" s="39"/>
      <c r="H971" s="40"/>
      <c r="I971" s="40"/>
      <c r="J971" s="40"/>
      <c r="K971" s="40"/>
      <c r="L971" s="40"/>
    </row>
    <row r="972">
      <c r="B972" s="39"/>
      <c r="H972" s="40"/>
      <c r="I972" s="40"/>
      <c r="J972" s="40"/>
      <c r="K972" s="40"/>
      <c r="L972" s="40"/>
    </row>
    <row r="973">
      <c r="B973" s="39"/>
      <c r="H973" s="40"/>
      <c r="I973" s="40"/>
      <c r="J973" s="40"/>
      <c r="K973" s="40"/>
      <c r="L973" s="40"/>
    </row>
    <row r="974">
      <c r="B974" s="39"/>
      <c r="H974" s="40"/>
      <c r="I974" s="40"/>
      <c r="J974" s="40"/>
      <c r="K974" s="40"/>
      <c r="L974" s="40"/>
    </row>
    <row r="975">
      <c r="B975" s="39"/>
      <c r="H975" s="40"/>
      <c r="I975" s="40"/>
      <c r="J975" s="40"/>
      <c r="K975" s="40"/>
      <c r="L975" s="40"/>
    </row>
    <row r="976">
      <c r="B976" s="39"/>
      <c r="H976" s="40"/>
      <c r="I976" s="40"/>
      <c r="J976" s="40"/>
      <c r="K976" s="40"/>
      <c r="L976" s="40"/>
    </row>
    <row r="977">
      <c r="B977" s="39"/>
      <c r="H977" s="40"/>
      <c r="I977" s="40"/>
      <c r="J977" s="40"/>
      <c r="K977" s="40"/>
      <c r="L977" s="40"/>
    </row>
    <row r="978">
      <c r="B978" s="39"/>
      <c r="H978" s="40"/>
      <c r="I978" s="40"/>
      <c r="J978" s="40"/>
      <c r="K978" s="40"/>
      <c r="L978" s="40"/>
    </row>
    <row r="979">
      <c r="B979" s="39"/>
      <c r="H979" s="40"/>
      <c r="I979" s="40"/>
      <c r="J979" s="40"/>
      <c r="K979" s="40"/>
      <c r="L979" s="40"/>
    </row>
    <row r="980">
      <c r="B980" s="39"/>
      <c r="H980" s="40"/>
      <c r="I980" s="40"/>
      <c r="J980" s="40"/>
      <c r="K980" s="40"/>
      <c r="L980" s="40"/>
    </row>
    <row r="981">
      <c r="B981" s="39"/>
      <c r="H981" s="40"/>
      <c r="I981" s="40"/>
      <c r="J981" s="40"/>
      <c r="K981" s="40"/>
      <c r="L981" s="40"/>
    </row>
    <row r="982">
      <c r="B982" s="39"/>
      <c r="H982" s="40"/>
      <c r="I982" s="40"/>
      <c r="J982" s="40"/>
      <c r="K982" s="40"/>
      <c r="L982" s="40"/>
    </row>
    <row r="983">
      <c r="B983" s="39"/>
      <c r="H983" s="40"/>
      <c r="I983" s="40"/>
      <c r="J983" s="40"/>
      <c r="K983" s="40"/>
      <c r="L983" s="40"/>
    </row>
    <row r="984">
      <c r="B984" s="39"/>
      <c r="H984" s="40"/>
      <c r="I984" s="40"/>
      <c r="J984" s="40"/>
      <c r="K984" s="40"/>
      <c r="L984" s="40"/>
    </row>
    <row r="985">
      <c r="B985" s="39"/>
      <c r="H985" s="40"/>
      <c r="I985" s="40"/>
      <c r="J985" s="40"/>
      <c r="K985" s="40"/>
      <c r="L985" s="40"/>
    </row>
    <row r="986">
      <c r="B986" s="39"/>
      <c r="H986" s="40"/>
      <c r="I986" s="40"/>
      <c r="J986" s="40"/>
      <c r="K986" s="40"/>
      <c r="L986" s="40"/>
    </row>
    <row r="987">
      <c r="B987" s="39"/>
      <c r="H987" s="40"/>
      <c r="I987" s="40"/>
      <c r="J987" s="40"/>
      <c r="K987" s="40"/>
      <c r="L987" s="40"/>
    </row>
    <row r="988">
      <c r="B988" s="39"/>
      <c r="H988" s="40"/>
      <c r="I988" s="40"/>
      <c r="J988" s="40"/>
      <c r="K988" s="40"/>
      <c r="L988" s="40"/>
    </row>
    <row r="989">
      <c r="B989" s="39"/>
      <c r="H989" s="40"/>
      <c r="I989" s="40"/>
      <c r="J989" s="40"/>
      <c r="K989" s="40"/>
      <c r="L989" s="40"/>
    </row>
    <row r="990">
      <c r="B990" s="39"/>
      <c r="H990" s="40"/>
      <c r="I990" s="40"/>
      <c r="J990" s="40"/>
      <c r="K990" s="40"/>
      <c r="L990" s="40"/>
    </row>
    <row r="991">
      <c r="B991" s="39"/>
      <c r="H991" s="40"/>
      <c r="I991" s="40"/>
      <c r="J991" s="40"/>
      <c r="K991" s="40"/>
      <c r="L991" s="40"/>
    </row>
    <row r="992">
      <c r="B992" s="39"/>
      <c r="H992" s="40"/>
      <c r="I992" s="40"/>
      <c r="J992" s="40"/>
      <c r="K992" s="40"/>
      <c r="L992" s="40"/>
    </row>
    <row r="993">
      <c r="B993" s="39"/>
      <c r="H993" s="40"/>
      <c r="I993" s="40"/>
      <c r="J993" s="40"/>
      <c r="K993" s="40"/>
      <c r="L993" s="40"/>
    </row>
    <row r="994">
      <c r="B994" s="39"/>
      <c r="H994" s="40"/>
      <c r="I994" s="40"/>
      <c r="J994" s="40"/>
      <c r="K994" s="40"/>
      <c r="L994" s="40"/>
    </row>
    <row r="995">
      <c r="B995" s="39"/>
      <c r="H995" s="40"/>
      <c r="I995" s="40"/>
      <c r="J995" s="40"/>
      <c r="K995" s="40"/>
      <c r="L995" s="40"/>
    </row>
    <row r="996">
      <c r="B996" s="39"/>
      <c r="H996" s="40"/>
      <c r="I996" s="40"/>
      <c r="J996" s="40"/>
      <c r="K996" s="40"/>
      <c r="L996" s="40"/>
    </row>
    <row r="997">
      <c r="B997" s="39"/>
      <c r="H997" s="40"/>
      <c r="I997" s="40"/>
      <c r="J997" s="40"/>
      <c r="K997" s="40"/>
      <c r="L997" s="40"/>
    </row>
    <row r="998">
      <c r="B998" s="39"/>
      <c r="H998" s="40"/>
      <c r="I998" s="40"/>
      <c r="J998" s="40"/>
      <c r="K998" s="40"/>
      <c r="L998" s="40"/>
    </row>
    <row r="999">
      <c r="B999" s="39"/>
      <c r="H999" s="40"/>
      <c r="I999" s="40"/>
      <c r="J999" s="40"/>
      <c r="K999" s="40"/>
      <c r="L999" s="40"/>
    </row>
    <row r="1000">
      <c r="B1000" s="39"/>
      <c r="H1000" s="40"/>
      <c r="I1000" s="40"/>
      <c r="J1000" s="40"/>
      <c r="K1000" s="40"/>
      <c r="L1000" s="40"/>
    </row>
  </sheetData>
  <autoFilter ref="$A$652:$B$654"/>
  <dataValidations>
    <dataValidation type="list" allowBlank="1" showErrorMessage="1" sqref="I2:L1000">
      <formula1>"Yes,No,Relevant/Validate"</formula1>
    </dataValidation>
    <dataValidation type="list" allowBlank="1" showErrorMessage="1" sqref="I1">
      <formula1>"Include/Exclude_R1"</formula1>
    </dataValidation>
    <dataValidation type="list" allowBlank="1" showErrorMessage="1" sqref="H2:H1000">
      <formula1>"Clinical trial,Research"</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s>
  <drawing r:id="rId2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75"/>
    <col customWidth="1" min="2" max="2" width="23.13"/>
    <col customWidth="1" min="3" max="3" width="15.88"/>
    <col customWidth="1" min="4" max="4" width="18.38"/>
    <col customWidth="1" min="5" max="5" width="13.75"/>
    <col customWidth="1" min="6" max="6" width="8.13"/>
    <col customWidth="1" min="7" max="7" width="11.5"/>
    <col customWidth="1" min="8" max="8" width="10.25"/>
    <col customWidth="1" min="9" max="9" width="22.38"/>
    <col customWidth="1" min="10" max="10" width="11.75"/>
    <col customWidth="1" min="11" max="11" width="17.63"/>
    <col customWidth="1" min="12" max="12" width="15.5"/>
    <col customWidth="1" min="13" max="13" width="19.0"/>
    <col customWidth="1" min="14" max="15" width="16.88"/>
    <col customWidth="1" min="16" max="16" width="20.0"/>
    <col customWidth="1" min="17" max="17" width="11.75"/>
    <col customWidth="1" min="18" max="18" width="20.0"/>
    <col customWidth="1" min="19" max="19" width="14.38"/>
    <col customWidth="1" min="20" max="20" width="12.63"/>
    <col customWidth="1" min="21" max="21" width="27.38"/>
    <col customWidth="1" min="22" max="22" width="19.75"/>
    <col customWidth="1" min="23" max="23" width="29.75"/>
    <col customWidth="1" min="24" max="25" width="19.5"/>
    <col customWidth="1" min="26" max="26" width="18.5"/>
    <col customWidth="1" min="27" max="27" width="23.25"/>
    <col customWidth="1" min="28" max="29" width="14.63"/>
    <col customWidth="1" min="30" max="30" width="27.38"/>
    <col customWidth="1" min="31" max="31" width="36.13"/>
    <col customWidth="1" min="32" max="36" width="22.88"/>
    <col customWidth="1" min="37" max="37" width="14.5"/>
    <col customWidth="1" min="38" max="38" width="24.5"/>
    <col customWidth="1" min="39" max="39" width="16.38"/>
    <col customWidth="1" min="40" max="40" width="17.38"/>
    <col customWidth="1" min="41" max="41" width="35.0"/>
    <col customWidth="1" min="42" max="42" width="12.63"/>
    <col customWidth="1" min="43" max="43" width="24.5"/>
    <col customWidth="1" min="44" max="44" width="8.75"/>
    <col customWidth="1" min="45" max="45" width="13.5"/>
    <col customWidth="1" min="46" max="46" width="18.25"/>
    <col customWidth="1" min="47" max="48" width="14.75"/>
    <col customWidth="1" min="49" max="49" width="25.25"/>
    <col customWidth="1" min="50" max="50" width="7.88"/>
    <col customWidth="1" min="51" max="51" width="12.38"/>
    <col customWidth="1" min="52" max="55" width="18.5"/>
    <col customWidth="1" min="56" max="57" width="16.13"/>
    <col customWidth="1" min="58" max="60" width="31.13"/>
    <col customWidth="1" min="61" max="61" width="21.63"/>
    <col customWidth="1" min="62" max="62" width="24.5"/>
    <col customWidth="1" min="63" max="63" width="36.38"/>
    <col customWidth="1" min="64" max="64" width="24.5"/>
    <col customWidth="1" min="65" max="67" width="25.0"/>
    <col customWidth="1" min="68" max="72" width="18.5"/>
    <col customWidth="1" min="73" max="73" width="22.13"/>
    <col customWidth="1" min="74" max="75" width="18.5"/>
    <col customWidth="1" min="76" max="76" width="29.13"/>
    <col customWidth="1" min="77" max="82" width="18.5"/>
    <col customWidth="1" min="83" max="87" width="26.0"/>
    <col customWidth="1" min="88" max="96" width="18.5"/>
    <col customWidth="1" min="97" max="97" width="35.5"/>
    <col customWidth="1" min="98" max="98" width="18.5"/>
  </cols>
  <sheetData>
    <row r="1">
      <c r="A1" s="44" t="s">
        <v>0</v>
      </c>
      <c r="B1" s="45" t="s">
        <v>2</v>
      </c>
      <c r="C1" s="45" t="s">
        <v>3</v>
      </c>
      <c r="D1" s="45" t="s">
        <v>4</v>
      </c>
      <c r="E1" s="44" t="s">
        <v>5</v>
      </c>
      <c r="F1" s="44" t="s">
        <v>6</v>
      </c>
      <c r="G1" s="46" t="s">
        <v>7</v>
      </c>
      <c r="H1" s="47" t="s">
        <v>3272</v>
      </c>
      <c r="I1" s="48" t="s">
        <v>3273</v>
      </c>
      <c r="J1" s="48" t="s">
        <v>3274</v>
      </c>
      <c r="K1" s="47" t="s">
        <v>3275</v>
      </c>
      <c r="L1" s="48" t="s">
        <v>3276</v>
      </c>
      <c r="M1" s="49" t="s">
        <v>3277</v>
      </c>
      <c r="N1" s="49" t="s">
        <v>3278</v>
      </c>
      <c r="O1" s="49" t="s">
        <v>3279</v>
      </c>
      <c r="P1" s="47" t="s">
        <v>3280</v>
      </c>
      <c r="Q1" s="48" t="s">
        <v>3281</v>
      </c>
      <c r="R1" s="47"/>
      <c r="S1" s="48" t="s">
        <v>3282</v>
      </c>
      <c r="T1" s="47" t="s">
        <v>3283</v>
      </c>
      <c r="U1" s="49" t="s">
        <v>3284</v>
      </c>
      <c r="V1" s="49" t="s">
        <v>3285</v>
      </c>
      <c r="W1" s="47" t="s">
        <v>3286</v>
      </c>
      <c r="X1" s="49" t="s">
        <v>3287</v>
      </c>
      <c r="Y1" s="49" t="s">
        <v>3288</v>
      </c>
      <c r="Z1" s="49" t="s">
        <v>3289</v>
      </c>
      <c r="AA1" s="49" t="s">
        <v>3290</v>
      </c>
      <c r="AB1" s="49"/>
      <c r="AC1" s="50" t="s">
        <v>3291</v>
      </c>
      <c r="AD1" s="50" t="s">
        <v>3292</v>
      </c>
      <c r="AE1" s="49" t="s">
        <v>3293</v>
      </c>
      <c r="AF1" s="49" t="s">
        <v>3294</v>
      </c>
      <c r="AG1" s="49" t="s">
        <v>3295</v>
      </c>
      <c r="AH1" s="49" t="s">
        <v>3296</v>
      </c>
      <c r="AI1" s="49" t="s">
        <v>3297</v>
      </c>
      <c r="AJ1" s="49" t="s">
        <v>3298</v>
      </c>
      <c r="AK1" s="49" t="s">
        <v>3299</v>
      </c>
      <c r="AL1" s="47" t="s">
        <v>3300</v>
      </c>
      <c r="AM1" s="47" t="s">
        <v>3301</v>
      </c>
      <c r="AN1" s="49" t="s">
        <v>3302</v>
      </c>
      <c r="AO1" s="49" t="s">
        <v>3303</v>
      </c>
      <c r="AP1" s="47" t="s">
        <v>3304</v>
      </c>
      <c r="AQ1" s="47" t="s">
        <v>3305</v>
      </c>
      <c r="AR1" s="48" t="s">
        <v>3306</v>
      </c>
      <c r="AS1" s="49" t="s">
        <v>3307</v>
      </c>
      <c r="AT1" s="49" t="s">
        <v>3308</v>
      </c>
      <c r="AU1" s="47"/>
      <c r="AV1" s="47" t="s">
        <v>3309</v>
      </c>
      <c r="AW1" s="48" t="s">
        <v>3310</v>
      </c>
      <c r="AX1" s="51" t="s">
        <v>3311</v>
      </c>
      <c r="AY1" s="47" t="s">
        <v>3312</v>
      </c>
      <c r="AZ1" s="48" t="s">
        <v>3313</v>
      </c>
      <c r="BA1" s="49" t="s">
        <v>3314</v>
      </c>
      <c r="BB1" s="49" t="s">
        <v>3289</v>
      </c>
      <c r="BC1" s="48" t="s">
        <v>3315</v>
      </c>
      <c r="BD1" s="48" t="s">
        <v>3316</v>
      </c>
      <c r="BE1" s="48" t="s">
        <v>3317</v>
      </c>
      <c r="BF1" s="49" t="s">
        <v>3318</v>
      </c>
      <c r="BG1" s="49" t="s">
        <v>3319</v>
      </c>
      <c r="BH1" s="49" t="s">
        <v>3320</v>
      </c>
      <c r="BI1" s="49" t="s">
        <v>3321</v>
      </c>
      <c r="BJ1" s="49" t="s">
        <v>3322</v>
      </c>
      <c r="BK1" s="49" t="s">
        <v>3323</v>
      </c>
      <c r="BL1" s="49" t="s">
        <v>3324</v>
      </c>
      <c r="BM1" s="49" t="s">
        <v>3325</v>
      </c>
      <c r="BN1" s="49" t="s">
        <v>3326</v>
      </c>
      <c r="BO1" s="48" t="s">
        <v>3327</v>
      </c>
      <c r="BP1" s="48" t="s">
        <v>3328</v>
      </c>
      <c r="BQ1" s="48" t="s">
        <v>3329</v>
      </c>
      <c r="BR1" s="49" t="s">
        <v>3330</v>
      </c>
      <c r="BS1" s="49" t="s">
        <v>3331</v>
      </c>
      <c r="BT1" s="48" t="s">
        <v>3332</v>
      </c>
      <c r="BU1" s="49" t="s">
        <v>3333</v>
      </c>
      <c r="BV1" s="49" t="s">
        <v>3334</v>
      </c>
      <c r="BW1" s="49" t="s">
        <v>3335</v>
      </c>
      <c r="BX1" s="49" t="s">
        <v>3336</v>
      </c>
      <c r="BY1" s="48" t="s">
        <v>3337</v>
      </c>
      <c r="BZ1" s="49" t="s">
        <v>3338</v>
      </c>
      <c r="CA1" s="49" t="s">
        <v>3303</v>
      </c>
      <c r="CB1" s="49" t="s">
        <v>3339</v>
      </c>
      <c r="CC1" s="49" t="s">
        <v>3340</v>
      </c>
      <c r="CD1" s="49" t="s">
        <v>3341</v>
      </c>
      <c r="CE1" s="49" t="s">
        <v>3342</v>
      </c>
      <c r="CF1" s="49" t="s">
        <v>3343</v>
      </c>
      <c r="CG1" s="49" t="s">
        <v>3344</v>
      </c>
      <c r="CH1" s="49" t="s">
        <v>3345</v>
      </c>
      <c r="CI1" s="49"/>
      <c r="CJ1" s="48" t="s">
        <v>3346</v>
      </c>
      <c r="CK1" s="48" t="s">
        <v>3347</v>
      </c>
      <c r="CL1" s="49" t="s">
        <v>3348</v>
      </c>
      <c r="CM1" s="49" t="s">
        <v>3349</v>
      </c>
      <c r="CN1" s="49" t="s">
        <v>3350</v>
      </c>
      <c r="CO1" s="49" t="s">
        <v>3351</v>
      </c>
      <c r="CP1" s="49" t="s">
        <v>3352</v>
      </c>
      <c r="CQ1" s="49" t="s">
        <v>3353</v>
      </c>
      <c r="CR1" s="49" t="s">
        <v>3354</v>
      </c>
      <c r="CS1" s="49" t="s">
        <v>3355</v>
      </c>
      <c r="CT1" s="49" t="s">
        <v>3356</v>
      </c>
    </row>
    <row r="2">
      <c r="A2" s="52">
        <v>2020.0</v>
      </c>
      <c r="B2" s="53" t="s">
        <v>23</v>
      </c>
      <c r="C2" s="54" t="s">
        <v>24</v>
      </c>
      <c r="D2" s="55" t="s">
        <v>25</v>
      </c>
      <c r="E2" s="56" t="s">
        <v>26</v>
      </c>
      <c r="F2" s="57" t="s">
        <v>18</v>
      </c>
      <c r="G2" s="56" t="s">
        <v>19</v>
      </c>
      <c r="H2" s="58" t="s">
        <v>3357</v>
      </c>
      <c r="I2" s="59" t="s">
        <v>3358</v>
      </c>
      <c r="J2" s="59" t="s">
        <v>3359</v>
      </c>
      <c r="K2" s="58" t="s">
        <v>3360</v>
      </c>
      <c r="L2" s="59" t="s">
        <v>3361</v>
      </c>
      <c r="M2" s="60" t="s">
        <v>3362</v>
      </c>
      <c r="N2" s="61">
        <v>3.0</v>
      </c>
      <c r="O2" s="61"/>
      <c r="P2" s="62"/>
      <c r="Q2" s="59" t="s">
        <v>3363</v>
      </c>
      <c r="R2" s="58" t="s">
        <v>3364</v>
      </c>
      <c r="S2" s="59" t="s">
        <v>3365</v>
      </c>
      <c r="T2" s="62"/>
      <c r="U2" s="61"/>
      <c r="V2" s="61" t="s">
        <v>3366</v>
      </c>
      <c r="W2" s="62"/>
      <c r="X2" s="60" t="s">
        <v>3367</v>
      </c>
      <c r="Y2" s="60"/>
      <c r="Z2" s="60"/>
      <c r="AA2" s="60"/>
      <c r="AB2" s="60"/>
      <c r="AC2" s="60"/>
      <c r="AD2" s="60"/>
      <c r="AE2" s="60"/>
      <c r="AF2" s="60"/>
      <c r="AG2" s="60"/>
      <c r="AH2" s="60"/>
      <c r="AI2" s="60"/>
      <c r="AJ2" s="60"/>
      <c r="AK2" s="61" t="s">
        <v>3368</v>
      </c>
      <c r="AL2" s="58" t="s">
        <v>3362</v>
      </c>
      <c r="AM2" s="58"/>
      <c r="AN2" s="60" t="s">
        <v>3369</v>
      </c>
      <c r="AO2" s="60"/>
      <c r="AP2" s="62"/>
      <c r="AQ2" s="58"/>
      <c r="AR2" s="59" t="s">
        <v>27</v>
      </c>
      <c r="AS2" s="60" t="s">
        <v>3370</v>
      </c>
      <c r="AT2" s="60" t="s">
        <v>3371</v>
      </c>
      <c r="AU2" s="62"/>
      <c r="AV2" s="62"/>
      <c r="AW2" s="59" t="s">
        <v>3372</v>
      </c>
      <c r="AX2" s="63"/>
      <c r="AY2" s="62"/>
      <c r="AZ2" s="59"/>
      <c r="BA2" s="61"/>
      <c r="BB2" s="61"/>
      <c r="BC2" s="59"/>
      <c r="BD2" s="59" t="s">
        <v>27</v>
      </c>
      <c r="BE2" s="59" t="s">
        <v>3373</v>
      </c>
      <c r="BF2" s="61" t="s">
        <v>3374</v>
      </c>
      <c r="BG2" s="61"/>
      <c r="BH2" s="61"/>
      <c r="BI2" s="61" t="s">
        <v>3375</v>
      </c>
      <c r="BJ2" s="61" t="s">
        <v>3376</v>
      </c>
      <c r="BK2" s="61"/>
      <c r="BL2" s="61"/>
      <c r="BM2" s="61" t="s">
        <v>20</v>
      </c>
      <c r="BN2" s="61"/>
      <c r="BO2" s="59"/>
      <c r="BP2" s="59" t="s">
        <v>20</v>
      </c>
      <c r="BQ2" s="59"/>
      <c r="BR2" s="61"/>
      <c r="BS2" s="61"/>
      <c r="BT2" s="59"/>
      <c r="BU2" s="61"/>
      <c r="BV2" s="61"/>
      <c r="BW2" s="61"/>
      <c r="BX2" s="61"/>
      <c r="BY2" s="59"/>
      <c r="BZ2" s="61"/>
      <c r="CA2" s="61"/>
      <c r="CB2" s="61"/>
      <c r="CC2" s="61"/>
      <c r="CD2" s="61"/>
      <c r="CE2" s="61"/>
      <c r="CF2" s="61"/>
      <c r="CG2" s="61"/>
      <c r="CH2" s="61"/>
      <c r="CI2" s="61"/>
      <c r="CJ2" s="59"/>
      <c r="CK2" s="59"/>
      <c r="CL2" s="61"/>
      <c r="CM2" s="61"/>
      <c r="CN2" s="61"/>
      <c r="CO2" s="61"/>
      <c r="CP2" s="61"/>
      <c r="CQ2" s="61"/>
      <c r="CR2" s="61"/>
      <c r="CS2" s="61" t="s">
        <v>3377</v>
      </c>
      <c r="CT2" s="61"/>
    </row>
    <row r="3">
      <c r="A3" s="64">
        <v>2018.0</v>
      </c>
      <c r="B3" s="65" t="s">
        <v>58</v>
      </c>
      <c r="C3" s="65" t="s">
        <v>59</v>
      </c>
      <c r="D3" s="66" t="s">
        <v>60</v>
      </c>
      <c r="E3" s="18" t="s">
        <v>61</v>
      </c>
      <c r="F3" s="18" t="s">
        <v>18</v>
      </c>
      <c r="G3" s="19" t="s">
        <v>19</v>
      </c>
      <c r="H3" s="67" t="s">
        <v>27</v>
      </c>
      <c r="I3" s="68" t="s">
        <v>3358</v>
      </c>
      <c r="J3" s="69" t="s">
        <v>3359</v>
      </c>
      <c r="K3" s="67" t="s">
        <v>3378</v>
      </c>
      <c r="L3" s="69" t="s">
        <v>3379</v>
      </c>
      <c r="M3" s="70" t="s">
        <v>3380</v>
      </c>
      <c r="N3" s="71">
        <v>75.0</v>
      </c>
      <c r="O3" s="71" t="s">
        <v>27</v>
      </c>
      <c r="P3" s="67" t="s">
        <v>3381</v>
      </c>
      <c r="Q3" s="68" t="s">
        <v>3363</v>
      </c>
      <c r="R3" s="72"/>
      <c r="S3" s="68" t="s">
        <v>3365</v>
      </c>
      <c r="T3" s="67" t="s">
        <v>3378</v>
      </c>
      <c r="U3" s="70"/>
      <c r="V3" s="70" t="s">
        <v>3382</v>
      </c>
      <c r="W3" s="67" t="s">
        <v>3383</v>
      </c>
      <c r="X3" s="71" t="s">
        <v>3384</v>
      </c>
      <c r="Y3" s="73" t="s">
        <v>3385</v>
      </c>
      <c r="Z3" s="71" t="s">
        <v>3386</v>
      </c>
      <c r="AA3" s="71" t="s">
        <v>3387</v>
      </c>
      <c r="AB3" s="71"/>
      <c r="AC3" s="71" t="s">
        <v>3388</v>
      </c>
      <c r="AD3" s="71" t="s">
        <v>3389</v>
      </c>
      <c r="AE3" s="70"/>
      <c r="AF3" s="70"/>
      <c r="AG3" s="70"/>
      <c r="AH3" s="70"/>
      <c r="AI3" s="70"/>
      <c r="AJ3" s="70"/>
      <c r="AK3" s="70" t="s">
        <v>3390</v>
      </c>
      <c r="AL3" s="67" t="s">
        <v>3391</v>
      </c>
      <c r="AM3" s="67" t="s">
        <v>3392</v>
      </c>
      <c r="AN3" s="74" t="s">
        <v>3393</v>
      </c>
      <c r="AO3" s="75"/>
      <c r="AP3" s="67" t="s">
        <v>3394</v>
      </c>
      <c r="AQ3" s="67"/>
      <c r="AR3" s="69" t="s">
        <v>27</v>
      </c>
      <c r="AS3" s="70" t="s">
        <v>3370</v>
      </c>
      <c r="AT3" s="70" t="s">
        <v>3371</v>
      </c>
      <c r="AU3" s="72"/>
      <c r="AV3" s="72"/>
      <c r="AW3" s="69" t="s">
        <v>3395</v>
      </c>
      <c r="AX3" s="21"/>
      <c r="AY3" s="72"/>
      <c r="AZ3" s="69" t="s">
        <v>27</v>
      </c>
      <c r="BA3" s="71" t="s">
        <v>3396</v>
      </c>
      <c r="BB3" s="71"/>
      <c r="BC3" s="76"/>
      <c r="BD3" s="69" t="s">
        <v>27</v>
      </c>
      <c r="BE3" s="69" t="s">
        <v>3397</v>
      </c>
      <c r="BF3" s="71" t="s">
        <v>3398</v>
      </c>
      <c r="BG3" s="71"/>
      <c r="BH3" s="71"/>
      <c r="BI3" s="71" t="s">
        <v>3399</v>
      </c>
      <c r="BJ3" s="71" t="s">
        <v>3400</v>
      </c>
      <c r="BK3" s="71"/>
      <c r="BL3" s="71" t="s">
        <v>3401</v>
      </c>
      <c r="BM3" s="71" t="s">
        <v>20</v>
      </c>
      <c r="BN3" s="71"/>
      <c r="BO3" s="69"/>
      <c r="BP3" s="69" t="s">
        <v>20</v>
      </c>
      <c r="BQ3" s="69"/>
      <c r="BR3" s="71"/>
      <c r="BS3" s="71" t="s">
        <v>3402</v>
      </c>
      <c r="BT3" s="69"/>
      <c r="BU3" s="71"/>
      <c r="BV3" s="71"/>
      <c r="BW3" s="71"/>
      <c r="BX3" s="71"/>
      <c r="BY3" s="69"/>
      <c r="BZ3" s="71"/>
      <c r="CA3" s="71"/>
      <c r="CB3" s="71"/>
      <c r="CC3" s="71"/>
      <c r="CD3" s="71"/>
      <c r="CE3" s="71"/>
      <c r="CF3" s="71"/>
      <c r="CG3" s="71"/>
      <c r="CH3" s="71"/>
      <c r="CI3" s="71"/>
      <c r="CJ3" s="69"/>
      <c r="CK3" s="69"/>
      <c r="CL3" s="71"/>
      <c r="CM3" s="71"/>
      <c r="CN3" s="71"/>
      <c r="CO3" s="71"/>
      <c r="CP3" s="71"/>
      <c r="CQ3" s="71"/>
      <c r="CR3" s="71"/>
      <c r="CS3" s="71"/>
      <c r="CT3" s="71"/>
    </row>
    <row r="4">
      <c r="A4" s="52">
        <v>2022.0</v>
      </c>
      <c r="B4" s="54" t="s">
        <v>70</v>
      </c>
      <c r="C4" s="54" t="s">
        <v>71</v>
      </c>
      <c r="D4" s="77" t="s">
        <v>72</v>
      </c>
      <c r="E4" s="57" t="s">
        <v>73</v>
      </c>
      <c r="F4" s="56" t="s">
        <v>18</v>
      </c>
      <c r="G4" s="56" t="s">
        <v>19</v>
      </c>
      <c r="H4" s="58" t="s">
        <v>3403</v>
      </c>
      <c r="I4" s="78" t="s">
        <v>3358</v>
      </c>
      <c r="J4" s="59" t="s">
        <v>3359</v>
      </c>
      <c r="K4" s="62"/>
      <c r="L4" s="78" t="s">
        <v>3361</v>
      </c>
      <c r="M4" s="60" t="s">
        <v>3362</v>
      </c>
      <c r="N4" s="79"/>
      <c r="O4" s="79"/>
      <c r="P4" s="62"/>
      <c r="Q4" s="78" t="s">
        <v>3363</v>
      </c>
      <c r="R4" s="62"/>
      <c r="S4" s="78" t="s">
        <v>3365</v>
      </c>
      <c r="T4" s="62"/>
      <c r="U4" s="60"/>
      <c r="V4" s="60" t="s">
        <v>3382</v>
      </c>
      <c r="W4" s="62"/>
      <c r="X4" s="60" t="s">
        <v>3404</v>
      </c>
      <c r="Y4" s="60"/>
      <c r="Z4" s="60"/>
      <c r="AA4" s="60"/>
      <c r="AB4" s="60"/>
      <c r="AC4" s="60"/>
      <c r="AD4" s="60"/>
      <c r="AE4" s="60"/>
      <c r="AF4" s="60"/>
      <c r="AG4" s="60"/>
      <c r="AH4" s="60"/>
      <c r="AI4" s="60"/>
      <c r="AJ4" s="60"/>
      <c r="AK4" s="60" t="s">
        <v>3369</v>
      </c>
      <c r="AL4" s="62"/>
      <c r="AM4" s="62"/>
      <c r="AN4" s="60" t="s">
        <v>3369</v>
      </c>
      <c r="AO4" s="60"/>
      <c r="AP4" s="62"/>
      <c r="AQ4" s="62"/>
      <c r="AR4" s="59" t="s">
        <v>27</v>
      </c>
      <c r="AS4" s="60" t="s">
        <v>3405</v>
      </c>
      <c r="AT4" s="60" t="s">
        <v>3371</v>
      </c>
      <c r="AU4" s="62"/>
      <c r="AV4" s="62"/>
      <c r="AW4" s="59" t="s">
        <v>3406</v>
      </c>
      <c r="AX4" s="63"/>
      <c r="AY4" s="62"/>
      <c r="AZ4" s="59"/>
      <c r="BA4" s="61"/>
      <c r="BB4" s="61"/>
      <c r="BC4" s="59"/>
      <c r="BD4" s="59" t="s">
        <v>27</v>
      </c>
      <c r="BE4" s="59" t="s">
        <v>3362</v>
      </c>
      <c r="BF4" s="61" t="s">
        <v>3362</v>
      </c>
      <c r="BG4" s="61"/>
      <c r="BH4" s="61"/>
      <c r="BI4" s="61" t="s">
        <v>3407</v>
      </c>
      <c r="BJ4" s="61" t="s">
        <v>3408</v>
      </c>
      <c r="BK4" s="61"/>
      <c r="BL4" s="61"/>
      <c r="BM4" s="61" t="s">
        <v>27</v>
      </c>
      <c r="BN4" s="61"/>
      <c r="BO4" s="59"/>
      <c r="BP4" s="59" t="s">
        <v>20</v>
      </c>
      <c r="BQ4" s="59"/>
      <c r="BR4" s="61"/>
      <c r="BS4" s="61"/>
      <c r="BT4" s="59"/>
      <c r="BU4" s="61"/>
      <c r="BV4" s="61"/>
      <c r="BW4" s="61"/>
      <c r="BX4" s="61"/>
      <c r="BY4" s="59"/>
      <c r="BZ4" s="61"/>
      <c r="CA4" s="61"/>
      <c r="CB4" s="61"/>
      <c r="CC4" s="61"/>
      <c r="CD4" s="61"/>
      <c r="CE4" s="61"/>
      <c r="CF4" s="61"/>
      <c r="CG4" s="61"/>
      <c r="CH4" s="61"/>
      <c r="CI4" s="61"/>
      <c r="CJ4" s="59"/>
      <c r="CK4" s="59"/>
      <c r="CL4" s="61"/>
      <c r="CM4" s="61"/>
      <c r="CN4" s="61"/>
      <c r="CO4" s="61"/>
      <c r="CP4" s="61"/>
      <c r="CQ4" s="61"/>
      <c r="CR4" s="61"/>
      <c r="CS4" s="61" t="s">
        <v>3409</v>
      </c>
      <c r="CT4" s="61"/>
    </row>
    <row r="5">
      <c r="A5" s="52">
        <v>2024.0</v>
      </c>
      <c r="B5" s="53" t="s">
        <v>90</v>
      </c>
      <c r="C5" s="54" t="s">
        <v>59</v>
      </c>
      <c r="D5" s="55" t="s">
        <v>91</v>
      </c>
      <c r="E5" s="56" t="s">
        <v>92</v>
      </c>
      <c r="F5" s="57" t="s">
        <v>18</v>
      </c>
      <c r="G5" s="56" t="s">
        <v>19</v>
      </c>
      <c r="H5" s="58" t="s">
        <v>3410</v>
      </c>
      <c r="I5" s="78" t="s">
        <v>3411</v>
      </c>
      <c r="J5" s="59" t="s">
        <v>3359</v>
      </c>
      <c r="K5" s="62"/>
      <c r="L5" s="78" t="s">
        <v>3412</v>
      </c>
      <c r="M5" s="60" t="s">
        <v>3362</v>
      </c>
      <c r="N5" s="79"/>
      <c r="O5" s="79"/>
      <c r="P5" s="62"/>
      <c r="Q5" s="78" t="s">
        <v>3413</v>
      </c>
      <c r="R5" s="62"/>
      <c r="S5" s="78" t="s">
        <v>3365</v>
      </c>
      <c r="T5" s="62"/>
      <c r="U5" s="60"/>
      <c r="V5" s="60" t="s">
        <v>3366</v>
      </c>
      <c r="W5" s="62"/>
      <c r="X5" s="60" t="s">
        <v>3367</v>
      </c>
      <c r="Y5" s="60"/>
      <c r="Z5" s="60"/>
      <c r="AA5" s="60"/>
      <c r="AB5" s="60"/>
      <c r="AC5" s="60"/>
      <c r="AD5" s="60"/>
      <c r="AE5" s="60"/>
      <c r="AF5" s="60"/>
      <c r="AG5" s="60"/>
      <c r="AH5" s="60"/>
      <c r="AI5" s="60"/>
      <c r="AJ5" s="60"/>
      <c r="AK5" s="60" t="s">
        <v>3414</v>
      </c>
      <c r="AL5" s="62"/>
      <c r="AM5" s="62"/>
      <c r="AN5" s="60" t="s">
        <v>3415</v>
      </c>
      <c r="AO5" s="60"/>
      <c r="AP5" s="58" t="s">
        <v>3416</v>
      </c>
      <c r="AQ5" s="62"/>
      <c r="AR5" s="59" t="s">
        <v>27</v>
      </c>
      <c r="AS5" s="60" t="s">
        <v>3370</v>
      </c>
      <c r="AT5" s="60" t="s">
        <v>3371</v>
      </c>
      <c r="AU5" s="62"/>
      <c r="AV5" s="62"/>
      <c r="AW5" s="59" t="s">
        <v>3395</v>
      </c>
      <c r="AX5" s="63"/>
      <c r="AY5" s="62"/>
      <c r="AZ5" s="59"/>
      <c r="BA5" s="61"/>
      <c r="BB5" s="61"/>
      <c r="BC5" s="59"/>
      <c r="BD5" s="59" t="s">
        <v>27</v>
      </c>
      <c r="BE5" s="59" t="s">
        <v>3362</v>
      </c>
      <c r="BF5" s="61" t="s">
        <v>3417</v>
      </c>
      <c r="BG5" s="61"/>
      <c r="BH5" s="61"/>
      <c r="BI5" s="61" t="s">
        <v>3418</v>
      </c>
      <c r="BJ5" s="61" t="s">
        <v>3419</v>
      </c>
      <c r="BK5" s="61"/>
      <c r="BL5" s="61"/>
      <c r="BM5" s="61" t="s">
        <v>3420</v>
      </c>
      <c r="BN5" s="61"/>
      <c r="BO5" s="59"/>
      <c r="BP5" s="59" t="s">
        <v>20</v>
      </c>
      <c r="BQ5" s="59"/>
      <c r="BR5" s="61"/>
      <c r="BS5" s="61"/>
      <c r="BT5" s="59"/>
      <c r="BU5" s="61"/>
      <c r="BV5" s="61"/>
      <c r="BW5" s="61"/>
      <c r="BX5" s="61"/>
      <c r="BY5" s="59"/>
      <c r="BZ5" s="61"/>
      <c r="CA5" s="61"/>
      <c r="CB5" s="61"/>
      <c r="CC5" s="61"/>
      <c r="CD5" s="61"/>
      <c r="CE5" s="61"/>
      <c r="CF5" s="61"/>
      <c r="CG5" s="61"/>
      <c r="CH5" s="61"/>
      <c r="CI5" s="61"/>
      <c r="CJ5" s="59"/>
      <c r="CK5" s="59"/>
      <c r="CL5" s="61"/>
      <c r="CM5" s="61"/>
      <c r="CN5" s="61"/>
      <c r="CO5" s="61"/>
      <c r="CP5" s="61"/>
      <c r="CQ5" s="61"/>
      <c r="CR5" s="61"/>
      <c r="CS5" s="61" t="s">
        <v>3421</v>
      </c>
      <c r="CT5" s="61"/>
    </row>
    <row r="6">
      <c r="A6" s="52">
        <v>2025.0</v>
      </c>
      <c r="B6" s="54" t="s">
        <v>167</v>
      </c>
      <c r="C6" s="54" t="s">
        <v>168</v>
      </c>
      <c r="D6" s="55" t="s">
        <v>169</v>
      </c>
      <c r="E6" s="57" t="s">
        <v>170</v>
      </c>
      <c r="F6" s="57" t="s">
        <v>18</v>
      </c>
      <c r="G6" s="56" t="s">
        <v>19</v>
      </c>
      <c r="H6" s="58" t="s">
        <v>20</v>
      </c>
      <c r="I6" s="78" t="s">
        <v>3422</v>
      </c>
      <c r="J6" s="59" t="s">
        <v>3359</v>
      </c>
      <c r="K6" s="62"/>
      <c r="L6" s="78" t="s">
        <v>3361</v>
      </c>
      <c r="M6" s="60" t="s">
        <v>3362</v>
      </c>
      <c r="N6" s="79"/>
      <c r="O6" s="79"/>
      <c r="P6" s="62"/>
      <c r="Q6" s="78" t="s">
        <v>3363</v>
      </c>
      <c r="R6" s="62"/>
      <c r="S6" s="78" t="s">
        <v>3423</v>
      </c>
      <c r="T6" s="62"/>
      <c r="U6" s="60"/>
      <c r="V6" s="60" t="s">
        <v>3368</v>
      </c>
      <c r="W6" s="58" t="s">
        <v>3424</v>
      </c>
      <c r="X6" s="60" t="s">
        <v>3425</v>
      </c>
      <c r="Y6" s="60"/>
      <c r="Z6" s="60"/>
      <c r="AA6" s="60"/>
      <c r="AB6" s="60"/>
      <c r="AC6" s="60"/>
      <c r="AD6" s="60"/>
      <c r="AE6" s="60"/>
      <c r="AF6" s="60"/>
      <c r="AG6" s="60"/>
      <c r="AH6" s="60"/>
      <c r="AI6" s="60"/>
      <c r="AJ6" s="60"/>
      <c r="AK6" s="60" t="s">
        <v>3369</v>
      </c>
      <c r="AL6" s="62"/>
      <c r="AM6" s="62"/>
      <c r="AN6" s="60" t="s">
        <v>3369</v>
      </c>
      <c r="AO6" s="60"/>
      <c r="AP6" s="62"/>
      <c r="AQ6" s="62"/>
      <c r="AR6" s="59" t="s">
        <v>27</v>
      </c>
      <c r="AS6" s="60" t="s">
        <v>3405</v>
      </c>
      <c r="AT6" s="60" t="s">
        <v>3371</v>
      </c>
      <c r="AU6" s="62"/>
      <c r="AV6" s="62"/>
      <c r="AW6" s="59" t="s">
        <v>3395</v>
      </c>
      <c r="AX6" s="63"/>
      <c r="AY6" s="62"/>
      <c r="AZ6" s="59"/>
      <c r="BA6" s="61"/>
      <c r="BB6" s="61"/>
      <c r="BC6" s="59"/>
      <c r="BD6" s="59" t="s">
        <v>27</v>
      </c>
      <c r="BE6" s="59" t="s">
        <v>3426</v>
      </c>
      <c r="BF6" s="61" t="s">
        <v>3427</v>
      </c>
      <c r="BG6" s="61"/>
      <c r="BH6" s="61"/>
      <c r="BI6" s="61" t="s">
        <v>3399</v>
      </c>
      <c r="BJ6" s="61" t="s">
        <v>3428</v>
      </c>
      <c r="BK6" s="61"/>
      <c r="BL6" s="61"/>
      <c r="BM6" s="61" t="s">
        <v>20</v>
      </c>
      <c r="BN6" s="61"/>
      <c r="BO6" s="59"/>
      <c r="BP6" s="59" t="s">
        <v>20</v>
      </c>
      <c r="BQ6" s="59"/>
      <c r="BR6" s="61"/>
      <c r="BS6" s="61"/>
      <c r="BT6" s="59"/>
      <c r="BU6" s="61"/>
      <c r="BV6" s="61"/>
      <c r="BW6" s="61"/>
      <c r="BX6" s="61"/>
      <c r="BY6" s="59"/>
      <c r="BZ6" s="61"/>
      <c r="CA6" s="61"/>
      <c r="CB6" s="61"/>
      <c r="CC6" s="61"/>
      <c r="CD6" s="61"/>
      <c r="CE6" s="61"/>
      <c r="CF6" s="61"/>
      <c r="CG6" s="61"/>
      <c r="CH6" s="61"/>
      <c r="CI6" s="61"/>
      <c r="CJ6" s="59"/>
      <c r="CK6" s="59"/>
      <c r="CL6" s="61"/>
      <c r="CM6" s="61"/>
      <c r="CN6" s="61"/>
      <c r="CO6" s="61"/>
      <c r="CP6" s="61"/>
      <c r="CQ6" s="61"/>
      <c r="CR6" s="61"/>
      <c r="CS6" s="61" t="s">
        <v>3429</v>
      </c>
      <c r="CT6" s="61"/>
    </row>
    <row r="7">
      <c r="A7" s="52">
        <v>2018.0</v>
      </c>
      <c r="B7" s="54" t="s">
        <v>188</v>
      </c>
      <c r="C7" s="54" t="s">
        <v>112</v>
      </c>
      <c r="D7" s="55" t="s">
        <v>189</v>
      </c>
      <c r="E7" s="57" t="s">
        <v>190</v>
      </c>
      <c r="F7" s="57" t="s">
        <v>18</v>
      </c>
      <c r="G7" s="56" t="s">
        <v>19</v>
      </c>
      <c r="H7" s="58" t="s">
        <v>20</v>
      </c>
      <c r="I7" s="78" t="s">
        <v>3358</v>
      </c>
      <c r="J7" s="59" t="s">
        <v>3359</v>
      </c>
      <c r="K7" s="58" t="s">
        <v>3430</v>
      </c>
      <c r="L7" s="78" t="s">
        <v>3431</v>
      </c>
      <c r="M7" s="60" t="s">
        <v>3432</v>
      </c>
      <c r="N7" s="61" t="s">
        <v>3433</v>
      </c>
      <c r="O7" s="61"/>
      <c r="P7" s="62"/>
      <c r="Q7" s="78" t="s">
        <v>3434</v>
      </c>
      <c r="R7" s="62"/>
      <c r="S7" s="78" t="s">
        <v>3365</v>
      </c>
      <c r="T7" s="62"/>
      <c r="U7" s="60"/>
      <c r="V7" s="60" t="s">
        <v>3382</v>
      </c>
      <c r="W7" s="62"/>
      <c r="X7" s="60" t="s">
        <v>3404</v>
      </c>
      <c r="Y7" s="60"/>
      <c r="Z7" s="60"/>
      <c r="AA7" s="60"/>
      <c r="AB7" s="60"/>
      <c r="AC7" s="60"/>
      <c r="AD7" s="60"/>
      <c r="AE7" s="60"/>
      <c r="AF7" s="60"/>
      <c r="AG7" s="60"/>
      <c r="AH7" s="60"/>
      <c r="AI7" s="60"/>
      <c r="AJ7" s="60"/>
      <c r="AK7" s="60" t="s">
        <v>3369</v>
      </c>
      <c r="AL7" s="62"/>
      <c r="AM7" s="62"/>
      <c r="AN7" s="60" t="s">
        <v>3369</v>
      </c>
      <c r="AO7" s="60"/>
      <c r="AP7" s="62"/>
      <c r="AQ7" s="62"/>
      <c r="AR7" s="59" t="s">
        <v>27</v>
      </c>
      <c r="AS7" s="60" t="s">
        <v>3405</v>
      </c>
      <c r="AT7" s="60" t="s">
        <v>3371</v>
      </c>
      <c r="AU7" s="62"/>
      <c r="AV7" s="62"/>
      <c r="AW7" s="59" t="s">
        <v>3395</v>
      </c>
      <c r="AX7" s="63"/>
      <c r="AY7" s="62"/>
      <c r="AZ7" s="59"/>
      <c r="BA7" s="61"/>
      <c r="BB7" s="61"/>
      <c r="BC7" s="59"/>
      <c r="BD7" s="59" t="s">
        <v>27</v>
      </c>
      <c r="BE7" s="59" t="s">
        <v>3362</v>
      </c>
      <c r="BF7" s="61" t="s">
        <v>3435</v>
      </c>
      <c r="BG7" s="61"/>
      <c r="BH7" s="61"/>
      <c r="BI7" s="61" t="s">
        <v>3418</v>
      </c>
      <c r="BJ7" s="61" t="s">
        <v>27</v>
      </c>
      <c r="BK7" s="61"/>
      <c r="BL7" s="61"/>
      <c r="BM7" s="61" t="s">
        <v>20</v>
      </c>
      <c r="BN7" s="61"/>
      <c r="BO7" s="59"/>
      <c r="BP7" s="59" t="s">
        <v>20</v>
      </c>
      <c r="BQ7" s="59"/>
      <c r="BR7" s="61"/>
      <c r="BS7" s="61"/>
      <c r="BT7" s="59"/>
      <c r="BU7" s="61"/>
      <c r="BV7" s="61"/>
      <c r="BW7" s="61"/>
      <c r="BX7" s="61"/>
      <c r="BY7" s="59"/>
      <c r="BZ7" s="61"/>
      <c r="CA7" s="61"/>
      <c r="CB7" s="61"/>
      <c r="CC7" s="61"/>
      <c r="CD7" s="61"/>
      <c r="CE7" s="61"/>
      <c r="CF7" s="61"/>
      <c r="CG7" s="61"/>
      <c r="CH7" s="61"/>
      <c r="CI7" s="61"/>
      <c r="CJ7" s="59"/>
      <c r="CK7" s="59"/>
      <c r="CL7" s="61"/>
      <c r="CM7" s="61"/>
      <c r="CN7" s="61"/>
      <c r="CO7" s="61"/>
      <c r="CP7" s="61"/>
      <c r="CQ7" s="61"/>
      <c r="CR7" s="61"/>
      <c r="CS7" s="61" t="s">
        <v>3436</v>
      </c>
      <c r="CT7" s="61"/>
    </row>
    <row r="8">
      <c r="A8" s="52">
        <v>2023.0</v>
      </c>
      <c r="B8" s="54" t="s">
        <v>192</v>
      </c>
      <c r="C8" s="54" t="s">
        <v>81</v>
      </c>
      <c r="D8" s="55" t="s">
        <v>193</v>
      </c>
      <c r="E8" s="57" t="s">
        <v>194</v>
      </c>
      <c r="F8" s="57" t="s">
        <v>18</v>
      </c>
      <c r="G8" s="56" t="s">
        <v>19</v>
      </c>
      <c r="H8" s="58" t="s">
        <v>20</v>
      </c>
      <c r="I8" s="78" t="s">
        <v>3437</v>
      </c>
      <c r="J8" s="59" t="s">
        <v>3359</v>
      </c>
      <c r="K8" s="58" t="s">
        <v>3430</v>
      </c>
      <c r="L8" s="78" t="s">
        <v>3412</v>
      </c>
      <c r="M8" s="60" t="s">
        <v>3362</v>
      </c>
      <c r="N8" s="79"/>
      <c r="O8" s="79"/>
      <c r="P8" s="62"/>
      <c r="Q8" s="78" t="s">
        <v>3434</v>
      </c>
      <c r="R8" s="62"/>
      <c r="S8" s="78" t="s">
        <v>3365</v>
      </c>
      <c r="T8" s="62"/>
      <c r="U8" s="60"/>
      <c r="V8" s="60" t="s">
        <v>3382</v>
      </c>
      <c r="W8" s="62"/>
      <c r="X8" s="60" t="s">
        <v>3404</v>
      </c>
      <c r="Y8" s="60"/>
      <c r="Z8" s="60"/>
      <c r="AA8" s="60"/>
      <c r="AB8" s="60"/>
      <c r="AC8" s="60"/>
      <c r="AD8" s="60"/>
      <c r="AE8" s="60"/>
      <c r="AF8" s="60"/>
      <c r="AG8" s="60"/>
      <c r="AH8" s="60"/>
      <c r="AI8" s="60"/>
      <c r="AJ8" s="60"/>
      <c r="AK8" s="60" t="s">
        <v>3369</v>
      </c>
      <c r="AL8" s="62"/>
      <c r="AM8" s="62"/>
      <c r="AN8" s="60" t="s">
        <v>3369</v>
      </c>
      <c r="AO8" s="60"/>
      <c r="AP8" s="62"/>
      <c r="AQ8" s="62"/>
      <c r="AR8" s="59" t="s">
        <v>27</v>
      </c>
      <c r="AS8" s="60" t="s">
        <v>3370</v>
      </c>
      <c r="AT8" s="60" t="s">
        <v>3368</v>
      </c>
      <c r="AU8" s="58" t="s">
        <v>3438</v>
      </c>
      <c r="AV8" s="58"/>
      <c r="AW8" s="59" t="s">
        <v>3395</v>
      </c>
      <c r="AX8" s="63"/>
      <c r="AY8" s="62"/>
      <c r="AZ8" s="59"/>
      <c r="BA8" s="61"/>
      <c r="BB8" s="61"/>
      <c r="BC8" s="59"/>
      <c r="BD8" s="59" t="s">
        <v>20</v>
      </c>
      <c r="BE8" s="59" t="s">
        <v>3439</v>
      </c>
      <c r="BF8" s="61" t="s">
        <v>3440</v>
      </c>
      <c r="BG8" s="61"/>
      <c r="BH8" s="61"/>
      <c r="BI8" s="61" t="s">
        <v>3399</v>
      </c>
      <c r="BJ8" s="61" t="s">
        <v>27</v>
      </c>
      <c r="BK8" s="61"/>
      <c r="BL8" s="61"/>
      <c r="BM8" s="61" t="s">
        <v>20</v>
      </c>
      <c r="BN8" s="61"/>
      <c r="BO8" s="59"/>
      <c r="BP8" s="59" t="s">
        <v>20</v>
      </c>
      <c r="BQ8" s="59"/>
      <c r="BR8" s="61"/>
      <c r="BS8" s="61"/>
      <c r="BT8" s="59"/>
      <c r="BU8" s="61"/>
      <c r="BV8" s="61"/>
      <c r="BW8" s="61"/>
      <c r="BX8" s="61"/>
      <c r="BY8" s="59"/>
      <c r="BZ8" s="61"/>
      <c r="CA8" s="61"/>
      <c r="CB8" s="61"/>
      <c r="CC8" s="61"/>
      <c r="CD8" s="61"/>
      <c r="CE8" s="61"/>
      <c r="CF8" s="61"/>
      <c r="CG8" s="61"/>
      <c r="CH8" s="61"/>
      <c r="CI8" s="61"/>
      <c r="CJ8" s="59"/>
      <c r="CK8" s="59"/>
      <c r="CL8" s="61"/>
      <c r="CM8" s="61"/>
      <c r="CN8" s="61"/>
      <c r="CO8" s="61"/>
      <c r="CP8" s="61"/>
      <c r="CQ8" s="61"/>
      <c r="CR8" s="61"/>
      <c r="CS8" s="61"/>
      <c r="CT8" s="61"/>
    </row>
    <row r="9">
      <c r="A9" s="52">
        <v>2025.0</v>
      </c>
      <c r="B9" s="54" t="s">
        <v>196</v>
      </c>
      <c r="C9" s="54" t="s">
        <v>59</v>
      </c>
      <c r="D9" s="55" t="s">
        <v>197</v>
      </c>
      <c r="E9" s="57" t="s">
        <v>198</v>
      </c>
      <c r="F9" s="57" t="s">
        <v>18</v>
      </c>
      <c r="G9" s="56" t="s">
        <v>19</v>
      </c>
      <c r="H9" s="58" t="s">
        <v>27</v>
      </c>
      <c r="I9" s="78" t="s">
        <v>3358</v>
      </c>
      <c r="J9" s="59" t="s">
        <v>3359</v>
      </c>
      <c r="K9" s="62"/>
      <c r="L9" s="78" t="s">
        <v>3361</v>
      </c>
      <c r="M9" s="60" t="s">
        <v>3362</v>
      </c>
      <c r="N9" s="79"/>
      <c r="O9" s="79"/>
      <c r="P9" s="62"/>
      <c r="Q9" s="78" t="s">
        <v>3363</v>
      </c>
      <c r="R9" s="62"/>
      <c r="S9" s="78" t="s">
        <v>3365</v>
      </c>
      <c r="T9" s="62"/>
      <c r="U9" s="60"/>
      <c r="V9" s="60" t="s">
        <v>3366</v>
      </c>
      <c r="W9" s="62"/>
      <c r="X9" s="60" t="s">
        <v>3441</v>
      </c>
      <c r="Y9" s="60"/>
      <c r="Z9" s="60"/>
      <c r="AA9" s="60"/>
      <c r="AB9" s="60"/>
      <c r="AC9" s="60"/>
      <c r="AD9" s="60"/>
      <c r="AE9" s="60"/>
      <c r="AF9" s="60"/>
      <c r="AG9" s="60"/>
      <c r="AH9" s="60"/>
      <c r="AI9" s="60"/>
      <c r="AJ9" s="60"/>
      <c r="AK9" s="60" t="s">
        <v>3369</v>
      </c>
      <c r="AL9" s="62"/>
      <c r="AM9" s="62"/>
      <c r="AN9" s="60" t="s">
        <v>3415</v>
      </c>
      <c r="AO9" s="60"/>
      <c r="AP9" s="58" t="s">
        <v>3442</v>
      </c>
      <c r="AQ9" s="62"/>
      <c r="AR9" s="59" t="s">
        <v>27</v>
      </c>
      <c r="AS9" s="60" t="s">
        <v>3370</v>
      </c>
      <c r="AT9" s="60" t="s">
        <v>3371</v>
      </c>
      <c r="AU9" s="62"/>
      <c r="AV9" s="62"/>
      <c r="AW9" s="59" t="s">
        <v>3372</v>
      </c>
      <c r="AX9" s="63"/>
      <c r="AY9" s="62"/>
      <c r="AZ9" s="59"/>
      <c r="BA9" s="61"/>
      <c r="BB9" s="61"/>
      <c r="BC9" s="59"/>
      <c r="BD9" s="59" t="s">
        <v>27</v>
      </c>
      <c r="BE9" s="59" t="s">
        <v>3443</v>
      </c>
      <c r="BF9" s="61" t="s">
        <v>3444</v>
      </c>
      <c r="BG9" s="61"/>
      <c r="BH9" s="61"/>
      <c r="BI9" s="61" t="s">
        <v>3445</v>
      </c>
      <c r="BJ9" s="61" t="s">
        <v>27</v>
      </c>
      <c r="BK9" s="61"/>
      <c r="BL9" s="61"/>
      <c r="BM9" s="61" t="s">
        <v>20</v>
      </c>
      <c r="BN9" s="61"/>
      <c r="BO9" s="59"/>
      <c r="BP9" s="59" t="s">
        <v>20</v>
      </c>
      <c r="BQ9" s="59"/>
      <c r="BR9" s="61"/>
      <c r="BS9" s="61"/>
      <c r="BT9" s="59"/>
      <c r="BU9" s="61"/>
      <c r="BV9" s="61"/>
      <c r="BW9" s="61"/>
      <c r="BX9" s="61"/>
      <c r="BY9" s="59"/>
      <c r="BZ9" s="61"/>
      <c r="CA9" s="61"/>
      <c r="CB9" s="61"/>
      <c r="CC9" s="61"/>
      <c r="CD9" s="61"/>
      <c r="CE9" s="61"/>
      <c r="CF9" s="61"/>
      <c r="CG9" s="61"/>
      <c r="CH9" s="61"/>
      <c r="CI9" s="61"/>
      <c r="CJ9" s="59"/>
      <c r="CK9" s="59"/>
      <c r="CL9" s="61"/>
      <c r="CM9" s="61"/>
      <c r="CN9" s="61"/>
      <c r="CO9" s="61"/>
      <c r="CP9" s="61"/>
      <c r="CQ9" s="61"/>
      <c r="CR9" s="61"/>
      <c r="CS9" s="61"/>
      <c r="CT9" s="61"/>
    </row>
    <row r="10">
      <c r="A10" s="64">
        <v>2017.0</v>
      </c>
      <c r="B10" s="65" t="s">
        <v>205</v>
      </c>
      <c r="C10" s="80" t="s">
        <v>206</v>
      </c>
      <c r="D10" s="81" t="s">
        <v>3446</v>
      </c>
      <c r="E10" s="18" t="s">
        <v>208</v>
      </c>
      <c r="F10" s="18" t="s">
        <v>18</v>
      </c>
      <c r="G10" s="19" t="s">
        <v>19</v>
      </c>
      <c r="H10" s="67" t="s">
        <v>27</v>
      </c>
      <c r="I10" s="68" t="s">
        <v>3358</v>
      </c>
      <c r="J10" s="69" t="s">
        <v>3359</v>
      </c>
      <c r="K10" s="67" t="s">
        <v>3447</v>
      </c>
      <c r="L10" s="68" t="s">
        <v>3361</v>
      </c>
      <c r="M10" s="70" t="s">
        <v>3380</v>
      </c>
      <c r="N10" s="71"/>
      <c r="O10" s="71"/>
      <c r="P10" s="72"/>
      <c r="Q10" s="68" t="s">
        <v>3434</v>
      </c>
      <c r="R10" s="72"/>
      <c r="S10" s="68" t="s">
        <v>3365</v>
      </c>
      <c r="T10" s="72"/>
      <c r="U10" s="70"/>
      <c r="V10" s="70" t="s">
        <v>3382</v>
      </c>
      <c r="W10" s="72"/>
      <c r="X10" s="70" t="s">
        <v>3404</v>
      </c>
      <c r="Y10" s="71" t="s">
        <v>3378</v>
      </c>
      <c r="Z10" s="71" t="s">
        <v>3378</v>
      </c>
      <c r="AA10" s="71" t="s">
        <v>3448</v>
      </c>
      <c r="AB10" s="71" t="s">
        <v>3449</v>
      </c>
      <c r="AC10" s="71" t="s">
        <v>3388</v>
      </c>
      <c r="AD10" s="71" t="s">
        <v>3450</v>
      </c>
      <c r="AE10" s="71" t="s">
        <v>3451</v>
      </c>
      <c r="AF10" s="71"/>
      <c r="AG10" s="71"/>
      <c r="AH10" s="71"/>
      <c r="AI10" s="71"/>
      <c r="AJ10" s="71"/>
      <c r="AK10" s="70" t="s">
        <v>3452</v>
      </c>
      <c r="AL10" s="67" t="s">
        <v>3453</v>
      </c>
      <c r="AM10" s="67" t="s">
        <v>3454</v>
      </c>
      <c r="AN10" s="71" t="s">
        <v>3455</v>
      </c>
      <c r="AO10" s="71" t="s">
        <v>3456</v>
      </c>
      <c r="AP10" s="72"/>
      <c r="AQ10" s="72"/>
      <c r="AR10" s="69" t="s">
        <v>27</v>
      </c>
      <c r="AS10" s="70" t="s">
        <v>3370</v>
      </c>
      <c r="AT10" s="70" t="s">
        <v>3371</v>
      </c>
      <c r="AU10" s="72"/>
      <c r="AV10" s="72"/>
      <c r="AW10" s="69" t="s">
        <v>3372</v>
      </c>
      <c r="AX10" s="21"/>
      <c r="AY10" s="67" t="s">
        <v>3457</v>
      </c>
      <c r="AZ10" s="69"/>
      <c r="BA10" s="71"/>
      <c r="BB10" s="71"/>
      <c r="BC10" s="69"/>
      <c r="BD10" s="69" t="s">
        <v>27</v>
      </c>
      <c r="BE10" s="69" t="s">
        <v>3458</v>
      </c>
      <c r="BF10" s="71" t="s">
        <v>3459</v>
      </c>
      <c r="BG10" s="71"/>
      <c r="BH10" s="71"/>
      <c r="BI10" s="71" t="s">
        <v>3460</v>
      </c>
      <c r="BJ10" s="71" t="s">
        <v>27</v>
      </c>
      <c r="BK10" s="71"/>
      <c r="BL10" s="71" t="s">
        <v>3461</v>
      </c>
      <c r="BM10" s="71" t="s">
        <v>20</v>
      </c>
      <c r="BN10" s="71"/>
      <c r="BO10" s="69"/>
      <c r="BP10" s="69" t="s">
        <v>20</v>
      </c>
      <c r="BQ10" s="69"/>
      <c r="BR10" s="71"/>
      <c r="BS10" s="71"/>
      <c r="BT10" s="69"/>
      <c r="BU10" s="71"/>
      <c r="BV10" s="71"/>
      <c r="BW10" s="71"/>
      <c r="BX10" s="71"/>
      <c r="BY10" s="69"/>
      <c r="BZ10" s="71"/>
      <c r="CA10" s="71"/>
      <c r="CB10" s="71"/>
      <c r="CC10" s="71"/>
      <c r="CD10" s="71"/>
      <c r="CE10" s="71"/>
      <c r="CF10" s="71"/>
      <c r="CG10" s="71"/>
      <c r="CH10" s="71"/>
      <c r="CI10" s="71"/>
      <c r="CJ10" s="69"/>
      <c r="CK10" s="69"/>
      <c r="CL10" s="71"/>
      <c r="CM10" s="71"/>
      <c r="CN10" s="71"/>
      <c r="CO10" s="71"/>
      <c r="CP10" s="71"/>
      <c r="CQ10" s="71"/>
      <c r="CR10" s="71"/>
      <c r="CS10" s="71"/>
      <c r="CT10" s="71"/>
    </row>
    <row r="11" ht="121.5" customHeight="1">
      <c r="A11" s="52">
        <v>2023.0</v>
      </c>
      <c r="B11" s="54" t="s">
        <v>231</v>
      </c>
      <c r="C11" s="54" t="s">
        <v>232</v>
      </c>
      <c r="D11" s="55" t="s">
        <v>233</v>
      </c>
      <c r="E11" s="57" t="s">
        <v>234</v>
      </c>
      <c r="F11" s="57" t="s">
        <v>18</v>
      </c>
      <c r="G11" s="56" t="s">
        <v>19</v>
      </c>
      <c r="H11" s="58" t="s">
        <v>27</v>
      </c>
      <c r="I11" s="78" t="s">
        <v>3358</v>
      </c>
      <c r="J11" s="59" t="s">
        <v>3411</v>
      </c>
      <c r="K11" s="58" t="s">
        <v>3462</v>
      </c>
      <c r="L11" s="78" t="s">
        <v>3361</v>
      </c>
      <c r="M11" s="60" t="s">
        <v>3463</v>
      </c>
      <c r="N11" s="61">
        <v>120.0</v>
      </c>
      <c r="O11" s="79"/>
      <c r="P11" s="62"/>
      <c r="Q11" s="78" t="s">
        <v>3413</v>
      </c>
      <c r="R11" s="62"/>
      <c r="S11" s="78" t="s">
        <v>3365</v>
      </c>
      <c r="T11" s="62"/>
      <c r="U11" s="60"/>
      <c r="V11" s="60" t="s">
        <v>3366</v>
      </c>
      <c r="W11" s="58" t="s">
        <v>3464</v>
      </c>
      <c r="X11" s="60" t="s">
        <v>3465</v>
      </c>
      <c r="Y11" s="60"/>
      <c r="Z11" s="60"/>
      <c r="AA11" s="61"/>
      <c r="AB11" s="60"/>
      <c r="AC11" s="60"/>
      <c r="AD11" s="60"/>
      <c r="AE11" s="60"/>
      <c r="AF11" s="60"/>
      <c r="AG11" s="60"/>
      <c r="AH11" s="60"/>
      <c r="AI11" s="60"/>
      <c r="AJ11" s="60"/>
      <c r="AK11" s="60" t="s">
        <v>3466</v>
      </c>
      <c r="AL11" s="58" t="s">
        <v>3467</v>
      </c>
      <c r="AM11" s="58"/>
      <c r="AN11" s="60" t="s">
        <v>3369</v>
      </c>
      <c r="AO11" s="60"/>
      <c r="AP11" s="62"/>
      <c r="AQ11" s="58"/>
      <c r="AR11" s="59" t="s">
        <v>27</v>
      </c>
      <c r="AS11" s="60" t="s">
        <v>3370</v>
      </c>
      <c r="AT11" s="60" t="s">
        <v>3371</v>
      </c>
      <c r="AU11" s="62"/>
      <c r="AV11" s="62"/>
      <c r="AW11" s="59" t="s">
        <v>3372</v>
      </c>
      <c r="AX11" s="82" t="s">
        <v>3468</v>
      </c>
      <c r="AY11" s="62"/>
      <c r="AZ11" s="59"/>
      <c r="BA11" s="61" t="s">
        <v>3469</v>
      </c>
      <c r="BB11" s="61"/>
      <c r="BC11" s="59"/>
      <c r="BD11" s="59" t="s">
        <v>27</v>
      </c>
      <c r="BE11" s="59" t="s">
        <v>3470</v>
      </c>
      <c r="BF11" s="61" t="s">
        <v>3471</v>
      </c>
      <c r="BG11" s="61"/>
      <c r="BH11" s="61"/>
      <c r="BI11" s="61" t="s">
        <v>3472</v>
      </c>
      <c r="BJ11" s="61" t="s">
        <v>27</v>
      </c>
      <c r="BK11" s="61"/>
      <c r="BL11" s="61"/>
      <c r="BM11" s="61" t="s">
        <v>20</v>
      </c>
      <c r="BN11" s="61"/>
      <c r="BO11" s="59"/>
      <c r="BP11" s="59" t="s">
        <v>20</v>
      </c>
      <c r="BQ11" s="59"/>
      <c r="BR11" s="61"/>
      <c r="BS11" s="61"/>
      <c r="BT11" s="59"/>
      <c r="BU11" s="61"/>
      <c r="BV11" s="61"/>
      <c r="BW11" s="61"/>
      <c r="BX11" s="61"/>
      <c r="BY11" s="59" t="s">
        <v>3468</v>
      </c>
      <c r="BZ11" s="61"/>
      <c r="CA11" s="61"/>
      <c r="CB11" s="61"/>
      <c r="CC11" s="61"/>
      <c r="CD11" s="61"/>
      <c r="CE11" s="83"/>
      <c r="CF11" s="83"/>
      <c r="CG11" s="83" t="s">
        <v>3473</v>
      </c>
      <c r="CH11" s="83"/>
      <c r="CI11" s="83"/>
      <c r="CJ11" s="84" t="s">
        <v>3474</v>
      </c>
      <c r="CK11" s="85" t="s">
        <v>3475</v>
      </c>
      <c r="CL11" s="86"/>
      <c r="CM11" s="86"/>
      <c r="CN11" s="86"/>
      <c r="CO11" s="86"/>
      <c r="CP11" s="86"/>
      <c r="CQ11" s="86"/>
      <c r="CR11" s="86"/>
      <c r="CS11" s="86"/>
      <c r="CT11" s="86" t="s">
        <v>3476</v>
      </c>
    </row>
    <row r="12">
      <c r="A12" s="52">
        <v>2024.0</v>
      </c>
      <c r="B12" s="54" t="s">
        <v>253</v>
      </c>
      <c r="C12" s="54" t="s">
        <v>81</v>
      </c>
      <c r="D12" s="55" t="s">
        <v>254</v>
      </c>
      <c r="E12" s="57" t="s">
        <v>255</v>
      </c>
      <c r="F12" s="57" t="s">
        <v>18</v>
      </c>
      <c r="G12" s="56" t="s">
        <v>19</v>
      </c>
      <c r="H12" s="58" t="s">
        <v>27</v>
      </c>
      <c r="I12" s="78" t="s">
        <v>3358</v>
      </c>
      <c r="J12" s="59" t="s">
        <v>3359</v>
      </c>
      <c r="K12" s="62"/>
      <c r="L12" s="78" t="s">
        <v>3477</v>
      </c>
      <c r="M12" s="60" t="s">
        <v>3362</v>
      </c>
      <c r="N12" s="84">
        <v>58.0</v>
      </c>
      <c r="O12" s="79"/>
      <c r="P12" s="62"/>
      <c r="Q12" s="78" t="s">
        <v>3363</v>
      </c>
      <c r="R12" s="62"/>
      <c r="S12" s="78" t="s">
        <v>3365</v>
      </c>
      <c r="T12" s="62"/>
      <c r="U12" s="60"/>
      <c r="V12" s="60" t="s">
        <v>3366</v>
      </c>
      <c r="W12" s="62"/>
      <c r="X12" s="60" t="s">
        <v>3478</v>
      </c>
      <c r="Y12" s="60"/>
      <c r="Z12" s="61" t="s">
        <v>3479</v>
      </c>
      <c r="AA12" s="61"/>
      <c r="AB12" s="60"/>
      <c r="AC12" s="60"/>
      <c r="AD12" s="60"/>
      <c r="AE12" s="60"/>
      <c r="AF12" s="60"/>
      <c r="AG12" s="60"/>
      <c r="AH12" s="60"/>
      <c r="AI12" s="60"/>
      <c r="AJ12" s="60"/>
      <c r="AK12" s="60" t="s">
        <v>3480</v>
      </c>
      <c r="AL12" s="58" t="s">
        <v>3481</v>
      </c>
      <c r="AM12" s="58"/>
      <c r="AN12" s="60" t="s">
        <v>3482</v>
      </c>
      <c r="AO12" s="60"/>
      <c r="AP12" s="62"/>
      <c r="AQ12" s="58"/>
      <c r="AR12" s="59" t="s">
        <v>27</v>
      </c>
      <c r="AS12" s="60" t="s">
        <v>3405</v>
      </c>
      <c r="AT12" s="60" t="s">
        <v>3371</v>
      </c>
      <c r="AU12" s="62"/>
      <c r="AV12" s="62"/>
      <c r="AW12" s="59" t="s">
        <v>3372</v>
      </c>
      <c r="AX12" s="63"/>
      <c r="AY12" s="62"/>
      <c r="AZ12" s="59"/>
      <c r="BA12" s="61"/>
      <c r="BB12" s="61"/>
      <c r="BC12" s="59"/>
      <c r="BD12" s="59" t="s">
        <v>27</v>
      </c>
      <c r="BE12" s="59" t="s">
        <v>3483</v>
      </c>
      <c r="BF12" s="61" t="s">
        <v>3484</v>
      </c>
      <c r="BG12" s="61"/>
      <c r="BH12" s="61"/>
      <c r="BI12" s="61" t="s">
        <v>3375</v>
      </c>
      <c r="BJ12" s="61" t="s">
        <v>27</v>
      </c>
      <c r="BK12" s="61"/>
      <c r="BL12" s="61"/>
      <c r="BM12" s="61" t="s">
        <v>20</v>
      </c>
      <c r="BN12" s="61"/>
      <c r="BO12" s="59"/>
      <c r="BP12" s="59" t="s">
        <v>20</v>
      </c>
      <c r="BQ12" s="59"/>
      <c r="BR12" s="61"/>
      <c r="BS12" s="61"/>
      <c r="BT12" s="59"/>
      <c r="BU12" s="61"/>
      <c r="BV12" s="61"/>
      <c r="BW12" s="61"/>
      <c r="BX12" s="61"/>
      <c r="BY12" s="59"/>
      <c r="BZ12" s="61"/>
      <c r="CA12" s="61"/>
      <c r="CB12" s="61"/>
      <c r="CC12" s="61"/>
      <c r="CD12" s="61"/>
      <c r="CE12" s="61"/>
      <c r="CF12" s="61"/>
      <c r="CG12" s="61"/>
      <c r="CH12" s="61"/>
      <c r="CI12" s="61"/>
      <c r="CJ12" s="59"/>
      <c r="CK12" s="59"/>
      <c r="CL12" s="61"/>
      <c r="CM12" s="61"/>
      <c r="CN12" s="61"/>
      <c r="CO12" s="61"/>
      <c r="CP12" s="61"/>
      <c r="CQ12" s="61"/>
      <c r="CR12" s="61"/>
      <c r="CS12" s="61"/>
      <c r="CT12" s="61" t="s">
        <v>3485</v>
      </c>
    </row>
    <row r="13">
      <c r="A13" s="87">
        <v>2022.0</v>
      </c>
      <c r="B13" s="88" t="s">
        <v>301</v>
      </c>
      <c r="C13" s="89" t="s">
        <v>302</v>
      </c>
      <c r="D13" s="90" t="s">
        <v>303</v>
      </c>
      <c r="E13" s="91" t="s">
        <v>304</v>
      </c>
      <c r="F13" s="91" t="s">
        <v>18</v>
      </c>
      <c r="G13" s="92" t="s">
        <v>19</v>
      </c>
      <c r="H13" s="93" t="s">
        <v>27</v>
      </c>
      <c r="I13" s="94" t="s">
        <v>3358</v>
      </c>
      <c r="J13" s="95" t="s">
        <v>3411</v>
      </c>
      <c r="K13" s="93" t="s">
        <v>3486</v>
      </c>
      <c r="L13" s="94" t="s">
        <v>3412</v>
      </c>
      <c r="M13" s="96" t="s">
        <v>3362</v>
      </c>
      <c r="N13" s="97">
        <v>10.0</v>
      </c>
      <c r="O13" s="98"/>
      <c r="P13" s="99"/>
      <c r="Q13" s="94" t="s">
        <v>3434</v>
      </c>
      <c r="R13" s="99"/>
      <c r="S13" s="94" t="s">
        <v>3365</v>
      </c>
      <c r="T13" s="99"/>
      <c r="U13" s="96"/>
      <c r="V13" s="96" t="s">
        <v>3366</v>
      </c>
      <c r="W13" s="99"/>
      <c r="X13" s="96" t="s">
        <v>3404</v>
      </c>
      <c r="Y13" s="96"/>
      <c r="Z13" s="96"/>
      <c r="AA13" s="96"/>
      <c r="AB13" s="96"/>
      <c r="AC13" s="97" t="s">
        <v>3487</v>
      </c>
      <c r="AD13" s="97" t="s">
        <v>3389</v>
      </c>
      <c r="AE13" s="100" t="s">
        <v>3488</v>
      </c>
      <c r="AF13" s="100"/>
      <c r="AG13" s="100"/>
      <c r="AH13" s="100"/>
      <c r="AI13" s="100"/>
      <c r="AJ13" s="100"/>
      <c r="AK13" s="96" t="s">
        <v>3489</v>
      </c>
      <c r="AL13" s="100" t="s">
        <v>3490</v>
      </c>
      <c r="AM13" s="99"/>
      <c r="AN13" s="96" t="s">
        <v>3491</v>
      </c>
      <c r="AO13" s="96"/>
      <c r="AP13" s="99"/>
      <c r="AQ13" s="99"/>
      <c r="AR13" s="95" t="s">
        <v>27</v>
      </c>
      <c r="AS13" s="96" t="s">
        <v>3370</v>
      </c>
      <c r="AT13" s="96" t="s">
        <v>3371</v>
      </c>
      <c r="AU13" s="99"/>
      <c r="AV13" s="93" t="s">
        <v>3492</v>
      </c>
      <c r="AW13" s="95" t="s">
        <v>3372</v>
      </c>
      <c r="AX13" s="101"/>
      <c r="AY13" s="99"/>
      <c r="AZ13" s="95" t="s">
        <v>27</v>
      </c>
      <c r="BA13" s="97" t="s">
        <v>3493</v>
      </c>
      <c r="BB13" s="97" t="s">
        <v>3494</v>
      </c>
      <c r="BC13" s="95"/>
      <c r="BD13" s="95" t="s">
        <v>27</v>
      </c>
      <c r="BE13" s="95" t="s">
        <v>3495</v>
      </c>
      <c r="BF13" s="97" t="s">
        <v>3496</v>
      </c>
      <c r="BG13" s="97"/>
      <c r="BH13" s="102" t="s">
        <v>3497</v>
      </c>
      <c r="BI13" s="97" t="s">
        <v>3399</v>
      </c>
      <c r="BJ13" s="97" t="s">
        <v>27</v>
      </c>
      <c r="BK13" s="97"/>
      <c r="BL13" s="97"/>
      <c r="BM13" s="97" t="s">
        <v>20</v>
      </c>
      <c r="BN13" s="97"/>
      <c r="BO13" s="95"/>
      <c r="BP13" s="95" t="s">
        <v>20</v>
      </c>
      <c r="BQ13" s="95"/>
      <c r="BR13" s="97"/>
      <c r="BS13" s="97"/>
      <c r="BT13" s="95"/>
      <c r="BU13" s="97"/>
      <c r="BV13" s="97"/>
      <c r="BW13" s="97"/>
      <c r="BX13" s="97"/>
      <c r="BY13" s="95" t="s">
        <v>3487</v>
      </c>
      <c r="BZ13" s="97"/>
      <c r="CA13" s="97"/>
      <c r="CB13" s="97"/>
      <c r="CC13" s="97"/>
      <c r="CD13" s="97"/>
      <c r="CE13" s="103"/>
      <c r="CF13" s="103"/>
      <c r="CG13" s="103" t="s">
        <v>3498</v>
      </c>
      <c r="CH13" s="103"/>
      <c r="CI13" s="103"/>
      <c r="CJ13" s="95"/>
      <c r="CK13" s="95" t="s">
        <v>3499</v>
      </c>
      <c r="CL13" s="97"/>
      <c r="CM13" s="97"/>
      <c r="CN13" s="97"/>
      <c r="CO13" s="97"/>
      <c r="CP13" s="97"/>
      <c r="CQ13" s="97"/>
      <c r="CR13" s="97"/>
      <c r="CS13" s="97"/>
      <c r="CT13" s="97"/>
    </row>
    <row r="14">
      <c r="A14" s="87">
        <v>2018.0</v>
      </c>
      <c r="B14" s="89" t="s">
        <v>312</v>
      </c>
      <c r="C14" s="89" t="s">
        <v>59</v>
      </c>
      <c r="D14" s="90" t="s">
        <v>313</v>
      </c>
      <c r="E14" s="91" t="s">
        <v>314</v>
      </c>
      <c r="F14" s="91" t="s">
        <v>18</v>
      </c>
      <c r="G14" s="92" t="s">
        <v>19</v>
      </c>
      <c r="H14" s="93" t="s">
        <v>27</v>
      </c>
      <c r="I14" s="94" t="s">
        <v>3358</v>
      </c>
      <c r="J14" s="95" t="s">
        <v>3359</v>
      </c>
      <c r="K14" s="93" t="s">
        <v>3500</v>
      </c>
      <c r="L14" s="94" t="s">
        <v>3361</v>
      </c>
      <c r="M14" s="96" t="s">
        <v>3380</v>
      </c>
      <c r="N14" s="98"/>
      <c r="O14" s="98"/>
      <c r="P14" s="99"/>
      <c r="Q14" s="94" t="s">
        <v>3434</v>
      </c>
      <c r="R14" s="93" t="s">
        <v>3501</v>
      </c>
      <c r="S14" s="94" t="s">
        <v>3365</v>
      </c>
      <c r="T14" s="99"/>
      <c r="U14" s="96"/>
      <c r="V14" s="96" t="s">
        <v>3366</v>
      </c>
      <c r="W14" s="99"/>
      <c r="X14" s="96" t="s">
        <v>3404</v>
      </c>
      <c r="Y14" s="96"/>
      <c r="Z14" s="96"/>
      <c r="AA14" s="96"/>
      <c r="AB14" s="96"/>
      <c r="AC14" s="96"/>
      <c r="AD14" s="96"/>
      <c r="AE14" s="96"/>
      <c r="AF14" s="96"/>
      <c r="AG14" s="96"/>
      <c r="AH14" s="96"/>
      <c r="AI14" s="96"/>
      <c r="AJ14" s="96"/>
      <c r="AK14" s="97" t="s">
        <v>3502</v>
      </c>
      <c r="AL14" s="93" t="s">
        <v>3503</v>
      </c>
      <c r="AM14" s="93" t="s">
        <v>3504</v>
      </c>
      <c r="AN14" s="96" t="s">
        <v>3369</v>
      </c>
      <c r="AO14" s="97" t="s">
        <v>3505</v>
      </c>
      <c r="AP14" s="99"/>
      <c r="AQ14" s="93"/>
      <c r="AR14" s="95" t="s">
        <v>27</v>
      </c>
      <c r="AS14" s="96" t="s">
        <v>3405</v>
      </c>
      <c r="AT14" s="96" t="s">
        <v>3368</v>
      </c>
      <c r="AU14" s="93" t="s">
        <v>3506</v>
      </c>
      <c r="AV14" s="93"/>
      <c r="AW14" s="95" t="s">
        <v>3372</v>
      </c>
      <c r="AX14" s="104" t="s">
        <v>3507</v>
      </c>
      <c r="AY14" s="99"/>
      <c r="AZ14" s="95"/>
      <c r="BA14" s="97"/>
      <c r="BB14" s="97"/>
      <c r="BC14" s="95"/>
      <c r="BD14" s="95" t="s">
        <v>27</v>
      </c>
      <c r="BE14" s="95" t="s">
        <v>3508</v>
      </c>
      <c r="BF14" s="97" t="s">
        <v>3509</v>
      </c>
      <c r="BG14" s="97"/>
      <c r="BH14" s="97" t="s">
        <v>3510</v>
      </c>
      <c r="BI14" s="97" t="s">
        <v>3418</v>
      </c>
      <c r="BJ14" s="97" t="s">
        <v>27</v>
      </c>
      <c r="BK14" s="97"/>
      <c r="BL14" s="97" t="s">
        <v>3511</v>
      </c>
      <c r="BM14" s="97" t="s">
        <v>20</v>
      </c>
      <c r="BN14" s="97"/>
      <c r="BO14" s="95"/>
      <c r="BP14" s="95" t="s">
        <v>20</v>
      </c>
      <c r="BQ14" s="95"/>
      <c r="BR14" s="97"/>
      <c r="BS14" s="97"/>
      <c r="BT14" s="95"/>
      <c r="BU14" s="97"/>
      <c r="BV14" s="97"/>
      <c r="BW14" s="97"/>
      <c r="BX14" s="97" t="s">
        <v>3512</v>
      </c>
      <c r="BY14" s="95" t="s">
        <v>3513</v>
      </c>
      <c r="BZ14" s="97" t="s">
        <v>3514</v>
      </c>
      <c r="CA14" s="97"/>
      <c r="CB14" s="97"/>
      <c r="CC14" s="97"/>
      <c r="CD14" s="97"/>
      <c r="CE14" s="97"/>
      <c r="CF14" s="97"/>
      <c r="CG14" s="97" t="s">
        <v>3515</v>
      </c>
      <c r="CH14" s="97"/>
      <c r="CI14" s="97"/>
      <c r="CJ14" s="95"/>
      <c r="CK14" s="95"/>
      <c r="CL14" s="97"/>
      <c r="CM14" s="97"/>
      <c r="CN14" s="97"/>
      <c r="CO14" s="97"/>
      <c r="CP14" s="97"/>
      <c r="CQ14" s="97"/>
      <c r="CR14" s="97"/>
      <c r="CS14" s="97"/>
      <c r="CT14" s="105" t="s">
        <v>3516</v>
      </c>
    </row>
    <row r="15">
      <c r="A15" s="52">
        <v>2021.0</v>
      </c>
      <c r="B15" s="54" t="s">
        <v>316</v>
      </c>
      <c r="C15" s="54" t="s">
        <v>24</v>
      </c>
      <c r="D15" s="55" t="s">
        <v>317</v>
      </c>
      <c r="E15" s="57" t="s">
        <v>318</v>
      </c>
      <c r="F15" s="57" t="s">
        <v>18</v>
      </c>
      <c r="G15" s="56" t="s">
        <v>19</v>
      </c>
      <c r="H15" s="58" t="s">
        <v>27</v>
      </c>
      <c r="I15" s="78" t="s">
        <v>3358</v>
      </c>
      <c r="J15" s="59" t="s">
        <v>3411</v>
      </c>
      <c r="K15" s="58" t="s">
        <v>3517</v>
      </c>
      <c r="L15" s="78" t="s">
        <v>3412</v>
      </c>
      <c r="M15" s="60" t="s">
        <v>3380</v>
      </c>
      <c r="N15" s="79"/>
      <c r="O15" s="79"/>
      <c r="P15" s="62"/>
      <c r="Q15" s="78" t="s">
        <v>3434</v>
      </c>
      <c r="R15" s="62"/>
      <c r="S15" s="78" t="s">
        <v>3365</v>
      </c>
      <c r="T15" s="62"/>
      <c r="U15" s="60"/>
      <c r="V15" s="60" t="s">
        <v>3366</v>
      </c>
      <c r="W15" s="62"/>
      <c r="X15" s="60" t="s">
        <v>3518</v>
      </c>
      <c r="Y15" s="60"/>
      <c r="Z15" s="60"/>
      <c r="AA15" s="60"/>
      <c r="AB15" s="60"/>
      <c r="AC15" s="60"/>
      <c r="AD15" s="60"/>
      <c r="AE15" s="60"/>
      <c r="AF15" s="60"/>
      <c r="AG15" s="60"/>
      <c r="AH15" s="60"/>
      <c r="AI15" s="60"/>
      <c r="AJ15" s="60"/>
      <c r="AK15" s="60" t="s">
        <v>3452</v>
      </c>
      <c r="AL15" s="62"/>
      <c r="AM15" s="62"/>
      <c r="AN15" s="60" t="s">
        <v>3482</v>
      </c>
      <c r="AO15" s="60"/>
      <c r="AP15" s="62"/>
      <c r="AQ15" s="62"/>
      <c r="AR15" s="59" t="s">
        <v>27</v>
      </c>
      <c r="AS15" s="60" t="s">
        <v>3370</v>
      </c>
      <c r="AT15" s="60" t="s">
        <v>3371</v>
      </c>
      <c r="AU15" s="62"/>
      <c r="AV15" s="62"/>
      <c r="AW15" s="59" t="s">
        <v>3372</v>
      </c>
      <c r="AX15" s="63"/>
      <c r="AY15" s="62"/>
      <c r="AZ15" s="59"/>
      <c r="BA15" s="61"/>
      <c r="BB15" s="61"/>
      <c r="BC15" s="59"/>
      <c r="BD15" s="59" t="s">
        <v>27</v>
      </c>
      <c r="BE15" s="59" t="s">
        <v>3508</v>
      </c>
      <c r="BF15" s="61" t="s">
        <v>3519</v>
      </c>
      <c r="BG15" s="61"/>
      <c r="BH15" s="61"/>
      <c r="BI15" s="61" t="s">
        <v>3445</v>
      </c>
      <c r="BJ15" s="61" t="s">
        <v>27</v>
      </c>
      <c r="BK15" s="61"/>
      <c r="BL15" s="61"/>
      <c r="BM15" s="61" t="s">
        <v>20</v>
      </c>
      <c r="BN15" s="61"/>
      <c r="BO15" s="59"/>
      <c r="BP15" s="59" t="s">
        <v>20</v>
      </c>
      <c r="BQ15" s="59"/>
      <c r="BR15" s="61"/>
      <c r="BS15" s="61"/>
      <c r="BT15" s="59"/>
      <c r="BU15" s="61"/>
      <c r="BV15" s="61"/>
      <c r="BW15" s="61"/>
      <c r="BX15" s="61"/>
      <c r="BY15" s="59"/>
      <c r="BZ15" s="61"/>
      <c r="CA15" s="61"/>
      <c r="CB15" s="61"/>
      <c r="CC15" s="61"/>
      <c r="CD15" s="61"/>
      <c r="CE15" s="61"/>
      <c r="CF15" s="61"/>
      <c r="CG15" s="61"/>
      <c r="CH15" s="61"/>
      <c r="CI15" s="61"/>
      <c r="CJ15" s="59"/>
      <c r="CK15" s="59"/>
      <c r="CL15" s="61"/>
      <c r="CM15" s="61"/>
      <c r="CN15" s="61"/>
      <c r="CO15" s="61"/>
      <c r="CP15" s="61"/>
      <c r="CQ15" s="61"/>
      <c r="CR15" s="61"/>
      <c r="CS15" s="61"/>
      <c r="CT15" s="61" t="s">
        <v>3520</v>
      </c>
    </row>
    <row r="16">
      <c r="A16" s="52">
        <v>2023.0</v>
      </c>
      <c r="B16" s="54" t="s">
        <v>320</v>
      </c>
      <c r="C16" s="54" t="s">
        <v>272</v>
      </c>
      <c r="D16" s="55" t="s">
        <v>321</v>
      </c>
      <c r="E16" s="57" t="s">
        <v>322</v>
      </c>
      <c r="F16" s="57" t="s">
        <v>18</v>
      </c>
      <c r="G16" s="56" t="s">
        <v>19</v>
      </c>
      <c r="H16" s="58" t="s">
        <v>27</v>
      </c>
      <c r="I16" s="78" t="s">
        <v>3358</v>
      </c>
      <c r="J16" s="59" t="s">
        <v>3359</v>
      </c>
      <c r="K16" s="62"/>
      <c r="L16" s="78" t="s">
        <v>3521</v>
      </c>
      <c r="M16" s="60" t="s">
        <v>3380</v>
      </c>
      <c r="N16" s="79"/>
      <c r="O16" s="79"/>
      <c r="P16" s="62"/>
      <c r="Q16" s="78" t="s">
        <v>3363</v>
      </c>
      <c r="R16" s="62"/>
      <c r="S16" s="78" t="s">
        <v>3365</v>
      </c>
      <c r="T16" s="62"/>
      <c r="U16" s="60"/>
      <c r="V16" s="60" t="s">
        <v>3382</v>
      </c>
      <c r="W16" s="62"/>
      <c r="X16" s="60" t="s">
        <v>3404</v>
      </c>
      <c r="Y16" s="60"/>
      <c r="Z16" s="60"/>
      <c r="AA16" s="60"/>
      <c r="AB16" s="60"/>
      <c r="AC16" s="60"/>
      <c r="AD16" s="60"/>
      <c r="AE16" s="60"/>
      <c r="AF16" s="60"/>
      <c r="AG16" s="60"/>
      <c r="AH16" s="60"/>
      <c r="AI16" s="60"/>
      <c r="AJ16" s="60"/>
      <c r="AK16" s="60" t="s">
        <v>3369</v>
      </c>
      <c r="AL16" s="62"/>
      <c r="AM16" s="62"/>
      <c r="AN16" s="60" t="s">
        <v>3369</v>
      </c>
      <c r="AO16" s="60"/>
      <c r="AP16" s="62"/>
      <c r="AQ16" s="62"/>
      <c r="AR16" s="59" t="s">
        <v>27</v>
      </c>
      <c r="AS16" s="60" t="s">
        <v>3405</v>
      </c>
      <c r="AT16" s="60" t="s">
        <v>3371</v>
      </c>
      <c r="AU16" s="62"/>
      <c r="AV16" s="62"/>
      <c r="AW16" s="59" t="s">
        <v>3395</v>
      </c>
      <c r="AX16" s="63"/>
      <c r="AY16" s="62"/>
      <c r="AZ16" s="59"/>
      <c r="BA16" s="61"/>
      <c r="BB16" s="61"/>
      <c r="BC16" s="59"/>
      <c r="BD16" s="59" t="s">
        <v>27</v>
      </c>
      <c r="BE16" s="59" t="s">
        <v>3362</v>
      </c>
      <c r="BF16" s="61" t="s">
        <v>3362</v>
      </c>
      <c r="BG16" s="61"/>
      <c r="BH16" s="61"/>
      <c r="BI16" s="61" t="s">
        <v>3522</v>
      </c>
      <c r="BJ16" s="61" t="s">
        <v>27</v>
      </c>
      <c r="BK16" s="61"/>
      <c r="BL16" s="61"/>
      <c r="BM16" s="61" t="s">
        <v>20</v>
      </c>
      <c r="BN16" s="61"/>
      <c r="BO16" s="59"/>
      <c r="BP16" s="59" t="s">
        <v>20</v>
      </c>
      <c r="BQ16" s="59"/>
      <c r="BR16" s="61"/>
      <c r="BS16" s="61"/>
      <c r="BT16" s="59"/>
      <c r="BU16" s="61"/>
      <c r="BV16" s="61"/>
      <c r="BW16" s="61"/>
      <c r="BX16" s="61"/>
      <c r="BY16" s="59"/>
      <c r="BZ16" s="61"/>
      <c r="CA16" s="61"/>
      <c r="CB16" s="61"/>
      <c r="CC16" s="61"/>
      <c r="CD16" s="61"/>
      <c r="CE16" s="61"/>
      <c r="CF16" s="61"/>
      <c r="CG16" s="61"/>
      <c r="CH16" s="61"/>
      <c r="CI16" s="61"/>
      <c r="CJ16" s="59"/>
      <c r="CK16" s="59"/>
      <c r="CL16" s="61"/>
      <c r="CM16" s="61"/>
      <c r="CN16" s="61"/>
      <c r="CO16" s="61"/>
      <c r="CP16" s="61"/>
      <c r="CQ16" s="61"/>
      <c r="CR16" s="61"/>
      <c r="CS16" s="61"/>
      <c r="CT16" s="61"/>
    </row>
    <row r="17">
      <c r="A17" s="87">
        <v>2022.0</v>
      </c>
      <c r="B17" s="89" t="s">
        <v>346</v>
      </c>
      <c r="C17" s="89" t="s">
        <v>59</v>
      </c>
      <c r="D17" s="90" t="s">
        <v>347</v>
      </c>
      <c r="E17" s="91" t="s">
        <v>348</v>
      </c>
      <c r="F17" s="91" t="s">
        <v>18</v>
      </c>
      <c r="G17" s="92" t="s">
        <v>19</v>
      </c>
      <c r="H17" s="93" t="s">
        <v>27</v>
      </c>
      <c r="I17" s="94" t="s">
        <v>3358</v>
      </c>
      <c r="J17" s="95" t="s">
        <v>3359</v>
      </c>
      <c r="K17" s="99"/>
      <c r="L17" s="94" t="s">
        <v>3361</v>
      </c>
      <c r="M17" s="96" t="s">
        <v>3362</v>
      </c>
      <c r="N17" s="98"/>
      <c r="O17" s="98"/>
      <c r="P17" s="99"/>
      <c r="Q17" s="94" t="s">
        <v>3363</v>
      </c>
      <c r="R17" s="99"/>
      <c r="S17" s="94" t="s">
        <v>3365</v>
      </c>
      <c r="T17" s="99"/>
      <c r="U17" s="96"/>
      <c r="V17" s="96" t="s">
        <v>3366</v>
      </c>
      <c r="W17" s="99"/>
      <c r="X17" s="96" t="s">
        <v>3404</v>
      </c>
      <c r="Y17" s="96"/>
      <c r="Z17" s="97" t="s">
        <v>3523</v>
      </c>
      <c r="AA17" s="97"/>
      <c r="AB17" s="97"/>
      <c r="AC17" s="97" t="s">
        <v>3487</v>
      </c>
      <c r="AD17" s="97" t="s">
        <v>3524</v>
      </c>
      <c r="AE17" s="97"/>
      <c r="AF17" s="97"/>
      <c r="AG17" s="97"/>
      <c r="AH17" s="97" t="s">
        <v>3525</v>
      </c>
      <c r="AI17" s="97"/>
      <c r="AJ17" s="97" t="s">
        <v>3526</v>
      </c>
      <c r="AK17" s="96" t="s">
        <v>3527</v>
      </c>
      <c r="AL17" s="93" t="s">
        <v>3528</v>
      </c>
      <c r="AM17" s="93"/>
      <c r="AN17" s="96" t="s">
        <v>3482</v>
      </c>
      <c r="AO17" s="97" t="s">
        <v>3529</v>
      </c>
      <c r="AP17" s="99"/>
      <c r="AQ17" s="93"/>
      <c r="AR17" s="95" t="s">
        <v>27</v>
      </c>
      <c r="AS17" s="96" t="s">
        <v>3370</v>
      </c>
      <c r="AT17" s="96" t="s">
        <v>3371</v>
      </c>
      <c r="AU17" s="99"/>
      <c r="AV17" s="93" t="s">
        <v>3530</v>
      </c>
      <c r="AW17" s="95" t="s">
        <v>3372</v>
      </c>
      <c r="AX17" s="101"/>
      <c r="AY17" s="99"/>
      <c r="AZ17" s="95"/>
      <c r="BA17" s="97"/>
      <c r="BB17" s="97"/>
      <c r="BC17" s="95"/>
      <c r="BD17" s="95" t="s">
        <v>27</v>
      </c>
      <c r="BE17" s="95" t="s">
        <v>3362</v>
      </c>
      <c r="BF17" s="97" t="s">
        <v>3362</v>
      </c>
      <c r="BG17" s="97"/>
      <c r="BH17" s="97"/>
      <c r="BI17" s="97" t="s">
        <v>3531</v>
      </c>
      <c r="BJ17" s="97" t="s">
        <v>27</v>
      </c>
      <c r="BK17" s="97"/>
      <c r="BL17" s="97"/>
      <c r="BM17" s="97" t="s">
        <v>27</v>
      </c>
      <c r="BN17" s="97"/>
      <c r="BO17" s="95"/>
      <c r="BP17" s="95" t="s">
        <v>20</v>
      </c>
      <c r="BQ17" s="95"/>
      <c r="BR17" s="97"/>
      <c r="BS17" s="97"/>
      <c r="BT17" s="95"/>
      <c r="BU17" s="97"/>
      <c r="BV17" s="97"/>
      <c r="BW17" s="97"/>
      <c r="BX17" s="97" t="s">
        <v>3512</v>
      </c>
      <c r="BY17" s="95" t="s">
        <v>3487</v>
      </c>
      <c r="BZ17" s="97" t="s">
        <v>3532</v>
      </c>
      <c r="CA17" s="97"/>
      <c r="CB17" s="97" t="s">
        <v>3533</v>
      </c>
      <c r="CC17" s="97" t="s">
        <v>3534</v>
      </c>
      <c r="CD17" s="97" t="s">
        <v>3535</v>
      </c>
      <c r="CE17" s="97"/>
      <c r="CF17" s="97"/>
      <c r="CG17" s="97" t="s">
        <v>3536</v>
      </c>
      <c r="CH17" s="97" t="s">
        <v>3537</v>
      </c>
      <c r="CI17" s="97"/>
      <c r="CJ17" s="95"/>
      <c r="CK17" s="95"/>
      <c r="CL17" s="97"/>
      <c r="CM17" s="97"/>
      <c r="CN17" s="97"/>
      <c r="CO17" s="97"/>
      <c r="CP17" s="97"/>
      <c r="CQ17" s="97"/>
      <c r="CR17" s="97"/>
      <c r="CS17" s="97" t="s">
        <v>3538</v>
      </c>
      <c r="CT17" s="97"/>
    </row>
    <row r="18">
      <c r="A18" s="52">
        <v>2023.0</v>
      </c>
      <c r="B18" s="54" t="s">
        <v>355</v>
      </c>
      <c r="C18" s="54" t="s">
        <v>41</v>
      </c>
      <c r="D18" s="55" t="s">
        <v>356</v>
      </c>
      <c r="E18" s="57" t="s">
        <v>357</v>
      </c>
      <c r="F18" s="57" t="s">
        <v>18</v>
      </c>
      <c r="G18" s="56" t="s">
        <v>19</v>
      </c>
      <c r="H18" s="58" t="s">
        <v>27</v>
      </c>
      <c r="I18" s="78" t="s">
        <v>3358</v>
      </c>
      <c r="J18" s="59" t="s">
        <v>3359</v>
      </c>
      <c r="K18" s="62"/>
      <c r="L18" s="78" t="s">
        <v>3477</v>
      </c>
      <c r="M18" s="60" t="s">
        <v>3432</v>
      </c>
      <c r="N18" s="61">
        <v>2510.0</v>
      </c>
      <c r="O18" s="79"/>
      <c r="P18" s="62"/>
      <c r="Q18" s="78" t="s">
        <v>3413</v>
      </c>
      <c r="R18" s="62"/>
      <c r="S18" s="78" t="s">
        <v>3365</v>
      </c>
      <c r="T18" s="62"/>
      <c r="U18" s="60"/>
      <c r="V18" s="60" t="s">
        <v>3366</v>
      </c>
      <c r="W18" s="62"/>
      <c r="X18" s="60" t="s">
        <v>3404</v>
      </c>
      <c r="Y18" s="60"/>
      <c r="Z18" s="61" t="s">
        <v>3539</v>
      </c>
      <c r="AA18" s="61"/>
      <c r="AB18" s="61"/>
      <c r="AC18" s="61"/>
      <c r="AD18" s="61"/>
      <c r="AE18" s="61"/>
      <c r="AF18" s="61"/>
      <c r="AG18" s="61"/>
      <c r="AH18" s="61"/>
      <c r="AI18" s="61"/>
      <c r="AJ18" s="61"/>
      <c r="AK18" s="60" t="s">
        <v>3369</v>
      </c>
      <c r="AL18" s="62"/>
      <c r="AM18" s="62"/>
      <c r="AN18" s="60" t="s">
        <v>3369</v>
      </c>
      <c r="AO18" s="60"/>
      <c r="AP18" s="62"/>
      <c r="AQ18" s="62"/>
      <c r="AR18" s="59" t="s">
        <v>27</v>
      </c>
      <c r="AS18" s="60" t="s">
        <v>3370</v>
      </c>
      <c r="AT18" s="60" t="s">
        <v>3371</v>
      </c>
      <c r="AU18" s="62"/>
      <c r="AV18" s="62"/>
      <c r="AW18" s="59" t="s">
        <v>3372</v>
      </c>
      <c r="AX18" s="63"/>
      <c r="AY18" s="62"/>
      <c r="AZ18" s="59"/>
      <c r="BA18" s="61"/>
      <c r="BB18" s="61"/>
      <c r="BC18" s="59"/>
      <c r="BD18" s="59" t="s">
        <v>27</v>
      </c>
      <c r="BE18" s="59" t="s">
        <v>3362</v>
      </c>
      <c r="BF18" s="61" t="s">
        <v>3540</v>
      </c>
      <c r="BG18" s="61"/>
      <c r="BH18" s="61"/>
      <c r="BI18" s="61" t="s">
        <v>3362</v>
      </c>
      <c r="BJ18" s="61" t="s">
        <v>27</v>
      </c>
      <c r="BK18" s="61"/>
      <c r="BL18" s="61"/>
      <c r="BM18" s="61" t="s">
        <v>20</v>
      </c>
      <c r="BN18" s="61"/>
      <c r="BO18" s="59"/>
      <c r="BP18" s="59" t="s">
        <v>20</v>
      </c>
      <c r="BQ18" s="59"/>
      <c r="BR18" s="61"/>
      <c r="BS18" s="61"/>
      <c r="BT18" s="59"/>
      <c r="BU18" s="61"/>
      <c r="BV18" s="61"/>
      <c r="BW18" s="61"/>
      <c r="BX18" s="61"/>
      <c r="BY18" s="59"/>
      <c r="BZ18" s="61"/>
      <c r="CA18" s="61"/>
      <c r="CB18" s="61"/>
      <c r="CC18" s="61"/>
      <c r="CD18" s="61"/>
      <c r="CE18" s="61"/>
      <c r="CF18" s="61"/>
      <c r="CG18" s="61"/>
      <c r="CH18" s="61"/>
      <c r="CI18" s="61"/>
      <c r="CJ18" s="59"/>
      <c r="CK18" s="59"/>
      <c r="CL18" s="61"/>
      <c r="CM18" s="61"/>
      <c r="CN18" s="61"/>
      <c r="CO18" s="61"/>
      <c r="CP18" s="61"/>
      <c r="CQ18" s="61"/>
      <c r="CR18" s="61"/>
      <c r="CS18" s="61"/>
      <c r="CT18" s="61"/>
    </row>
    <row r="19">
      <c r="A19" s="87">
        <v>2016.0</v>
      </c>
      <c r="B19" s="89" t="s">
        <v>359</v>
      </c>
      <c r="C19" s="89" t="s">
        <v>272</v>
      </c>
      <c r="D19" s="90" t="s">
        <v>360</v>
      </c>
      <c r="E19" s="91" t="s">
        <v>361</v>
      </c>
      <c r="F19" s="91" t="s">
        <v>18</v>
      </c>
      <c r="G19" s="92" t="s">
        <v>19</v>
      </c>
      <c r="H19" s="93" t="s">
        <v>27</v>
      </c>
      <c r="I19" s="94" t="s">
        <v>3358</v>
      </c>
      <c r="J19" s="95" t="s">
        <v>3359</v>
      </c>
      <c r="K19" s="99"/>
      <c r="L19" s="94" t="s">
        <v>3477</v>
      </c>
      <c r="M19" s="96" t="s">
        <v>3380</v>
      </c>
      <c r="N19" s="98"/>
      <c r="O19" s="98"/>
      <c r="P19" s="99"/>
      <c r="Q19" s="94" t="s">
        <v>3363</v>
      </c>
      <c r="R19" s="99"/>
      <c r="S19" s="94" t="s">
        <v>3365</v>
      </c>
      <c r="T19" s="99"/>
      <c r="U19" s="97" t="s">
        <v>3541</v>
      </c>
      <c r="V19" s="96" t="s">
        <v>3382</v>
      </c>
      <c r="W19" s="99"/>
      <c r="X19" s="96" t="s">
        <v>3367</v>
      </c>
      <c r="Y19" s="96"/>
      <c r="Z19" s="98"/>
      <c r="AA19" s="98"/>
      <c r="AB19" s="98"/>
      <c r="AC19" s="97" t="s">
        <v>3542</v>
      </c>
      <c r="AD19" s="97" t="s">
        <v>3389</v>
      </c>
      <c r="AE19" s="97" t="s">
        <v>3543</v>
      </c>
      <c r="AF19" s="97"/>
      <c r="AG19" s="97"/>
      <c r="AH19" s="98"/>
      <c r="AI19" s="98"/>
      <c r="AJ19" s="98"/>
      <c r="AK19" s="97" t="s">
        <v>3544</v>
      </c>
      <c r="AL19" s="93" t="s">
        <v>3545</v>
      </c>
      <c r="AM19" s="93"/>
      <c r="AN19" s="96" t="s">
        <v>3369</v>
      </c>
      <c r="AO19" s="96"/>
      <c r="AP19" s="99"/>
      <c r="AQ19" s="93"/>
      <c r="AR19" s="95" t="s">
        <v>27</v>
      </c>
      <c r="AS19" s="96" t="s">
        <v>3405</v>
      </c>
      <c r="AT19" s="96" t="s">
        <v>3371</v>
      </c>
      <c r="AU19" s="99"/>
      <c r="AV19" s="99"/>
      <c r="AW19" s="95" t="s">
        <v>3395</v>
      </c>
      <c r="AX19" s="101"/>
      <c r="AY19" s="99"/>
      <c r="AZ19" s="95"/>
      <c r="BA19" s="97"/>
      <c r="BB19" s="97"/>
      <c r="BC19" s="95"/>
      <c r="BD19" s="95" t="s">
        <v>27</v>
      </c>
      <c r="BE19" s="95" t="s">
        <v>3546</v>
      </c>
      <c r="BF19" s="97" t="s">
        <v>3547</v>
      </c>
      <c r="BG19" s="97" t="s">
        <v>3548</v>
      </c>
      <c r="BH19" s="97" t="s">
        <v>3549</v>
      </c>
      <c r="BI19" s="97" t="s">
        <v>3399</v>
      </c>
      <c r="BJ19" s="97" t="s">
        <v>27</v>
      </c>
      <c r="BK19" s="97"/>
      <c r="BL19" s="97"/>
      <c r="BM19" s="97" t="s">
        <v>20</v>
      </c>
      <c r="BN19" s="97"/>
      <c r="BO19" s="95"/>
      <c r="BP19" s="95" t="s">
        <v>20</v>
      </c>
      <c r="BQ19" s="95"/>
      <c r="BR19" s="97"/>
      <c r="BS19" s="97"/>
      <c r="BT19" s="95"/>
      <c r="BU19" s="97"/>
      <c r="BV19" s="97"/>
      <c r="BW19" s="97"/>
      <c r="BX19" s="97"/>
      <c r="BY19" s="95"/>
      <c r="BZ19" s="97"/>
      <c r="CA19" s="97"/>
      <c r="CB19" s="97"/>
      <c r="CC19" s="97"/>
      <c r="CD19" s="97"/>
      <c r="CE19" s="97"/>
      <c r="CF19" s="97"/>
      <c r="CG19" s="97"/>
      <c r="CH19" s="97"/>
      <c r="CI19" s="97"/>
      <c r="CJ19" s="95"/>
      <c r="CK19" s="95"/>
      <c r="CL19" s="97"/>
      <c r="CM19" s="97"/>
      <c r="CN19" s="97"/>
      <c r="CO19" s="97"/>
      <c r="CP19" s="97"/>
      <c r="CQ19" s="97"/>
      <c r="CR19" s="97"/>
      <c r="CS19" s="97"/>
      <c r="CT19" s="97"/>
    </row>
    <row r="20">
      <c r="A20" s="87">
        <v>2025.0</v>
      </c>
      <c r="B20" s="89" t="s">
        <v>363</v>
      </c>
      <c r="C20" s="89" t="s">
        <v>364</v>
      </c>
      <c r="D20" s="90" t="s">
        <v>365</v>
      </c>
      <c r="E20" s="91" t="s">
        <v>366</v>
      </c>
      <c r="F20" s="91" t="s">
        <v>18</v>
      </c>
      <c r="G20" s="92" t="s">
        <v>19</v>
      </c>
      <c r="H20" s="93" t="s">
        <v>27</v>
      </c>
      <c r="I20" s="95" t="s">
        <v>3358</v>
      </c>
      <c r="J20" s="95" t="s">
        <v>3359</v>
      </c>
      <c r="K20" s="99"/>
      <c r="L20" s="95" t="s">
        <v>3477</v>
      </c>
      <c r="M20" s="97" t="s">
        <v>3550</v>
      </c>
      <c r="N20" s="97"/>
      <c r="O20" s="97"/>
      <c r="P20" s="99"/>
      <c r="Q20" s="95" t="s">
        <v>3413</v>
      </c>
      <c r="R20" s="99"/>
      <c r="S20" s="95" t="s">
        <v>3365</v>
      </c>
      <c r="T20" s="99"/>
      <c r="U20" s="97" t="s">
        <v>3551</v>
      </c>
      <c r="V20" s="97" t="s">
        <v>3382</v>
      </c>
      <c r="W20" s="99"/>
      <c r="X20" s="97" t="s">
        <v>3552</v>
      </c>
      <c r="Y20" s="97" t="s">
        <v>3553</v>
      </c>
      <c r="Z20" s="97"/>
      <c r="AA20" s="97"/>
      <c r="AB20" s="97"/>
      <c r="AC20" s="100" t="s">
        <v>3388</v>
      </c>
      <c r="AD20" s="97" t="s">
        <v>3389</v>
      </c>
      <c r="AE20" s="97"/>
      <c r="AF20" s="97" t="s">
        <v>3554</v>
      </c>
      <c r="AG20" s="97"/>
      <c r="AH20" s="97" t="s">
        <v>3555</v>
      </c>
      <c r="AI20" s="97"/>
      <c r="AJ20" s="97" t="s">
        <v>3555</v>
      </c>
      <c r="AK20" s="97" t="s">
        <v>3556</v>
      </c>
      <c r="AL20" s="93" t="s">
        <v>3378</v>
      </c>
      <c r="AM20" s="93" t="s">
        <v>3557</v>
      </c>
      <c r="AN20" s="97" t="s">
        <v>3558</v>
      </c>
      <c r="AO20" s="97"/>
      <c r="AP20" s="99"/>
      <c r="AQ20" s="99"/>
      <c r="AR20" s="95" t="s">
        <v>27</v>
      </c>
      <c r="AS20" s="97" t="s">
        <v>3405</v>
      </c>
      <c r="AT20" s="97" t="s">
        <v>3371</v>
      </c>
      <c r="AU20" s="99"/>
      <c r="AV20" s="99"/>
      <c r="AW20" s="95" t="s">
        <v>3395</v>
      </c>
      <c r="AX20" s="101"/>
      <c r="AY20" s="99"/>
      <c r="AZ20" s="106"/>
      <c r="BA20" s="98"/>
      <c r="BB20" s="98"/>
      <c r="BC20" s="106"/>
      <c r="BD20" s="95" t="s">
        <v>27</v>
      </c>
      <c r="BE20" s="95" t="s">
        <v>3559</v>
      </c>
      <c r="BF20" s="97" t="s">
        <v>3560</v>
      </c>
      <c r="BG20" s="97"/>
      <c r="BH20" s="97"/>
      <c r="BI20" s="97" t="s">
        <v>3561</v>
      </c>
      <c r="BJ20" s="97" t="s">
        <v>3562</v>
      </c>
      <c r="BK20" s="97"/>
      <c r="BL20" s="97"/>
      <c r="BM20" s="97" t="s">
        <v>3562</v>
      </c>
      <c r="BN20" s="97"/>
      <c r="BO20" s="95"/>
      <c r="BP20" s="106"/>
      <c r="BQ20" s="106"/>
      <c r="BR20" s="98"/>
      <c r="BS20" s="98"/>
      <c r="BT20" s="106"/>
      <c r="BU20" s="98"/>
      <c r="BV20" s="98"/>
      <c r="BW20" s="98"/>
      <c r="BX20" s="98"/>
      <c r="BY20" s="106"/>
      <c r="BZ20" s="98"/>
      <c r="CA20" s="98"/>
      <c r="CB20" s="98"/>
      <c r="CC20" s="98"/>
      <c r="CD20" s="98"/>
      <c r="CE20" s="98"/>
      <c r="CF20" s="98"/>
      <c r="CG20" s="98"/>
      <c r="CH20" s="98"/>
      <c r="CI20" s="98"/>
      <c r="CJ20" s="106"/>
      <c r="CK20" s="106"/>
      <c r="CL20" s="98"/>
      <c r="CM20" s="98"/>
      <c r="CN20" s="98"/>
      <c r="CO20" s="98"/>
      <c r="CP20" s="98"/>
      <c r="CQ20" s="98"/>
      <c r="CR20" s="98"/>
      <c r="CS20" s="98"/>
      <c r="CT20" s="98"/>
    </row>
    <row r="21">
      <c r="A21" s="52">
        <v>2021.0</v>
      </c>
      <c r="B21" s="54" t="s">
        <v>387</v>
      </c>
      <c r="C21" s="54" t="s">
        <v>24</v>
      </c>
      <c r="D21" s="55" t="s">
        <v>388</v>
      </c>
      <c r="E21" s="57" t="s">
        <v>389</v>
      </c>
      <c r="F21" s="57" t="s">
        <v>18</v>
      </c>
      <c r="G21" s="56" t="s">
        <v>19</v>
      </c>
      <c r="H21" s="58" t="s">
        <v>27</v>
      </c>
      <c r="I21" s="59" t="s">
        <v>3411</v>
      </c>
      <c r="J21" s="59" t="s">
        <v>3359</v>
      </c>
      <c r="K21" s="58"/>
      <c r="L21" s="78" t="s">
        <v>3361</v>
      </c>
      <c r="M21" s="60" t="s">
        <v>3432</v>
      </c>
      <c r="N21" s="60"/>
      <c r="O21" s="60"/>
      <c r="P21" s="58"/>
      <c r="Q21" s="78" t="s">
        <v>3413</v>
      </c>
      <c r="R21" s="58" t="s">
        <v>3563</v>
      </c>
      <c r="S21" s="59" t="s">
        <v>3365</v>
      </c>
      <c r="T21" s="58"/>
      <c r="U21" s="61"/>
      <c r="V21" s="61" t="s">
        <v>3372</v>
      </c>
      <c r="W21" s="58"/>
      <c r="X21" s="61" t="s">
        <v>3404</v>
      </c>
      <c r="Y21" s="61"/>
      <c r="Z21" s="61"/>
      <c r="AA21" s="61"/>
      <c r="AB21" s="61"/>
      <c r="AC21" s="61"/>
      <c r="AD21" s="61"/>
      <c r="AE21" s="61"/>
      <c r="AF21" s="61"/>
      <c r="AG21" s="61"/>
      <c r="AH21" s="61"/>
      <c r="AI21" s="61"/>
      <c r="AJ21" s="61"/>
      <c r="AK21" s="60" t="s">
        <v>3378</v>
      </c>
      <c r="AL21" s="58"/>
      <c r="AM21" s="58"/>
      <c r="AN21" s="61" t="s">
        <v>3564</v>
      </c>
      <c r="AO21" s="61"/>
      <c r="AP21" s="58"/>
      <c r="AQ21" s="58"/>
      <c r="AR21" s="59" t="s">
        <v>27</v>
      </c>
      <c r="AS21" s="61" t="s">
        <v>3565</v>
      </c>
      <c r="AT21" s="61" t="s">
        <v>3368</v>
      </c>
      <c r="AU21" s="58" t="s">
        <v>3566</v>
      </c>
      <c r="AV21" s="58"/>
      <c r="AW21" s="59" t="s">
        <v>3395</v>
      </c>
      <c r="AX21" s="82"/>
      <c r="AY21" s="58"/>
      <c r="AZ21" s="107"/>
      <c r="BA21" s="79"/>
      <c r="BB21" s="79"/>
      <c r="BC21" s="107"/>
      <c r="BD21" s="59" t="s">
        <v>20</v>
      </c>
      <c r="BE21" s="107"/>
      <c r="BF21" s="79"/>
      <c r="BG21" s="79"/>
      <c r="BH21" s="79"/>
      <c r="BI21" s="79"/>
      <c r="BJ21" s="61" t="s">
        <v>3567</v>
      </c>
      <c r="BK21" s="61"/>
      <c r="BL21" s="61"/>
      <c r="BM21" s="79"/>
      <c r="BN21" s="79"/>
      <c r="BO21" s="107"/>
      <c r="BP21" s="107"/>
      <c r="BQ21" s="107"/>
      <c r="BR21" s="79"/>
      <c r="BS21" s="79"/>
      <c r="BT21" s="107"/>
      <c r="BU21" s="79"/>
      <c r="BV21" s="79"/>
      <c r="BW21" s="79"/>
      <c r="BX21" s="79"/>
      <c r="BY21" s="107"/>
      <c r="BZ21" s="79"/>
      <c r="CA21" s="79"/>
      <c r="CB21" s="79"/>
      <c r="CC21" s="79"/>
      <c r="CD21" s="79"/>
      <c r="CE21" s="79"/>
      <c r="CF21" s="79"/>
      <c r="CG21" s="79"/>
      <c r="CH21" s="79"/>
      <c r="CI21" s="79"/>
      <c r="CJ21" s="107"/>
      <c r="CK21" s="107"/>
      <c r="CL21" s="79"/>
      <c r="CM21" s="79"/>
      <c r="CN21" s="79"/>
      <c r="CO21" s="79"/>
      <c r="CP21" s="79"/>
      <c r="CQ21" s="79"/>
      <c r="CR21" s="79"/>
      <c r="CS21" s="79"/>
      <c r="CT21" s="61" t="s">
        <v>3568</v>
      </c>
    </row>
    <row r="22">
      <c r="A22" s="52">
        <v>2021.0</v>
      </c>
      <c r="B22" s="54" t="s">
        <v>395</v>
      </c>
      <c r="C22" s="54" t="s">
        <v>302</v>
      </c>
      <c r="D22" s="55" t="s">
        <v>396</v>
      </c>
      <c r="E22" s="57" t="s">
        <v>397</v>
      </c>
      <c r="F22" s="57" t="s">
        <v>18</v>
      </c>
      <c r="G22" s="56" t="s">
        <v>19</v>
      </c>
      <c r="H22" s="58" t="s">
        <v>27</v>
      </c>
      <c r="I22" s="59" t="s">
        <v>3358</v>
      </c>
      <c r="J22" s="59" t="s">
        <v>3411</v>
      </c>
      <c r="K22" s="58" t="s">
        <v>3569</v>
      </c>
      <c r="L22" s="78" t="s">
        <v>3361</v>
      </c>
      <c r="M22" s="60" t="s">
        <v>3570</v>
      </c>
      <c r="N22" s="60"/>
      <c r="O22" s="60"/>
      <c r="P22" s="58"/>
      <c r="Q22" s="78" t="s">
        <v>3363</v>
      </c>
      <c r="R22" s="58" t="s">
        <v>3571</v>
      </c>
      <c r="S22" s="59" t="s">
        <v>3572</v>
      </c>
      <c r="T22" s="58"/>
      <c r="U22" s="61"/>
      <c r="V22" s="61" t="s">
        <v>3368</v>
      </c>
      <c r="W22" s="58" t="s">
        <v>3573</v>
      </c>
      <c r="X22" s="60" t="s">
        <v>3574</v>
      </c>
      <c r="Y22" s="60"/>
      <c r="Z22" s="61"/>
      <c r="AA22" s="61"/>
      <c r="AB22" s="61"/>
      <c r="AC22" s="61"/>
      <c r="AD22" s="61"/>
      <c r="AE22" s="61"/>
      <c r="AF22" s="61"/>
      <c r="AG22" s="61"/>
      <c r="AH22" s="61"/>
      <c r="AI22" s="61"/>
      <c r="AJ22" s="61"/>
      <c r="AK22" s="60" t="s">
        <v>3368</v>
      </c>
      <c r="AL22" s="58" t="s">
        <v>3575</v>
      </c>
      <c r="AM22" s="58"/>
      <c r="AN22" s="61" t="s">
        <v>3415</v>
      </c>
      <c r="AO22" s="61"/>
      <c r="AP22" s="58"/>
      <c r="AQ22" s="58"/>
      <c r="AR22" s="59" t="s">
        <v>27</v>
      </c>
      <c r="AS22" s="61" t="s">
        <v>3576</v>
      </c>
      <c r="AT22" s="61" t="s">
        <v>3368</v>
      </c>
      <c r="AU22" s="58" t="s">
        <v>3577</v>
      </c>
      <c r="AV22" s="58"/>
      <c r="AW22" s="59" t="s">
        <v>3372</v>
      </c>
      <c r="AX22" s="82"/>
      <c r="AY22" s="58"/>
      <c r="AZ22" s="59"/>
      <c r="BA22" s="61"/>
      <c r="BB22" s="61"/>
      <c r="BC22" s="59"/>
      <c r="BD22" s="59" t="s">
        <v>27</v>
      </c>
      <c r="BE22" s="59" t="s">
        <v>3578</v>
      </c>
      <c r="BF22" s="61" t="s">
        <v>3579</v>
      </c>
      <c r="BG22" s="61"/>
      <c r="BH22" s="61"/>
      <c r="BI22" s="61" t="s">
        <v>3580</v>
      </c>
      <c r="BJ22" s="61" t="s">
        <v>3581</v>
      </c>
      <c r="BK22" s="61"/>
      <c r="BL22" s="61"/>
      <c r="BM22" s="61" t="s">
        <v>3395</v>
      </c>
      <c r="BN22" s="61"/>
      <c r="BO22" s="59"/>
      <c r="BP22" s="59" t="s">
        <v>3582</v>
      </c>
      <c r="BQ22" s="59"/>
      <c r="BR22" s="61"/>
      <c r="BS22" s="61"/>
      <c r="BT22" s="59"/>
      <c r="BU22" s="61"/>
      <c r="BV22" s="61"/>
      <c r="BW22" s="61"/>
      <c r="BX22" s="61"/>
      <c r="BY22" s="59"/>
      <c r="BZ22" s="61"/>
      <c r="CA22" s="61"/>
      <c r="CB22" s="61"/>
      <c r="CC22" s="61"/>
      <c r="CD22" s="61"/>
      <c r="CE22" s="61"/>
      <c r="CF22" s="61"/>
      <c r="CG22" s="61"/>
      <c r="CH22" s="61"/>
      <c r="CI22" s="61"/>
      <c r="CJ22" s="59"/>
      <c r="CK22" s="59"/>
      <c r="CL22" s="61"/>
      <c r="CM22" s="61"/>
      <c r="CN22" s="61"/>
      <c r="CO22" s="61"/>
      <c r="CP22" s="61"/>
      <c r="CQ22" s="61"/>
      <c r="CR22" s="61"/>
      <c r="CS22" s="61"/>
      <c r="CT22" s="61" t="s">
        <v>3583</v>
      </c>
    </row>
    <row r="23">
      <c r="A23" s="52">
        <v>2023.0</v>
      </c>
      <c r="B23" s="54" t="s">
        <v>399</v>
      </c>
      <c r="C23" s="54" t="s">
        <v>41</v>
      </c>
      <c r="D23" s="55" t="s">
        <v>400</v>
      </c>
      <c r="E23" s="57" t="s">
        <v>401</v>
      </c>
      <c r="F23" s="57" t="s">
        <v>18</v>
      </c>
      <c r="G23" s="56" t="s">
        <v>19</v>
      </c>
      <c r="H23" s="58" t="s">
        <v>27</v>
      </c>
      <c r="I23" s="59" t="s">
        <v>3411</v>
      </c>
      <c r="J23" s="59" t="s">
        <v>3411</v>
      </c>
      <c r="K23" s="58" t="s">
        <v>3584</v>
      </c>
      <c r="L23" s="78" t="s">
        <v>3412</v>
      </c>
      <c r="M23" s="60" t="s">
        <v>3362</v>
      </c>
      <c r="N23" s="60"/>
      <c r="O23" s="60"/>
      <c r="P23" s="58"/>
      <c r="Q23" s="78" t="s">
        <v>3413</v>
      </c>
      <c r="R23" s="58" t="s">
        <v>3585</v>
      </c>
      <c r="S23" s="59" t="s">
        <v>3365</v>
      </c>
      <c r="T23" s="58" t="s">
        <v>3586</v>
      </c>
      <c r="U23" s="61"/>
      <c r="V23" s="61" t="s">
        <v>3366</v>
      </c>
      <c r="W23" s="62"/>
      <c r="X23" s="60" t="s">
        <v>3404</v>
      </c>
      <c r="Y23" s="60"/>
      <c r="Z23" s="61"/>
      <c r="AA23" s="61"/>
      <c r="AB23" s="61"/>
      <c r="AC23" s="61"/>
      <c r="AD23" s="61"/>
      <c r="AE23" s="61"/>
      <c r="AF23" s="61"/>
      <c r="AG23" s="61"/>
      <c r="AH23" s="61"/>
      <c r="AI23" s="61"/>
      <c r="AJ23" s="61"/>
      <c r="AK23" s="60" t="s">
        <v>3368</v>
      </c>
      <c r="AL23" s="58" t="s">
        <v>3587</v>
      </c>
      <c r="AM23" s="58"/>
      <c r="AN23" s="61" t="s">
        <v>3588</v>
      </c>
      <c r="AO23" s="61"/>
      <c r="AP23" s="62"/>
      <c r="AQ23" s="58"/>
      <c r="AR23" s="59" t="s">
        <v>27</v>
      </c>
      <c r="AS23" s="61" t="s">
        <v>3405</v>
      </c>
      <c r="AT23" s="61" t="s">
        <v>3371</v>
      </c>
      <c r="AU23" s="58" t="s">
        <v>3589</v>
      </c>
      <c r="AV23" s="58"/>
      <c r="AW23" s="59" t="s">
        <v>3372</v>
      </c>
      <c r="AX23" s="82" t="s">
        <v>3590</v>
      </c>
      <c r="AY23" s="58"/>
      <c r="AZ23" s="59"/>
      <c r="BA23" s="61"/>
      <c r="BB23" s="61"/>
      <c r="BC23" s="59"/>
      <c r="BD23" s="59" t="s">
        <v>27</v>
      </c>
      <c r="BE23" s="59" t="s">
        <v>3591</v>
      </c>
      <c r="BF23" s="61" t="s">
        <v>3592</v>
      </c>
      <c r="BG23" s="61"/>
      <c r="BH23" s="61"/>
      <c r="BI23" s="61" t="s">
        <v>3593</v>
      </c>
      <c r="BJ23" s="61" t="s">
        <v>3594</v>
      </c>
      <c r="BK23" s="61"/>
      <c r="BL23" s="61"/>
      <c r="BM23" s="61" t="s">
        <v>3562</v>
      </c>
      <c r="BN23" s="61"/>
      <c r="BO23" s="59"/>
      <c r="BP23" s="59" t="s">
        <v>3582</v>
      </c>
      <c r="BQ23" s="59"/>
      <c r="BR23" s="61"/>
      <c r="BS23" s="61"/>
      <c r="BT23" s="59"/>
      <c r="BU23" s="61"/>
      <c r="BV23" s="61"/>
      <c r="BW23" s="61"/>
      <c r="BX23" s="61"/>
      <c r="BY23" s="59"/>
      <c r="BZ23" s="61"/>
      <c r="CA23" s="61"/>
      <c r="CB23" s="61"/>
      <c r="CC23" s="61"/>
      <c r="CD23" s="61"/>
      <c r="CE23" s="61"/>
      <c r="CF23" s="61"/>
      <c r="CG23" s="61"/>
      <c r="CH23" s="61"/>
      <c r="CI23" s="61"/>
      <c r="CJ23" s="59"/>
      <c r="CK23" s="59"/>
      <c r="CL23" s="61"/>
      <c r="CM23" s="61"/>
      <c r="CN23" s="61"/>
      <c r="CO23" s="61"/>
      <c r="CP23" s="61"/>
      <c r="CQ23" s="61"/>
      <c r="CR23" s="61"/>
      <c r="CS23" s="61"/>
      <c r="CT23" s="61" t="s">
        <v>3595</v>
      </c>
    </row>
    <row r="24" ht="70.5" customHeight="1">
      <c r="A24" s="52">
        <v>2022.0</v>
      </c>
      <c r="B24" s="54" t="s">
        <v>441</v>
      </c>
      <c r="C24" s="54" t="s">
        <v>112</v>
      </c>
      <c r="D24" s="55" t="s">
        <v>442</v>
      </c>
      <c r="E24" s="57" t="s">
        <v>443</v>
      </c>
      <c r="F24" s="57" t="s">
        <v>18</v>
      </c>
      <c r="G24" s="56" t="s">
        <v>19</v>
      </c>
      <c r="H24" s="58" t="s">
        <v>27</v>
      </c>
      <c r="I24" s="59" t="s">
        <v>3358</v>
      </c>
      <c r="J24" s="59" t="s">
        <v>3411</v>
      </c>
      <c r="K24" s="58" t="s">
        <v>3596</v>
      </c>
      <c r="L24" s="78" t="s">
        <v>3412</v>
      </c>
      <c r="M24" s="60" t="s">
        <v>3362</v>
      </c>
      <c r="N24" s="60"/>
      <c r="O24" s="60"/>
      <c r="P24" s="58"/>
      <c r="Q24" s="78" t="s">
        <v>3434</v>
      </c>
      <c r="R24" s="58" t="s">
        <v>3597</v>
      </c>
      <c r="S24" s="59" t="s">
        <v>3365</v>
      </c>
      <c r="T24" s="62"/>
      <c r="U24" s="61"/>
      <c r="V24" s="61" t="s">
        <v>3366</v>
      </c>
      <c r="W24" s="62"/>
      <c r="X24" s="60" t="s">
        <v>3404</v>
      </c>
      <c r="Y24" s="60"/>
      <c r="Z24" s="61"/>
      <c r="AA24" s="61"/>
      <c r="AB24" s="61"/>
      <c r="AC24" s="61"/>
      <c r="AD24" s="61"/>
      <c r="AE24" s="61"/>
      <c r="AF24" s="61"/>
      <c r="AG24" s="61"/>
      <c r="AH24" s="61"/>
      <c r="AI24" s="61"/>
      <c r="AJ24" s="61"/>
      <c r="AK24" s="60" t="s">
        <v>3489</v>
      </c>
      <c r="AL24" s="62"/>
      <c r="AM24" s="62"/>
      <c r="AN24" s="61" t="s">
        <v>3415</v>
      </c>
      <c r="AO24" s="61"/>
      <c r="AP24" s="58" t="s">
        <v>3598</v>
      </c>
      <c r="AQ24" s="62"/>
      <c r="AR24" s="59" t="s">
        <v>27</v>
      </c>
      <c r="AS24" s="61" t="s">
        <v>3405</v>
      </c>
      <c r="AT24" s="61" t="s">
        <v>3371</v>
      </c>
      <c r="AU24" s="62"/>
      <c r="AV24" s="62"/>
      <c r="AW24" s="59" t="s">
        <v>3372</v>
      </c>
      <c r="AX24" s="63"/>
      <c r="AY24" s="62"/>
      <c r="AZ24" s="59"/>
      <c r="BA24" s="61"/>
      <c r="BB24" s="61"/>
      <c r="BC24" s="59"/>
      <c r="BD24" s="59" t="s">
        <v>27</v>
      </c>
      <c r="BE24" s="59" t="s">
        <v>3599</v>
      </c>
      <c r="BF24" s="61" t="s">
        <v>3600</v>
      </c>
      <c r="BG24" s="61"/>
      <c r="BH24" s="61"/>
      <c r="BI24" s="61" t="s">
        <v>3601</v>
      </c>
      <c r="BJ24" s="61" t="s">
        <v>3602</v>
      </c>
      <c r="BK24" s="61"/>
      <c r="BL24" s="61"/>
      <c r="BM24" s="61" t="s">
        <v>3603</v>
      </c>
      <c r="BN24" s="61"/>
      <c r="BO24" s="59"/>
      <c r="BP24" s="59" t="s">
        <v>3582</v>
      </c>
      <c r="BQ24" s="59"/>
      <c r="BR24" s="61"/>
      <c r="BS24" s="61"/>
      <c r="BT24" s="59"/>
      <c r="BU24" s="61"/>
      <c r="BV24" s="61"/>
      <c r="BW24" s="61"/>
      <c r="BX24" s="61"/>
      <c r="BY24" s="59"/>
      <c r="BZ24" s="61"/>
      <c r="CA24" s="61"/>
      <c r="CB24" s="61"/>
      <c r="CC24" s="61"/>
      <c r="CD24" s="61"/>
      <c r="CE24" s="61"/>
      <c r="CF24" s="61"/>
      <c r="CG24" s="61"/>
      <c r="CH24" s="61"/>
      <c r="CI24" s="61"/>
      <c r="CJ24" s="59"/>
      <c r="CK24" s="59"/>
      <c r="CL24" s="61"/>
      <c r="CM24" s="61"/>
      <c r="CN24" s="61"/>
      <c r="CO24" s="61"/>
      <c r="CP24" s="61"/>
      <c r="CQ24" s="61"/>
      <c r="CR24" s="61"/>
      <c r="CS24" s="61"/>
      <c r="CT24" s="61" t="s">
        <v>3604</v>
      </c>
    </row>
    <row r="25">
      <c r="A25" s="52">
        <v>2017.0</v>
      </c>
      <c r="B25" s="54" t="s">
        <v>470</v>
      </c>
      <c r="C25" s="54" t="s">
        <v>24</v>
      </c>
      <c r="D25" s="77" t="s">
        <v>471</v>
      </c>
      <c r="E25" s="57" t="s">
        <v>472</v>
      </c>
      <c r="F25" s="57" t="s">
        <v>18</v>
      </c>
      <c r="G25" s="56" t="s">
        <v>19</v>
      </c>
      <c r="H25" s="58" t="s">
        <v>27</v>
      </c>
      <c r="I25" s="59" t="s">
        <v>3358</v>
      </c>
      <c r="J25" s="59" t="s">
        <v>3359</v>
      </c>
      <c r="K25" s="62"/>
      <c r="L25" s="78" t="s">
        <v>3605</v>
      </c>
      <c r="M25" s="60" t="s">
        <v>3380</v>
      </c>
      <c r="N25" s="60"/>
      <c r="O25" s="60"/>
      <c r="P25" s="62"/>
      <c r="Q25" s="78" t="s">
        <v>3413</v>
      </c>
      <c r="R25" s="58" t="s">
        <v>3606</v>
      </c>
      <c r="S25" s="59" t="s">
        <v>3365</v>
      </c>
      <c r="T25" s="58" t="s">
        <v>3607</v>
      </c>
      <c r="U25" s="61"/>
      <c r="V25" s="61" t="s">
        <v>3366</v>
      </c>
      <c r="W25" s="58" t="s">
        <v>3608</v>
      </c>
      <c r="X25" s="60" t="s">
        <v>3404</v>
      </c>
      <c r="Y25" s="60"/>
      <c r="Z25" s="61"/>
      <c r="AA25" s="61"/>
      <c r="AB25" s="61"/>
      <c r="AC25" s="61"/>
      <c r="AD25" s="61"/>
      <c r="AE25" s="61"/>
      <c r="AF25" s="61"/>
      <c r="AG25" s="61"/>
      <c r="AH25" s="61"/>
      <c r="AI25" s="61"/>
      <c r="AJ25" s="61"/>
      <c r="AK25" s="60" t="s">
        <v>3452</v>
      </c>
      <c r="AL25" s="62"/>
      <c r="AM25" s="62"/>
      <c r="AN25" s="61" t="s">
        <v>3369</v>
      </c>
      <c r="AO25" s="61"/>
      <c r="AP25" s="62"/>
      <c r="AQ25" s="62"/>
      <c r="AR25" s="59" t="s">
        <v>27</v>
      </c>
      <c r="AS25" s="61" t="s">
        <v>3370</v>
      </c>
      <c r="AT25" s="61" t="s">
        <v>3368</v>
      </c>
      <c r="AU25" s="58" t="s">
        <v>3609</v>
      </c>
      <c r="AV25" s="58"/>
      <c r="AW25" s="59" t="s">
        <v>3372</v>
      </c>
      <c r="AX25" s="82" t="s">
        <v>3610</v>
      </c>
      <c r="AY25" s="58"/>
      <c r="AZ25" s="59"/>
      <c r="BA25" s="61"/>
      <c r="BB25" s="61"/>
      <c r="BC25" s="59"/>
      <c r="BD25" s="59" t="s">
        <v>27</v>
      </c>
      <c r="BE25" s="59" t="s">
        <v>3611</v>
      </c>
      <c r="BF25" s="61" t="s">
        <v>3612</v>
      </c>
      <c r="BG25" s="61"/>
      <c r="BH25" s="61"/>
      <c r="BI25" s="61" t="s">
        <v>3445</v>
      </c>
      <c r="BJ25" s="61" t="s">
        <v>3613</v>
      </c>
      <c r="BK25" s="61"/>
      <c r="BL25" s="61"/>
      <c r="BM25" s="61" t="s">
        <v>3562</v>
      </c>
      <c r="BN25" s="61"/>
      <c r="BO25" s="59"/>
      <c r="BP25" s="59" t="s">
        <v>3582</v>
      </c>
      <c r="BQ25" s="59"/>
      <c r="BR25" s="61"/>
      <c r="BS25" s="61"/>
      <c r="BT25" s="59"/>
      <c r="BU25" s="61"/>
      <c r="BV25" s="61"/>
      <c r="BW25" s="61"/>
      <c r="BX25" s="61"/>
      <c r="BY25" s="59"/>
      <c r="BZ25" s="61"/>
      <c r="CA25" s="61"/>
      <c r="CB25" s="61"/>
      <c r="CC25" s="61"/>
      <c r="CD25" s="61"/>
      <c r="CE25" s="61"/>
      <c r="CF25" s="61"/>
      <c r="CG25" s="61"/>
      <c r="CH25" s="61"/>
      <c r="CI25" s="61"/>
      <c r="CJ25" s="59"/>
      <c r="CK25" s="59"/>
      <c r="CL25" s="61"/>
      <c r="CM25" s="61"/>
      <c r="CN25" s="61"/>
      <c r="CO25" s="61"/>
      <c r="CP25" s="61"/>
      <c r="CQ25" s="61"/>
      <c r="CR25" s="61"/>
      <c r="CS25" s="61"/>
      <c r="CT25" s="61"/>
    </row>
    <row r="26">
      <c r="A26" s="52">
        <v>2021.0</v>
      </c>
      <c r="B26" s="54" t="s">
        <v>486</v>
      </c>
      <c r="C26" s="54" t="s">
        <v>112</v>
      </c>
      <c r="D26" s="55" t="s">
        <v>487</v>
      </c>
      <c r="E26" s="57" t="s">
        <v>488</v>
      </c>
      <c r="F26" s="57" t="s">
        <v>18</v>
      </c>
      <c r="G26" s="56" t="s">
        <v>19</v>
      </c>
      <c r="H26" s="58" t="s">
        <v>27</v>
      </c>
      <c r="I26" s="59" t="s">
        <v>3358</v>
      </c>
      <c r="J26" s="59" t="s">
        <v>3411</v>
      </c>
      <c r="K26" s="58" t="s">
        <v>3614</v>
      </c>
      <c r="L26" s="78" t="s">
        <v>3361</v>
      </c>
      <c r="M26" s="60" t="s">
        <v>3362</v>
      </c>
      <c r="N26" s="60"/>
      <c r="O26" s="60"/>
      <c r="P26" s="58"/>
      <c r="Q26" s="78" t="s">
        <v>3413</v>
      </c>
      <c r="R26" s="62"/>
      <c r="S26" s="59" t="s">
        <v>3365</v>
      </c>
      <c r="T26" s="58" t="s">
        <v>3615</v>
      </c>
      <c r="U26" s="61"/>
      <c r="V26" s="61" t="s">
        <v>3366</v>
      </c>
      <c r="W26" s="58" t="s">
        <v>3616</v>
      </c>
      <c r="X26" s="60" t="s">
        <v>3367</v>
      </c>
      <c r="Y26" s="60"/>
      <c r="Z26" s="61"/>
      <c r="AA26" s="61"/>
      <c r="AB26" s="61"/>
      <c r="AC26" s="61"/>
      <c r="AD26" s="61"/>
      <c r="AE26" s="61"/>
      <c r="AF26" s="61"/>
      <c r="AG26" s="61"/>
      <c r="AH26" s="61"/>
      <c r="AI26" s="61"/>
      <c r="AJ26" s="61"/>
      <c r="AK26" s="60" t="s">
        <v>3368</v>
      </c>
      <c r="AL26" s="62"/>
      <c r="AM26" s="62"/>
      <c r="AN26" s="61" t="s">
        <v>3617</v>
      </c>
      <c r="AO26" s="61"/>
      <c r="AP26" s="62"/>
      <c r="AQ26" s="62"/>
      <c r="AR26" s="59" t="s">
        <v>27</v>
      </c>
      <c r="AS26" s="60" t="s">
        <v>3370</v>
      </c>
      <c r="AT26" s="61" t="s">
        <v>3368</v>
      </c>
      <c r="AU26" s="58" t="s">
        <v>3618</v>
      </c>
      <c r="AV26" s="58"/>
      <c r="AW26" s="59" t="s">
        <v>3372</v>
      </c>
      <c r="AX26" s="82" t="s">
        <v>3619</v>
      </c>
      <c r="AY26" s="58"/>
      <c r="AZ26" s="59"/>
      <c r="BA26" s="61"/>
      <c r="BB26" s="61"/>
      <c r="BC26" s="59"/>
      <c r="BD26" s="59" t="s">
        <v>27</v>
      </c>
      <c r="BE26" s="107"/>
      <c r="BF26" s="61" t="s">
        <v>3620</v>
      </c>
      <c r="BG26" s="61"/>
      <c r="BH26" s="61"/>
      <c r="BI26" s="79"/>
      <c r="BJ26" s="61" t="s">
        <v>3621</v>
      </c>
      <c r="BK26" s="61"/>
      <c r="BL26" s="61"/>
      <c r="BM26" s="61" t="s">
        <v>3582</v>
      </c>
      <c r="BN26" s="61"/>
      <c r="BO26" s="59"/>
      <c r="BP26" s="59" t="s">
        <v>3582</v>
      </c>
      <c r="BQ26" s="59"/>
      <c r="BR26" s="61"/>
      <c r="BS26" s="61"/>
      <c r="BT26" s="59"/>
      <c r="BU26" s="61"/>
      <c r="BV26" s="61"/>
      <c r="BW26" s="61"/>
      <c r="BX26" s="61"/>
      <c r="BY26" s="59"/>
      <c r="BZ26" s="61"/>
      <c r="CA26" s="61"/>
      <c r="CB26" s="61"/>
      <c r="CC26" s="61"/>
      <c r="CD26" s="61"/>
      <c r="CE26" s="61"/>
      <c r="CF26" s="61"/>
      <c r="CG26" s="61"/>
      <c r="CH26" s="61"/>
      <c r="CI26" s="61"/>
      <c r="CJ26" s="59"/>
      <c r="CK26" s="59"/>
      <c r="CL26" s="61"/>
      <c r="CM26" s="61"/>
      <c r="CN26" s="61"/>
      <c r="CO26" s="61"/>
      <c r="CP26" s="61"/>
      <c r="CQ26" s="61"/>
      <c r="CR26" s="61"/>
      <c r="CS26" s="61"/>
      <c r="CT26" s="61" t="s">
        <v>3622</v>
      </c>
    </row>
    <row r="27" ht="28.5" customHeight="1">
      <c r="A27" s="52">
        <v>2021.0</v>
      </c>
      <c r="B27" s="54" t="s">
        <v>490</v>
      </c>
      <c r="C27" s="54" t="s">
        <v>232</v>
      </c>
      <c r="D27" s="77" t="s">
        <v>491</v>
      </c>
      <c r="E27" s="57" t="s">
        <v>492</v>
      </c>
      <c r="F27" s="57" t="s">
        <v>18</v>
      </c>
      <c r="G27" s="56" t="s">
        <v>19</v>
      </c>
      <c r="H27" s="58" t="s">
        <v>27</v>
      </c>
      <c r="I27" s="59" t="s">
        <v>3623</v>
      </c>
      <c r="J27" s="59" t="s">
        <v>3359</v>
      </c>
      <c r="K27" s="62"/>
      <c r="L27" s="78" t="s">
        <v>3411</v>
      </c>
      <c r="M27" s="60" t="s">
        <v>3380</v>
      </c>
      <c r="N27" s="60"/>
      <c r="O27" s="60"/>
      <c r="P27" s="58" t="s">
        <v>3624</v>
      </c>
      <c r="Q27" s="78" t="s">
        <v>3413</v>
      </c>
      <c r="R27" s="58" t="s">
        <v>3625</v>
      </c>
      <c r="S27" s="59" t="s">
        <v>3626</v>
      </c>
      <c r="T27" s="62"/>
      <c r="U27" s="61"/>
      <c r="V27" s="61" t="s">
        <v>3366</v>
      </c>
      <c r="W27" s="62"/>
      <c r="X27" s="60" t="s">
        <v>3367</v>
      </c>
      <c r="Y27" s="60"/>
      <c r="Z27" s="60"/>
      <c r="AA27" s="60"/>
      <c r="AB27" s="60"/>
      <c r="AC27" s="60"/>
      <c r="AD27" s="60"/>
      <c r="AE27" s="60"/>
      <c r="AF27" s="60"/>
      <c r="AG27" s="60"/>
      <c r="AH27" s="60"/>
      <c r="AI27" s="60"/>
      <c r="AJ27" s="60"/>
      <c r="AK27" s="60" t="s">
        <v>3627</v>
      </c>
      <c r="AL27" s="58" t="s">
        <v>3628</v>
      </c>
      <c r="AM27" s="58"/>
      <c r="AN27" s="60" t="s">
        <v>3369</v>
      </c>
      <c r="AO27" s="60"/>
      <c r="AP27" s="58" t="s">
        <v>3629</v>
      </c>
      <c r="AQ27" s="58"/>
      <c r="AR27" s="59" t="s">
        <v>27</v>
      </c>
      <c r="AS27" s="61" t="s">
        <v>3630</v>
      </c>
      <c r="AT27" s="61" t="s">
        <v>3439</v>
      </c>
      <c r="AU27" s="58" t="s">
        <v>3631</v>
      </c>
      <c r="AV27" s="58"/>
      <c r="AW27" s="59" t="s">
        <v>3372</v>
      </c>
      <c r="AX27" s="63"/>
      <c r="AY27" s="62"/>
      <c r="AZ27" s="59"/>
      <c r="BA27" s="61"/>
      <c r="BB27" s="61"/>
      <c r="BC27" s="59"/>
      <c r="BD27" s="59" t="s">
        <v>27</v>
      </c>
      <c r="BE27" s="107"/>
      <c r="BF27" s="79"/>
      <c r="BG27" s="79"/>
      <c r="BH27" s="79"/>
      <c r="BI27" s="61" t="s">
        <v>3632</v>
      </c>
      <c r="BJ27" s="61" t="s">
        <v>3633</v>
      </c>
      <c r="BK27" s="61"/>
      <c r="BL27" s="61"/>
      <c r="BM27" s="61" t="s">
        <v>3582</v>
      </c>
      <c r="BN27" s="61"/>
      <c r="BO27" s="59"/>
      <c r="BP27" s="59" t="s">
        <v>3582</v>
      </c>
      <c r="BQ27" s="59"/>
      <c r="BR27" s="61"/>
      <c r="BS27" s="61"/>
      <c r="BT27" s="59"/>
      <c r="BU27" s="61"/>
      <c r="BV27" s="61"/>
      <c r="BW27" s="61"/>
      <c r="BX27" s="61"/>
      <c r="BY27" s="59"/>
      <c r="BZ27" s="61"/>
      <c r="CA27" s="61"/>
      <c r="CB27" s="61"/>
      <c r="CC27" s="61"/>
      <c r="CD27" s="61"/>
      <c r="CE27" s="61"/>
      <c r="CF27" s="61"/>
      <c r="CG27" s="61"/>
      <c r="CH27" s="61"/>
      <c r="CI27" s="61"/>
      <c r="CJ27" s="59"/>
      <c r="CK27" s="59"/>
      <c r="CL27" s="61"/>
      <c r="CM27" s="61"/>
      <c r="CN27" s="61"/>
      <c r="CO27" s="61"/>
      <c r="CP27" s="61"/>
      <c r="CQ27" s="61"/>
      <c r="CR27" s="61"/>
      <c r="CS27" s="61"/>
      <c r="CT27" s="61"/>
    </row>
    <row r="28">
      <c r="A28" s="52">
        <v>2023.0</v>
      </c>
      <c r="B28" s="54" t="s">
        <v>494</v>
      </c>
      <c r="C28" s="54" t="s">
        <v>59</v>
      </c>
      <c r="D28" s="55" t="s">
        <v>495</v>
      </c>
      <c r="E28" s="57" t="s">
        <v>496</v>
      </c>
      <c r="F28" s="57" t="s">
        <v>18</v>
      </c>
      <c r="G28" s="56" t="s">
        <v>19</v>
      </c>
      <c r="H28" s="58" t="s">
        <v>27</v>
      </c>
      <c r="I28" s="78" t="s">
        <v>3358</v>
      </c>
      <c r="J28" s="59" t="s">
        <v>3359</v>
      </c>
      <c r="K28" s="62"/>
      <c r="L28" s="78" t="s">
        <v>3412</v>
      </c>
      <c r="M28" s="60" t="s">
        <v>3432</v>
      </c>
      <c r="N28" s="60"/>
      <c r="O28" s="60"/>
      <c r="P28" s="58" t="s">
        <v>3634</v>
      </c>
      <c r="Q28" s="78" t="s">
        <v>3413</v>
      </c>
      <c r="R28" s="62"/>
      <c r="S28" s="78" t="s">
        <v>3626</v>
      </c>
      <c r="T28" s="62"/>
      <c r="U28" s="61"/>
      <c r="V28" s="61" t="s">
        <v>3366</v>
      </c>
      <c r="W28" s="62"/>
      <c r="X28" s="60" t="s">
        <v>3635</v>
      </c>
      <c r="Y28" s="60"/>
      <c r="Z28" s="60"/>
      <c r="AA28" s="60"/>
      <c r="AB28" s="60"/>
      <c r="AC28" s="60"/>
      <c r="AD28" s="60"/>
      <c r="AE28" s="60"/>
      <c r="AF28" s="60"/>
      <c r="AG28" s="60"/>
      <c r="AH28" s="60"/>
      <c r="AI28" s="60"/>
      <c r="AJ28" s="60"/>
      <c r="AK28" s="60" t="s">
        <v>3378</v>
      </c>
      <c r="AL28" s="62"/>
      <c r="AM28" s="62"/>
      <c r="AN28" s="60" t="s">
        <v>3369</v>
      </c>
      <c r="AO28" s="60"/>
      <c r="AP28" s="62"/>
      <c r="AQ28" s="62"/>
      <c r="AR28" s="59" t="s">
        <v>27</v>
      </c>
      <c r="AS28" s="61" t="s">
        <v>3636</v>
      </c>
      <c r="AT28" s="61" t="s">
        <v>3368</v>
      </c>
      <c r="AU28" s="58" t="s">
        <v>3637</v>
      </c>
      <c r="AV28" s="58"/>
      <c r="AW28" s="59" t="s">
        <v>3372</v>
      </c>
      <c r="AX28" s="63"/>
      <c r="AY28" s="62"/>
      <c r="AZ28" s="59"/>
      <c r="BA28" s="61"/>
      <c r="BB28" s="61"/>
      <c r="BC28" s="59"/>
      <c r="BD28" s="59" t="s">
        <v>27</v>
      </c>
      <c r="BE28" s="107"/>
      <c r="BF28" s="61" t="s">
        <v>3638</v>
      </c>
      <c r="BG28" s="61"/>
      <c r="BH28" s="61"/>
      <c r="BI28" s="61" t="s">
        <v>3639</v>
      </c>
      <c r="BJ28" s="61" t="s">
        <v>3640</v>
      </c>
      <c r="BK28" s="61"/>
      <c r="BL28" s="61"/>
      <c r="BM28" s="61" t="s">
        <v>3582</v>
      </c>
      <c r="BN28" s="61"/>
      <c r="BO28" s="59"/>
      <c r="BP28" s="59" t="s">
        <v>3582</v>
      </c>
      <c r="BQ28" s="59"/>
      <c r="BR28" s="61"/>
      <c r="BS28" s="61"/>
      <c r="BT28" s="59"/>
      <c r="BU28" s="61"/>
      <c r="BV28" s="61"/>
      <c r="BW28" s="61"/>
      <c r="BX28" s="61"/>
      <c r="BY28" s="59"/>
      <c r="BZ28" s="61"/>
      <c r="CA28" s="61"/>
      <c r="CB28" s="61"/>
      <c r="CC28" s="61"/>
      <c r="CD28" s="61"/>
      <c r="CE28" s="61"/>
      <c r="CF28" s="61"/>
      <c r="CG28" s="61"/>
      <c r="CH28" s="61"/>
      <c r="CI28" s="61"/>
      <c r="CJ28" s="59"/>
      <c r="CK28" s="59"/>
      <c r="CL28" s="61"/>
      <c r="CM28" s="61"/>
      <c r="CN28" s="61"/>
      <c r="CO28" s="61"/>
      <c r="CP28" s="61"/>
      <c r="CQ28" s="61"/>
      <c r="CR28" s="61"/>
      <c r="CS28" s="61"/>
      <c r="CT28" s="61"/>
    </row>
    <row r="29">
      <c r="A29" s="87">
        <v>2024.0</v>
      </c>
      <c r="B29" s="89" t="s">
        <v>498</v>
      </c>
      <c r="C29" s="89" t="s">
        <v>59</v>
      </c>
      <c r="D29" s="90" t="s">
        <v>499</v>
      </c>
      <c r="E29" s="91" t="s">
        <v>500</v>
      </c>
      <c r="F29" s="91" t="s">
        <v>18</v>
      </c>
      <c r="G29" s="92" t="s">
        <v>19</v>
      </c>
      <c r="H29" s="93" t="s">
        <v>27</v>
      </c>
      <c r="I29" s="94" t="s">
        <v>3358</v>
      </c>
      <c r="J29" s="95" t="s">
        <v>3359</v>
      </c>
      <c r="K29" s="99"/>
      <c r="L29" s="94" t="s">
        <v>3431</v>
      </c>
      <c r="M29" s="96" t="s">
        <v>3550</v>
      </c>
      <c r="N29" s="96"/>
      <c r="O29" s="97" t="s">
        <v>27</v>
      </c>
      <c r="P29" s="99"/>
      <c r="Q29" s="94" t="s">
        <v>3413</v>
      </c>
      <c r="R29" s="99"/>
      <c r="S29" s="94" t="s">
        <v>3641</v>
      </c>
      <c r="T29" s="93" t="s">
        <v>3642</v>
      </c>
      <c r="U29" s="97" t="s">
        <v>3643</v>
      </c>
      <c r="V29" s="97" t="s">
        <v>3644</v>
      </c>
      <c r="W29" s="93" t="s">
        <v>3645</v>
      </c>
      <c r="X29" s="96" t="s">
        <v>3441</v>
      </c>
      <c r="Y29" s="96"/>
      <c r="Z29" s="96"/>
      <c r="AA29" s="96"/>
      <c r="AB29" s="96"/>
      <c r="AC29" s="108" t="s">
        <v>3646</v>
      </c>
      <c r="AD29" s="97" t="s">
        <v>3647</v>
      </c>
      <c r="AE29" s="97" t="s">
        <v>3648</v>
      </c>
      <c r="AF29" s="97" t="s">
        <v>3649</v>
      </c>
      <c r="AG29" s="97"/>
      <c r="AH29" s="97" t="s">
        <v>3650</v>
      </c>
      <c r="AI29" s="97"/>
      <c r="AJ29" s="97" t="s">
        <v>3650</v>
      </c>
      <c r="AK29" s="97" t="s">
        <v>3651</v>
      </c>
      <c r="AL29" s="93" t="s">
        <v>3652</v>
      </c>
      <c r="AM29" s="93"/>
      <c r="AN29" s="96" t="s">
        <v>3653</v>
      </c>
      <c r="AO29" s="97" t="s">
        <v>3654</v>
      </c>
      <c r="AP29" s="99"/>
      <c r="AQ29" s="93"/>
      <c r="AR29" s="95" t="s">
        <v>27</v>
      </c>
      <c r="AS29" s="96" t="s">
        <v>3655</v>
      </c>
      <c r="AT29" s="97" t="s">
        <v>3368</v>
      </c>
      <c r="AU29" s="93" t="s">
        <v>3656</v>
      </c>
      <c r="AV29" s="93"/>
      <c r="AW29" s="95" t="s">
        <v>3395</v>
      </c>
      <c r="AX29" s="101"/>
      <c r="AY29" s="99"/>
      <c r="AZ29" s="95"/>
      <c r="BA29" s="97"/>
      <c r="BB29" s="97"/>
      <c r="BC29" s="95"/>
      <c r="BD29" s="95" t="s">
        <v>27</v>
      </c>
      <c r="BE29" s="95" t="s">
        <v>3657</v>
      </c>
      <c r="BF29" s="97" t="s">
        <v>3658</v>
      </c>
      <c r="BG29" s="97"/>
      <c r="BH29" s="97"/>
      <c r="BI29" s="97" t="s">
        <v>3659</v>
      </c>
      <c r="BJ29" s="97" t="s">
        <v>3660</v>
      </c>
      <c r="BK29" s="97"/>
      <c r="BL29" s="97"/>
      <c r="BM29" s="97" t="s">
        <v>3582</v>
      </c>
      <c r="BN29" s="97"/>
      <c r="BO29" s="95"/>
      <c r="BP29" s="95" t="s">
        <v>3582</v>
      </c>
      <c r="BQ29" s="95"/>
      <c r="BR29" s="97"/>
      <c r="BS29" s="97"/>
      <c r="BT29" s="95"/>
      <c r="BU29" s="97"/>
      <c r="BV29" s="97"/>
      <c r="BW29" s="97"/>
      <c r="BX29" s="97"/>
      <c r="BY29" s="95"/>
      <c r="BZ29" s="97"/>
      <c r="CA29" s="97"/>
      <c r="CB29" s="97"/>
      <c r="CC29" s="97"/>
      <c r="CD29" s="97"/>
      <c r="CE29" s="97"/>
      <c r="CF29" s="97"/>
      <c r="CG29" s="97"/>
      <c r="CH29" s="97"/>
      <c r="CI29" s="97"/>
      <c r="CJ29" s="95"/>
      <c r="CK29" s="95"/>
      <c r="CL29" s="97"/>
      <c r="CM29" s="97"/>
      <c r="CN29" s="97"/>
      <c r="CO29" s="97"/>
      <c r="CP29" s="97"/>
      <c r="CQ29" s="97"/>
      <c r="CR29" s="97"/>
      <c r="CS29" s="97"/>
      <c r="CT29" s="97"/>
    </row>
    <row r="30" ht="42.0" customHeight="1">
      <c r="A30" s="52">
        <v>2023.0</v>
      </c>
      <c r="B30" s="54" t="s">
        <v>508</v>
      </c>
      <c r="C30" s="54" t="s">
        <v>232</v>
      </c>
      <c r="D30" s="55" t="s">
        <v>509</v>
      </c>
      <c r="E30" s="57" t="s">
        <v>510</v>
      </c>
      <c r="F30" s="57" t="s">
        <v>18</v>
      </c>
      <c r="G30" s="56" t="s">
        <v>19</v>
      </c>
      <c r="H30" s="58" t="s">
        <v>27</v>
      </c>
      <c r="I30" s="78" t="s">
        <v>3623</v>
      </c>
      <c r="J30" s="59" t="s">
        <v>3359</v>
      </c>
      <c r="K30" s="62"/>
      <c r="L30" s="78" t="s">
        <v>3661</v>
      </c>
      <c r="M30" s="60" t="s">
        <v>3662</v>
      </c>
      <c r="N30" s="60"/>
      <c r="O30" s="60"/>
      <c r="P30" s="62"/>
      <c r="Q30" s="78" t="s">
        <v>3413</v>
      </c>
      <c r="R30" s="62"/>
      <c r="S30" s="78" t="s">
        <v>3663</v>
      </c>
      <c r="T30" s="62"/>
      <c r="U30" s="60"/>
      <c r="V30" s="60" t="s">
        <v>3372</v>
      </c>
      <c r="W30" s="58" t="s">
        <v>3664</v>
      </c>
      <c r="X30" s="60" t="s">
        <v>3441</v>
      </c>
      <c r="Y30" s="60"/>
      <c r="Z30" s="60"/>
      <c r="AA30" s="60"/>
      <c r="AB30" s="60"/>
      <c r="AC30" s="60"/>
      <c r="AD30" s="60"/>
      <c r="AE30" s="60"/>
      <c r="AF30" s="60"/>
      <c r="AG30" s="60"/>
      <c r="AH30" s="60"/>
      <c r="AI30" s="60"/>
      <c r="AJ30" s="60"/>
      <c r="AK30" s="60" t="s">
        <v>3378</v>
      </c>
      <c r="AL30" s="62"/>
      <c r="AM30" s="62"/>
      <c r="AN30" s="60" t="s">
        <v>3415</v>
      </c>
      <c r="AO30" s="60"/>
      <c r="AP30" s="58" t="s">
        <v>3665</v>
      </c>
      <c r="AQ30" s="62"/>
      <c r="AR30" s="59" t="s">
        <v>27</v>
      </c>
      <c r="AS30" s="60" t="s">
        <v>3369</v>
      </c>
      <c r="AT30" s="61" t="s">
        <v>3439</v>
      </c>
      <c r="AU30" s="62"/>
      <c r="AV30" s="62"/>
      <c r="AW30" s="59" t="s">
        <v>3395</v>
      </c>
      <c r="AX30" s="63"/>
      <c r="AY30" s="62"/>
      <c r="AZ30" s="59"/>
      <c r="BA30" s="61"/>
      <c r="BB30" s="61"/>
      <c r="BC30" s="59"/>
      <c r="BD30" s="59" t="s">
        <v>27</v>
      </c>
      <c r="BE30" s="107"/>
      <c r="BF30" s="61" t="s">
        <v>3666</v>
      </c>
      <c r="BG30" s="61"/>
      <c r="BH30" s="61"/>
      <c r="BI30" s="61" t="s">
        <v>3666</v>
      </c>
      <c r="BJ30" s="61" t="s">
        <v>3667</v>
      </c>
      <c r="BK30" s="61"/>
      <c r="BL30" s="61"/>
      <c r="BM30" s="61" t="s">
        <v>3666</v>
      </c>
      <c r="BN30" s="61"/>
      <c r="BO30" s="59"/>
      <c r="BP30" s="59" t="s">
        <v>3582</v>
      </c>
      <c r="BQ30" s="59"/>
      <c r="BR30" s="61"/>
      <c r="BS30" s="61"/>
      <c r="BT30" s="59"/>
      <c r="BU30" s="61"/>
      <c r="BV30" s="61"/>
      <c r="BW30" s="61"/>
      <c r="BX30" s="61"/>
      <c r="BY30" s="59"/>
      <c r="BZ30" s="61"/>
      <c r="CA30" s="61"/>
      <c r="CB30" s="61"/>
      <c r="CC30" s="61"/>
      <c r="CD30" s="61"/>
      <c r="CE30" s="61"/>
      <c r="CF30" s="61"/>
      <c r="CG30" s="61"/>
      <c r="CH30" s="61"/>
      <c r="CI30" s="61"/>
      <c r="CJ30" s="59"/>
      <c r="CK30" s="59"/>
      <c r="CL30" s="61"/>
      <c r="CM30" s="61"/>
      <c r="CN30" s="61"/>
      <c r="CO30" s="61"/>
      <c r="CP30" s="61"/>
      <c r="CQ30" s="61"/>
      <c r="CR30" s="61"/>
      <c r="CS30" s="61"/>
      <c r="CT30" s="61"/>
    </row>
    <row r="31">
      <c r="A31" s="52">
        <v>2019.0</v>
      </c>
      <c r="B31" s="54" t="s">
        <v>580</v>
      </c>
      <c r="C31" s="54" t="s">
        <v>24</v>
      </c>
      <c r="D31" s="55" t="s">
        <v>581</v>
      </c>
      <c r="E31" s="57" t="s">
        <v>582</v>
      </c>
      <c r="F31" s="57" t="s">
        <v>18</v>
      </c>
      <c r="G31" s="56" t="s">
        <v>19</v>
      </c>
      <c r="H31" s="58" t="s">
        <v>27</v>
      </c>
      <c r="I31" s="78" t="s">
        <v>3668</v>
      </c>
      <c r="J31" s="59" t="s">
        <v>3359</v>
      </c>
      <c r="K31" s="58" t="s">
        <v>3669</v>
      </c>
      <c r="L31" s="78" t="s">
        <v>3412</v>
      </c>
      <c r="M31" s="60" t="s">
        <v>3380</v>
      </c>
      <c r="N31" s="60"/>
      <c r="O31" s="60"/>
      <c r="P31" s="62"/>
      <c r="Q31" s="78" t="s">
        <v>3413</v>
      </c>
      <c r="R31" s="58" t="s">
        <v>3670</v>
      </c>
      <c r="S31" s="78" t="s">
        <v>3365</v>
      </c>
      <c r="T31" s="62"/>
      <c r="U31" s="60"/>
      <c r="V31" s="60" t="s">
        <v>3366</v>
      </c>
      <c r="W31" s="58" t="s">
        <v>3671</v>
      </c>
      <c r="X31" s="60" t="s">
        <v>3465</v>
      </c>
      <c r="Y31" s="60"/>
      <c r="Z31" s="60"/>
      <c r="AA31" s="60"/>
      <c r="AB31" s="60"/>
      <c r="AC31" s="60"/>
      <c r="AD31" s="60"/>
      <c r="AE31" s="60"/>
      <c r="AF31" s="60"/>
      <c r="AG31" s="60"/>
      <c r="AH31" s="60"/>
      <c r="AI31" s="60"/>
      <c r="AJ31" s="60"/>
      <c r="AK31" s="60" t="s">
        <v>3672</v>
      </c>
      <c r="AL31" s="62"/>
      <c r="AM31" s="62"/>
      <c r="AN31" s="60" t="s">
        <v>3482</v>
      </c>
      <c r="AO31" s="60"/>
      <c r="AP31" s="62"/>
      <c r="AQ31" s="62"/>
      <c r="AR31" s="59" t="s">
        <v>27</v>
      </c>
      <c r="AS31" s="60" t="s">
        <v>3673</v>
      </c>
      <c r="AT31" s="60" t="s">
        <v>3674</v>
      </c>
      <c r="AU31" s="62"/>
      <c r="AV31" s="62"/>
      <c r="AW31" s="59" t="s">
        <v>3372</v>
      </c>
      <c r="AX31" s="82" t="s">
        <v>3675</v>
      </c>
      <c r="AY31" s="58"/>
      <c r="AZ31" s="107"/>
      <c r="BA31" s="79"/>
      <c r="BB31" s="79"/>
      <c r="BC31" s="107"/>
      <c r="BD31" s="59" t="s">
        <v>27</v>
      </c>
      <c r="BE31" s="107"/>
      <c r="BF31" s="61" t="s">
        <v>3676</v>
      </c>
      <c r="BG31" s="61"/>
      <c r="BH31" s="61"/>
      <c r="BI31" s="61" t="s">
        <v>3677</v>
      </c>
      <c r="BJ31" s="61" t="s">
        <v>3678</v>
      </c>
      <c r="BK31" s="61"/>
      <c r="BL31" s="61"/>
      <c r="BM31" s="79"/>
      <c r="BN31" s="79"/>
      <c r="BO31" s="107"/>
      <c r="BP31" s="107"/>
      <c r="BQ31" s="107"/>
      <c r="BR31" s="79"/>
      <c r="BS31" s="79"/>
      <c r="BT31" s="107"/>
      <c r="BU31" s="79"/>
      <c r="BV31" s="79"/>
      <c r="BW31" s="79"/>
      <c r="BX31" s="79"/>
      <c r="BY31" s="107"/>
      <c r="BZ31" s="79"/>
      <c r="CA31" s="79"/>
      <c r="CB31" s="79"/>
      <c r="CC31" s="79"/>
      <c r="CD31" s="79"/>
      <c r="CE31" s="79"/>
      <c r="CF31" s="79"/>
      <c r="CG31" s="79"/>
      <c r="CH31" s="79"/>
      <c r="CI31" s="79"/>
      <c r="CJ31" s="107"/>
      <c r="CK31" s="107"/>
      <c r="CL31" s="79"/>
      <c r="CM31" s="79"/>
      <c r="CN31" s="79"/>
      <c r="CO31" s="79"/>
      <c r="CP31" s="79"/>
      <c r="CQ31" s="79"/>
      <c r="CR31" s="79"/>
      <c r="CS31" s="79"/>
      <c r="CT31" s="79"/>
    </row>
    <row r="32">
      <c r="A32" s="87">
        <v>2020.0</v>
      </c>
      <c r="B32" s="89" t="s">
        <v>820</v>
      </c>
      <c r="C32" s="89" t="s">
        <v>41</v>
      </c>
      <c r="D32" s="109" t="s">
        <v>821</v>
      </c>
      <c r="E32" s="91" t="s">
        <v>822</v>
      </c>
      <c r="F32" s="91" t="s">
        <v>18</v>
      </c>
      <c r="G32" s="92" t="s">
        <v>19</v>
      </c>
      <c r="H32" s="93" t="s">
        <v>27</v>
      </c>
      <c r="I32" s="94" t="s">
        <v>3358</v>
      </c>
      <c r="J32" s="95" t="s">
        <v>3359</v>
      </c>
      <c r="K32" s="99"/>
      <c r="L32" s="95" t="s">
        <v>3679</v>
      </c>
      <c r="M32" s="96" t="s">
        <v>3432</v>
      </c>
      <c r="N32" s="97" t="s">
        <v>3680</v>
      </c>
      <c r="O32" s="98"/>
      <c r="P32" s="93" t="s">
        <v>3681</v>
      </c>
      <c r="Q32" s="94" t="s">
        <v>3413</v>
      </c>
      <c r="R32" s="93" t="s">
        <v>3682</v>
      </c>
      <c r="S32" s="94" t="s">
        <v>3365</v>
      </c>
      <c r="T32" s="93" t="s">
        <v>3683</v>
      </c>
      <c r="U32" s="97" t="s">
        <v>3684</v>
      </c>
      <c r="V32" s="96" t="s">
        <v>3366</v>
      </c>
      <c r="W32" s="93" t="s">
        <v>3378</v>
      </c>
      <c r="X32" s="97" t="s">
        <v>3685</v>
      </c>
      <c r="Y32" s="97"/>
      <c r="Z32" s="98"/>
      <c r="AA32" s="98"/>
      <c r="AB32" s="98"/>
      <c r="AC32" s="97" t="s">
        <v>3686</v>
      </c>
      <c r="AD32" s="97" t="s">
        <v>3687</v>
      </c>
      <c r="AE32" s="97" t="s">
        <v>3688</v>
      </c>
      <c r="AF32" s="98"/>
      <c r="AG32" s="98"/>
      <c r="AH32" s="97" t="s">
        <v>3689</v>
      </c>
      <c r="AI32" s="97"/>
      <c r="AJ32" s="97" t="s">
        <v>3690</v>
      </c>
      <c r="AK32" s="96" t="s">
        <v>3390</v>
      </c>
      <c r="AL32" s="99"/>
      <c r="AM32" s="99"/>
      <c r="AN32" s="96" t="s">
        <v>3482</v>
      </c>
      <c r="AO32" s="96"/>
      <c r="AP32" s="99"/>
      <c r="AQ32" s="99"/>
      <c r="AR32" s="95" t="s">
        <v>27</v>
      </c>
      <c r="AS32" s="96" t="s">
        <v>3370</v>
      </c>
      <c r="AT32" s="96" t="s">
        <v>3691</v>
      </c>
      <c r="AU32" s="93" t="s">
        <v>3692</v>
      </c>
      <c r="AV32" s="93"/>
      <c r="AW32" s="95" t="s">
        <v>3372</v>
      </c>
      <c r="AX32" s="104" t="s">
        <v>3487</v>
      </c>
      <c r="AY32" s="99"/>
      <c r="AZ32" s="95"/>
      <c r="BA32" s="97"/>
      <c r="BB32" s="97"/>
      <c r="BC32" s="95" t="s">
        <v>3693</v>
      </c>
      <c r="BD32" s="95" t="s">
        <v>27</v>
      </c>
      <c r="BE32" s="95" t="s">
        <v>3694</v>
      </c>
      <c r="BF32" s="97" t="s">
        <v>3695</v>
      </c>
      <c r="BG32" s="97"/>
      <c r="BH32" s="97"/>
      <c r="BI32" s="97" t="s">
        <v>3696</v>
      </c>
      <c r="BJ32" s="97" t="s">
        <v>3697</v>
      </c>
      <c r="BK32" s="97"/>
      <c r="BL32" s="97"/>
      <c r="BM32" s="97" t="s">
        <v>3698</v>
      </c>
      <c r="BN32" s="97"/>
      <c r="BO32" s="95"/>
      <c r="BP32" s="95" t="s">
        <v>20</v>
      </c>
      <c r="BQ32" s="95"/>
      <c r="BR32" s="97"/>
      <c r="BS32" s="97"/>
      <c r="BT32" s="95"/>
      <c r="BU32" s="97"/>
      <c r="BV32" s="97"/>
      <c r="BW32" s="97"/>
      <c r="BX32" s="97"/>
      <c r="BY32" s="95"/>
      <c r="BZ32" s="93" t="s">
        <v>3699</v>
      </c>
      <c r="CA32" s="93"/>
      <c r="CB32" s="97"/>
      <c r="CC32" s="97"/>
      <c r="CD32" s="97"/>
      <c r="CE32" s="97"/>
      <c r="CF32" s="97"/>
      <c r="CG32" s="97" t="s">
        <v>3700</v>
      </c>
      <c r="CH32" s="97"/>
      <c r="CI32" s="97"/>
      <c r="CJ32" s="95"/>
      <c r="CK32" s="95"/>
      <c r="CL32" s="97" t="s">
        <v>3701</v>
      </c>
      <c r="CM32" s="97" t="s">
        <v>3702</v>
      </c>
      <c r="CN32" s="97" t="s">
        <v>3703</v>
      </c>
      <c r="CO32" s="97" t="s">
        <v>3704</v>
      </c>
      <c r="CP32" s="97" t="s">
        <v>3705</v>
      </c>
      <c r="CQ32" s="97" t="s">
        <v>3706</v>
      </c>
      <c r="CR32" s="97" t="s">
        <v>3707</v>
      </c>
      <c r="CS32" s="97" t="s">
        <v>3708</v>
      </c>
      <c r="CT32" s="97"/>
    </row>
    <row r="33">
      <c r="A33" s="52">
        <v>2020.0</v>
      </c>
      <c r="B33" s="54" t="s">
        <v>824</v>
      </c>
      <c r="C33" s="54" t="s">
        <v>59</v>
      </c>
      <c r="D33" s="77" t="s">
        <v>825</v>
      </c>
      <c r="E33" s="57" t="s">
        <v>3709</v>
      </c>
      <c r="F33" s="57" t="s">
        <v>18</v>
      </c>
      <c r="G33" s="56" t="s">
        <v>19</v>
      </c>
      <c r="H33" s="58" t="s">
        <v>27</v>
      </c>
      <c r="I33" s="78" t="s">
        <v>3411</v>
      </c>
      <c r="J33" s="59" t="s">
        <v>3411</v>
      </c>
      <c r="K33" s="58" t="s">
        <v>3710</v>
      </c>
      <c r="L33" s="78" t="s">
        <v>3411</v>
      </c>
      <c r="M33" s="60" t="s">
        <v>3432</v>
      </c>
      <c r="N33" s="61" t="s">
        <v>3711</v>
      </c>
      <c r="O33" s="61"/>
      <c r="P33" s="58" t="s">
        <v>3712</v>
      </c>
      <c r="Q33" s="78" t="s">
        <v>3413</v>
      </c>
      <c r="R33" s="58" t="s">
        <v>3713</v>
      </c>
      <c r="S33" s="78" t="s">
        <v>3365</v>
      </c>
      <c r="T33" s="58" t="s">
        <v>3714</v>
      </c>
      <c r="U33" s="60"/>
      <c r="V33" s="60" t="s">
        <v>3372</v>
      </c>
      <c r="W33" s="62"/>
      <c r="X33" s="60" t="s">
        <v>3367</v>
      </c>
      <c r="Y33" s="60"/>
      <c r="Z33" s="79"/>
      <c r="AA33" s="79"/>
      <c r="AB33" s="79"/>
      <c r="AC33" s="79"/>
      <c r="AD33" s="79"/>
      <c r="AE33" s="79"/>
      <c r="AF33" s="79"/>
      <c r="AG33" s="79"/>
      <c r="AH33" s="79"/>
      <c r="AI33" s="79"/>
      <c r="AJ33" s="79"/>
      <c r="AK33" s="60" t="s">
        <v>3378</v>
      </c>
      <c r="AL33" s="62"/>
      <c r="AM33" s="62"/>
      <c r="AN33" s="60" t="s">
        <v>3564</v>
      </c>
      <c r="AO33" s="60"/>
      <c r="AP33" s="62"/>
      <c r="AQ33" s="62"/>
      <c r="AR33" s="59" t="s">
        <v>27</v>
      </c>
      <c r="AS33" s="60" t="s">
        <v>3405</v>
      </c>
      <c r="AT33" s="60" t="s">
        <v>3371</v>
      </c>
      <c r="AU33" s="62"/>
      <c r="AV33" s="62"/>
      <c r="AW33" s="59" t="s">
        <v>3715</v>
      </c>
      <c r="AX33" s="63"/>
      <c r="AY33" s="62"/>
      <c r="AZ33" s="59"/>
      <c r="BA33" s="61"/>
      <c r="BB33" s="61"/>
      <c r="BC33" s="59"/>
      <c r="BD33" s="59" t="s">
        <v>27</v>
      </c>
      <c r="BE33" s="59" t="s">
        <v>3362</v>
      </c>
      <c r="BF33" s="61" t="s">
        <v>3362</v>
      </c>
      <c r="BG33" s="61"/>
      <c r="BH33" s="61"/>
      <c r="BI33" s="61" t="s">
        <v>3716</v>
      </c>
      <c r="BJ33" s="61" t="s">
        <v>3717</v>
      </c>
      <c r="BK33" s="61"/>
      <c r="BL33" s="61"/>
      <c r="BM33" s="61" t="s">
        <v>3718</v>
      </c>
      <c r="BN33" s="61"/>
      <c r="BO33" s="59"/>
      <c r="BP33" s="59" t="s">
        <v>20</v>
      </c>
      <c r="BQ33" s="59"/>
      <c r="BR33" s="61"/>
      <c r="BS33" s="61"/>
      <c r="BT33" s="59"/>
      <c r="BU33" s="61"/>
      <c r="BV33" s="61"/>
      <c r="BW33" s="61"/>
      <c r="BX33" s="61"/>
      <c r="BY33" s="59"/>
      <c r="BZ33" s="61"/>
      <c r="CA33" s="61"/>
      <c r="CB33" s="61"/>
      <c r="CC33" s="61"/>
      <c r="CD33" s="61"/>
      <c r="CE33" s="61"/>
      <c r="CF33" s="61"/>
      <c r="CG33" s="61"/>
      <c r="CH33" s="61"/>
      <c r="CI33" s="61"/>
      <c r="CJ33" s="59"/>
      <c r="CK33" s="59"/>
      <c r="CL33" s="61"/>
      <c r="CM33" s="61"/>
      <c r="CN33" s="61"/>
      <c r="CO33" s="61"/>
      <c r="CP33" s="61"/>
      <c r="CQ33" s="61"/>
      <c r="CR33" s="61"/>
      <c r="CS33" s="61"/>
      <c r="CT33" s="61"/>
    </row>
    <row r="34">
      <c r="A34" s="52">
        <v>2023.0</v>
      </c>
      <c r="B34" s="54" t="s">
        <v>828</v>
      </c>
      <c r="C34" s="54" t="s">
        <v>76</v>
      </c>
      <c r="D34" s="55" t="s">
        <v>829</v>
      </c>
      <c r="E34" s="57" t="s">
        <v>830</v>
      </c>
      <c r="F34" s="57" t="s">
        <v>18</v>
      </c>
      <c r="G34" s="56" t="s">
        <v>19</v>
      </c>
      <c r="H34" s="58" t="s">
        <v>27</v>
      </c>
      <c r="I34" s="78" t="s">
        <v>3411</v>
      </c>
      <c r="J34" s="59" t="s">
        <v>3411</v>
      </c>
      <c r="K34" s="58" t="s">
        <v>3719</v>
      </c>
      <c r="L34" s="78" t="s">
        <v>3412</v>
      </c>
      <c r="M34" s="60" t="s">
        <v>3380</v>
      </c>
      <c r="N34" s="79"/>
      <c r="O34" s="79"/>
      <c r="P34" s="62"/>
      <c r="Q34" s="78" t="s">
        <v>3413</v>
      </c>
      <c r="R34" s="58" t="s">
        <v>3720</v>
      </c>
      <c r="S34" s="78" t="s">
        <v>3365</v>
      </c>
      <c r="T34" s="58" t="s">
        <v>3721</v>
      </c>
      <c r="U34" s="60"/>
      <c r="V34" s="60" t="s">
        <v>3366</v>
      </c>
      <c r="W34" s="62"/>
      <c r="X34" s="60" t="s">
        <v>3404</v>
      </c>
      <c r="Y34" s="60"/>
      <c r="Z34" s="61" t="s">
        <v>3722</v>
      </c>
      <c r="AA34" s="61"/>
      <c r="AB34" s="61"/>
      <c r="AC34" s="61"/>
      <c r="AD34" s="61"/>
      <c r="AE34" s="61"/>
      <c r="AF34" s="61"/>
      <c r="AG34" s="61"/>
      <c r="AH34" s="61"/>
      <c r="AI34" s="61"/>
      <c r="AJ34" s="61"/>
      <c r="AK34" s="60" t="s">
        <v>3723</v>
      </c>
      <c r="AL34" s="62"/>
      <c r="AM34" s="62"/>
      <c r="AN34" s="60" t="s">
        <v>3369</v>
      </c>
      <c r="AO34" s="60"/>
      <c r="AP34" s="62"/>
      <c r="AQ34" s="62"/>
      <c r="AR34" s="59" t="s">
        <v>27</v>
      </c>
      <c r="AS34" s="60" t="s">
        <v>3370</v>
      </c>
      <c r="AT34" s="60" t="s">
        <v>3724</v>
      </c>
      <c r="AU34" s="58" t="s">
        <v>3725</v>
      </c>
      <c r="AV34" s="58"/>
      <c r="AW34" s="78" t="s">
        <v>3726</v>
      </c>
      <c r="AX34" s="63"/>
      <c r="AY34" s="62"/>
      <c r="AZ34" s="59"/>
      <c r="BA34" s="61"/>
      <c r="BB34" s="61"/>
      <c r="BC34" s="59"/>
      <c r="BD34" s="59" t="s">
        <v>27</v>
      </c>
      <c r="BE34" s="107"/>
      <c r="BF34" s="61" t="s">
        <v>3727</v>
      </c>
      <c r="BG34" s="61"/>
      <c r="BH34" s="61"/>
      <c r="BI34" s="61" t="s">
        <v>3362</v>
      </c>
      <c r="BJ34" s="61" t="s">
        <v>3728</v>
      </c>
      <c r="BK34" s="61"/>
      <c r="BL34" s="61"/>
      <c r="BM34" s="61" t="s">
        <v>20</v>
      </c>
      <c r="BN34" s="61"/>
      <c r="BO34" s="59"/>
      <c r="BP34" s="59" t="s">
        <v>20</v>
      </c>
      <c r="BQ34" s="59"/>
      <c r="BR34" s="61"/>
      <c r="BS34" s="61"/>
      <c r="BT34" s="59"/>
      <c r="BU34" s="61"/>
      <c r="BV34" s="61"/>
      <c r="BW34" s="61"/>
      <c r="BX34" s="61"/>
      <c r="BY34" s="59"/>
      <c r="BZ34" s="61"/>
      <c r="CA34" s="61"/>
      <c r="CB34" s="61"/>
      <c r="CC34" s="61"/>
      <c r="CD34" s="61"/>
      <c r="CE34" s="61"/>
      <c r="CF34" s="61"/>
      <c r="CG34" s="61"/>
      <c r="CH34" s="61"/>
      <c r="CI34" s="61"/>
      <c r="CJ34" s="59"/>
      <c r="CK34" s="59"/>
      <c r="CL34" s="61"/>
      <c r="CM34" s="61"/>
      <c r="CN34" s="61"/>
      <c r="CO34" s="61"/>
      <c r="CP34" s="61"/>
      <c r="CQ34" s="61"/>
      <c r="CR34" s="61"/>
      <c r="CS34" s="61"/>
      <c r="CT34" s="61"/>
    </row>
    <row r="35">
      <c r="A35" s="52">
        <v>2021.0</v>
      </c>
      <c r="B35" s="54" t="s">
        <v>952</v>
      </c>
      <c r="C35" s="54" t="s">
        <v>76</v>
      </c>
      <c r="D35" s="55" t="s">
        <v>953</v>
      </c>
      <c r="E35" s="57" t="s">
        <v>954</v>
      </c>
      <c r="F35" s="57" t="s">
        <v>18</v>
      </c>
      <c r="G35" s="56" t="s">
        <v>19</v>
      </c>
      <c r="H35" s="58" t="s">
        <v>27</v>
      </c>
      <c r="I35" s="78" t="s">
        <v>3729</v>
      </c>
      <c r="J35" s="59" t="s">
        <v>3411</v>
      </c>
      <c r="K35" s="58" t="s">
        <v>3730</v>
      </c>
      <c r="L35" s="78" t="s">
        <v>3361</v>
      </c>
      <c r="M35" s="60" t="s">
        <v>3362</v>
      </c>
      <c r="N35" s="79"/>
      <c r="O35" s="79"/>
      <c r="P35" s="62"/>
      <c r="Q35" s="78" t="s">
        <v>3363</v>
      </c>
      <c r="R35" s="62"/>
      <c r="S35" s="78" t="s">
        <v>3731</v>
      </c>
      <c r="T35" s="62"/>
      <c r="U35" s="60"/>
      <c r="V35" s="60" t="s">
        <v>3368</v>
      </c>
      <c r="W35" s="58" t="s">
        <v>3732</v>
      </c>
      <c r="X35" s="60" t="s">
        <v>3404</v>
      </c>
      <c r="Y35" s="60"/>
      <c r="Z35" s="61" t="s">
        <v>3733</v>
      </c>
      <c r="AA35" s="61"/>
      <c r="AB35" s="61"/>
      <c r="AC35" s="61"/>
      <c r="AD35" s="61"/>
      <c r="AE35" s="61"/>
      <c r="AF35" s="61"/>
      <c r="AG35" s="61"/>
      <c r="AH35" s="61"/>
      <c r="AI35" s="61"/>
      <c r="AJ35" s="61"/>
      <c r="AK35" s="60" t="s">
        <v>3378</v>
      </c>
      <c r="AL35" s="62"/>
      <c r="AM35" s="62"/>
      <c r="AN35" s="60" t="s">
        <v>3564</v>
      </c>
      <c r="AO35" s="60"/>
      <c r="AP35" s="62"/>
      <c r="AQ35" s="62"/>
      <c r="AR35" s="59" t="s">
        <v>27</v>
      </c>
      <c r="AS35" s="60" t="s">
        <v>3405</v>
      </c>
      <c r="AT35" s="60" t="s">
        <v>3371</v>
      </c>
      <c r="AU35" s="62"/>
      <c r="AV35" s="62"/>
      <c r="AW35" s="78" t="s">
        <v>3406</v>
      </c>
      <c r="AX35" s="63"/>
      <c r="AY35" s="62"/>
      <c r="AZ35" s="59"/>
      <c r="BA35" s="61"/>
      <c r="BB35" s="61"/>
      <c r="BC35" s="59"/>
      <c r="BD35" s="59" t="s">
        <v>27</v>
      </c>
      <c r="BE35" s="59" t="s">
        <v>3734</v>
      </c>
      <c r="BF35" s="61" t="s">
        <v>3735</v>
      </c>
      <c r="BG35" s="61"/>
      <c r="BH35" s="61"/>
      <c r="BI35" s="61" t="s">
        <v>3696</v>
      </c>
      <c r="BJ35" s="61" t="s">
        <v>3736</v>
      </c>
      <c r="BK35" s="61"/>
      <c r="BL35" s="61"/>
      <c r="BM35" s="61" t="s">
        <v>20</v>
      </c>
      <c r="BN35" s="61"/>
      <c r="BO35" s="59"/>
      <c r="BP35" s="59" t="s">
        <v>20</v>
      </c>
      <c r="BQ35" s="59"/>
      <c r="BR35" s="61"/>
      <c r="BS35" s="61"/>
      <c r="BT35" s="59"/>
      <c r="BU35" s="61"/>
      <c r="BV35" s="61"/>
      <c r="BW35" s="61"/>
      <c r="BX35" s="61"/>
      <c r="BY35" s="59"/>
      <c r="BZ35" s="61"/>
      <c r="CA35" s="61"/>
      <c r="CB35" s="61"/>
      <c r="CC35" s="61"/>
      <c r="CD35" s="61"/>
      <c r="CE35" s="61"/>
      <c r="CF35" s="61"/>
      <c r="CG35" s="61"/>
      <c r="CH35" s="61"/>
      <c r="CI35" s="61"/>
      <c r="CJ35" s="59"/>
      <c r="CK35" s="59"/>
      <c r="CL35" s="61"/>
      <c r="CM35" s="61"/>
      <c r="CN35" s="61"/>
      <c r="CO35" s="61"/>
      <c r="CP35" s="61"/>
      <c r="CQ35" s="61"/>
      <c r="CR35" s="61"/>
      <c r="CS35" s="61"/>
      <c r="CT35" s="61"/>
    </row>
    <row r="36">
      <c r="A36" s="52">
        <v>2023.0</v>
      </c>
      <c r="B36" s="54" t="s">
        <v>1231</v>
      </c>
      <c r="C36" s="54" t="s">
        <v>59</v>
      </c>
      <c r="D36" s="55" t="s">
        <v>1232</v>
      </c>
      <c r="E36" s="57" t="s">
        <v>1233</v>
      </c>
      <c r="F36" s="57" t="s">
        <v>18</v>
      </c>
      <c r="G36" s="56" t="s">
        <v>19</v>
      </c>
      <c r="H36" s="58" t="s">
        <v>27</v>
      </c>
      <c r="I36" s="78" t="s">
        <v>3737</v>
      </c>
      <c r="J36" s="59" t="s">
        <v>3359</v>
      </c>
      <c r="K36" s="62"/>
      <c r="L36" s="78" t="s">
        <v>3605</v>
      </c>
      <c r="M36" s="60" t="s">
        <v>3368</v>
      </c>
      <c r="N36" s="79"/>
      <c r="O36" s="79"/>
      <c r="P36" s="62"/>
      <c r="Q36" s="78" t="s">
        <v>3363</v>
      </c>
      <c r="R36" s="62"/>
      <c r="S36" s="78" t="s">
        <v>3365</v>
      </c>
      <c r="T36" s="62"/>
      <c r="U36" s="60"/>
      <c r="V36" s="60" t="s">
        <v>3382</v>
      </c>
      <c r="W36" s="62"/>
      <c r="X36" s="60" t="s">
        <v>3738</v>
      </c>
      <c r="Y36" s="60"/>
      <c r="Z36" s="79"/>
      <c r="AA36" s="79"/>
      <c r="AB36" s="79"/>
      <c r="AC36" s="79"/>
      <c r="AD36" s="79"/>
      <c r="AE36" s="79"/>
      <c r="AF36" s="79"/>
      <c r="AG36" s="79"/>
      <c r="AH36" s="79"/>
      <c r="AI36" s="79"/>
      <c r="AJ36" s="79"/>
      <c r="AK36" s="60" t="s">
        <v>3739</v>
      </c>
      <c r="AL36" s="62"/>
      <c r="AM36" s="62"/>
      <c r="AN36" s="60" t="s">
        <v>3415</v>
      </c>
      <c r="AO36" s="60"/>
      <c r="AP36" s="62"/>
      <c r="AQ36" s="62"/>
      <c r="AR36" s="59" t="s">
        <v>27</v>
      </c>
      <c r="AS36" s="60" t="s">
        <v>3405</v>
      </c>
      <c r="AT36" s="60" t="s">
        <v>3371</v>
      </c>
      <c r="AU36" s="62"/>
      <c r="AV36" s="62"/>
      <c r="AW36" s="59" t="s">
        <v>3740</v>
      </c>
      <c r="AX36" s="63"/>
      <c r="AY36" s="62"/>
      <c r="AZ36" s="59"/>
      <c r="BA36" s="61"/>
      <c r="BB36" s="61"/>
      <c r="BC36" s="59"/>
      <c r="BD36" s="59" t="s">
        <v>27</v>
      </c>
      <c r="BE36" s="59" t="s">
        <v>3741</v>
      </c>
      <c r="BF36" s="61" t="s">
        <v>3362</v>
      </c>
      <c r="BG36" s="61"/>
      <c r="BH36" s="61"/>
      <c r="BI36" s="61" t="s">
        <v>3362</v>
      </c>
      <c r="BJ36" s="61" t="s">
        <v>20</v>
      </c>
      <c r="BK36" s="61"/>
      <c r="BL36" s="61"/>
      <c r="BM36" s="61" t="s">
        <v>20</v>
      </c>
      <c r="BN36" s="61"/>
      <c r="BO36" s="59"/>
      <c r="BP36" s="59" t="s">
        <v>20</v>
      </c>
      <c r="BQ36" s="59"/>
      <c r="BR36" s="61"/>
      <c r="BS36" s="61"/>
      <c r="BT36" s="59"/>
      <c r="BU36" s="61"/>
      <c r="BV36" s="61"/>
      <c r="BW36" s="61"/>
      <c r="BX36" s="61"/>
      <c r="BY36" s="59"/>
      <c r="BZ36" s="61"/>
      <c r="CA36" s="61"/>
      <c r="CB36" s="61"/>
      <c r="CC36" s="61"/>
      <c r="CD36" s="61"/>
      <c r="CE36" s="61"/>
      <c r="CF36" s="61"/>
      <c r="CG36" s="61"/>
      <c r="CH36" s="61"/>
      <c r="CI36" s="61"/>
      <c r="CJ36" s="59"/>
      <c r="CK36" s="59"/>
      <c r="CL36" s="61"/>
      <c r="CM36" s="61"/>
      <c r="CN36" s="61"/>
      <c r="CO36" s="61"/>
      <c r="CP36" s="61"/>
      <c r="CQ36" s="61"/>
      <c r="CR36" s="61"/>
      <c r="CS36" s="61"/>
      <c r="CT36" s="61"/>
    </row>
    <row r="37">
      <c r="A37" s="52">
        <v>2023.0</v>
      </c>
      <c r="B37" s="54" t="s">
        <v>1266</v>
      </c>
      <c r="C37" s="54" t="s">
        <v>1267</v>
      </c>
      <c r="D37" s="53" t="s">
        <v>1268</v>
      </c>
      <c r="E37" s="57" t="s">
        <v>1269</v>
      </c>
      <c r="F37" s="57" t="s">
        <v>1270</v>
      </c>
      <c r="G37" s="56" t="s">
        <v>19</v>
      </c>
      <c r="H37" s="58" t="s">
        <v>27</v>
      </c>
      <c r="I37" s="78" t="s">
        <v>3358</v>
      </c>
      <c r="J37" s="59" t="s">
        <v>3359</v>
      </c>
      <c r="K37" s="62"/>
      <c r="L37" s="78" t="s">
        <v>3361</v>
      </c>
      <c r="M37" s="60" t="s">
        <v>3742</v>
      </c>
      <c r="N37" s="79"/>
      <c r="O37" s="79"/>
      <c r="P37" s="62"/>
      <c r="Q37" s="78" t="s">
        <v>3363</v>
      </c>
      <c r="R37" s="62"/>
      <c r="S37" s="78" t="s">
        <v>3365</v>
      </c>
      <c r="T37" s="62"/>
      <c r="U37" s="60"/>
      <c r="V37" s="60" t="s">
        <v>3366</v>
      </c>
      <c r="W37" s="62"/>
      <c r="X37" s="60" t="s">
        <v>3743</v>
      </c>
      <c r="Y37" s="60"/>
      <c r="Z37" s="79"/>
      <c r="AA37" s="79"/>
      <c r="AB37" s="79"/>
      <c r="AC37" s="79"/>
      <c r="AD37" s="79"/>
      <c r="AE37" s="79"/>
      <c r="AF37" s="79"/>
      <c r="AG37" s="79"/>
      <c r="AH37" s="79"/>
      <c r="AI37" s="79"/>
      <c r="AJ37" s="79"/>
      <c r="AK37" s="60" t="s">
        <v>3744</v>
      </c>
      <c r="AL37" s="62"/>
      <c r="AM37" s="62"/>
      <c r="AN37" s="60" t="s">
        <v>3745</v>
      </c>
      <c r="AO37" s="60"/>
      <c r="AP37" s="62"/>
      <c r="AQ37" s="62"/>
      <c r="AR37" s="59" t="s">
        <v>27</v>
      </c>
      <c r="AS37" s="60" t="s">
        <v>3405</v>
      </c>
      <c r="AT37" s="60" t="s">
        <v>3371</v>
      </c>
      <c r="AU37" s="62"/>
      <c r="AV37" s="62"/>
      <c r="AW37" s="59" t="s">
        <v>3372</v>
      </c>
      <c r="AX37" s="63"/>
      <c r="AY37" s="62"/>
      <c r="AZ37" s="59"/>
      <c r="BA37" s="61"/>
      <c r="BB37" s="61"/>
      <c r="BC37" s="59"/>
      <c r="BD37" s="59" t="s">
        <v>27</v>
      </c>
      <c r="BE37" s="59" t="s">
        <v>3508</v>
      </c>
      <c r="BF37" s="61" t="s">
        <v>3362</v>
      </c>
      <c r="BG37" s="61"/>
      <c r="BH37" s="61"/>
      <c r="BI37" s="61" t="s">
        <v>3746</v>
      </c>
      <c r="BJ37" s="61" t="s">
        <v>3747</v>
      </c>
      <c r="BK37" s="61"/>
      <c r="BL37" s="61"/>
      <c r="BM37" s="61" t="s">
        <v>20</v>
      </c>
      <c r="BN37" s="61"/>
      <c r="BO37" s="59"/>
      <c r="BP37" s="59" t="s">
        <v>20</v>
      </c>
      <c r="BQ37" s="59"/>
      <c r="BR37" s="61"/>
      <c r="BS37" s="61"/>
      <c r="BT37" s="59"/>
      <c r="BU37" s="61"/>
      <c r="BV37" s="61"/>
      <c r="BW37" s="61"/>
      <c r="BX37" s="61"/>
      <c r="BY37" s="59"/>
      <c r="BZ37" s="61"/>
      <c r="CA37" s="61"/>
      <c r="CB37" s="61"/>
      <c r="CC37" s="61"/>
      <c r="CD37" s="61"/>
      <c r="CE37" s="61"/>
      <c r="CF37" s="61"/>
      <c r="CG37" s="61"/>
      <c r="CH37" s="61"/>
      <c r="CI37" s="61"/>
      <c r="CJ37" s="59"/>
      <c r="CK37" s="59"/>
      <c r="CL37" s="61"/>
      <c r="CM37" s="61"/>
      <c r="CN37" s="61"/>
      <c r="CO37" s="61"/>
      <c r="CP37" s="61"/>
      <c r="CQ37" s="61"/>
      <c r="CR37" s="61"/>
      <c r="CS37" s="61"/>
      <c r="CT37" s="61"/>
    </row>
    <row r="38">
      <c r="A38" s="87">
        <v>2021.0</v>
      </c>
      <c r="B38" s="89" t="s">
        <v>1272</v>
      </c>
      <c r="C38" s="89" t="s">
        <v>1273</v>
      </c>
      <c r="D38" s="88" t="s">
        <v>1274</v>
      </c>
      <c r="E38" s="91" t="s">
        <v>1275</v>
      </c>
      <c r="F38" s="91" t="s">
        <v>1270</v>
      </c>
      <c r="G38" s="92" t="s">
        <v>19</v>
      </c>
      <c r="H38" s="93" t="s">
        <v>27</v>
      </c>
      <c r="I38" s="94" t="s">
        <v>3358</v>
      </c>
      <c r="J38" s="95" t="s">
        <v>3359</v>
      </c>
      <c r="K38" s="93" t="s">
        <v>3378</v>
      </c>
      <c r="L38" s="94" t="s">
        <v>3748</v>
      </c>
      <c r="M38" s="96" t="s">
        <v>3362</v>
      </c>
      <c r="N38" s="97">
        <v>20.0</v>
      </c>
      <c r="O38" s="98"/>
      <c r="P38" s="99"/>
      <c r="Q38" s="94" t="s">
        <v>3363</v>
      </c>
      <c r="R38" s="99"/>
      <c r="S38" s="94" t="s">
        <v>3731</v>
      </c>
      <c r="T38" s="99"/>
      <c r="U38" s="97" t="s">
        <v>3749</v>
      </c>
      <c r="V38" s="96" t="s">
        <v>3750</v>
      </c>
      <c r="W38" s="99"/>
      <c r="X38" s="97" t="s">
        <v>3751</v>
      </c>
      <c r="Y38" s="96"/>
      <c r="Z38" s="98"/>
      <c r="AA38" s="98"/>
      <c r="AB38" s="98"/>
      <c r="AC38" s="98"/>
      <c r="AD38" s="98"/>
      <c r="AE38" s="98"/>
      <c r="AF38" s="98"/>
      <c r="AG38" s="98"/>
      <c r="AH38" s="98"/>
      <c r="AI38" s="98"/>
      <c r="AJ38" s="98"/>
      <c r="AK38" s="97" t="s">
        <v>3752</v>
      </c>
      <c r="AL38" s="99"/>
      <c r="AM38" s="99"/>
      <c r="AN38" s="96" t="s">
        <v>3369</v>
      </c>
      <c r="AO38" s="96"/>
      <c r="AP38" s="99"/>
      <c r="AQ38" s="99"/>
      <c r="AR38" s="95" t="s">
        <v>27</v>
      </c>
      <c r="AS38" s="96" t="s">
        <v>3753</v>
      </c>
      <c r="AT38" s="96" t="s">
        <v>3674</v>
      </c>
      <c r="AU38" s="99"/>
      <c r="AV38" s="99"/>
      <c r="AW38" s="95" t="s">
        <v>3754</v>
      </c>
      <c r="AX38" s="101"/>
      <c r="AY38" s="99"/>
      <c r="AZ38" s="95"/>
      <c r="BA38" s="97" t="s">
        <v>3755</v>
      </c>
      <c r="BB38" s="97"/>
      <c r="BC38" s="95"/>
      <c r="BD38" s="95" t="s">
        <v>27</v>
      </c>
      <c r="BE38" s="95" t="s">
        <v>3362</v>
      </c>
      <c r="BF38" s="97" t="s">
        <v>3756</v>
      </c>
      <c r="BG38" s="97"/>
      <c r="BH38" s="97"/>
      <c r="BI38" s="97" t="s">
        <v>3362</v>
      </c>
      <c r="BJ38" s="97" t="s">
        <v>27</v>
      </c>
      <c r="BK38" s="97"/>
      <c r="BL38" s="97"/>
      <c r="BM38" s="97" t="s">
        <v>20</v>
      </c>
      <c r="BN38" s="97"/>
      <c r="BO38" s="95"/>
      <c r="BP38" s="95" t="s">
        <v>20</v>
      </c>
      <c r="BQ38" s="95"/>
      <c r="BR38" s="97"/>
      <c r="BS38" s="97"/>
      <c r="BT38" s="95"/>
      <c r="BU38" s="97"/>
      <c r="BV38" s="97"/>
      <c r="BW38" s="110" t="s">
        <v>3757</v>
      </c>
      <c r="BX38" s="97"/>
      <c r="BY38" s="95" t="s">
        <v>3758</v>
      </c>
      <c r="BZ38" s="97" t="s">
        <v>3757</v>
      </c>
      <c r="CA38" s="97" t="s">
        <v>3759</v>
      </c>
      <c r="CB38" s="97"/>
      <c r="CC38" s="97"/>
      <c r="CD38" s="97"/>
      <c r="CE38" s="97"/>
      <c r="CF38" s="97"/>
      <c r="CG38" s="97"/>
      <c r="CH38" s="97"/>
      <c r="CI38" s="97"/>
      <c r="CJ38" s="95"/>
      <c r="CK38" s="95"/>
      <c r="CL38" s="97"/>
      <c r="CM38" s="97"/>
      <c r="CN38" s="97"/>
      <c r="CO38" s="97"/>
      <c r="CP38" s="97"/>
      <c r="CQ38" s="97"/>
      <c r="CR38" s="97"/>
      <c r="CS38" s="97"/>
      <c r="CT38" s="97"/>
    </row>
    <row r="39">
      <c r="A39" s="52">
        <v>2023.0</v>
      </c>
      <c r="B39" s="53" t="s">
        <v>1326</v>
      </c>
      <c r="C39" s="54" t="s">
        <v>1327</v>
      </c>
      <c r="D39" s="54" t="s">
        <v>1328</v>
      </c>
      <c r="E39" s="57" t="s">
        <v>1329</v>
      </c>
      <c r="F39" s="57" t="s">
        <v>1270</v>
      </c>
      <c r="G39" s="56" t="s">
        <v>19</v>
      </c>
      <c r="H39" s="58" t="s">
        <v>27</v>
      </c>
      <c r="I39" s="78" t="s">
        <v>3358</v>
      </c>
      <c r="J39" s="59" t="s">
        <v>3359</v>
      </c>
      <c r="K39" s="62"/>
      <c r="L39" s="78" t="s">
        <v>3748</v>
      </c>
      <c r="M39" s="60" t="s">
        <v>3380</v>
      </c>
      <c r="N39" s="79"/>
      <c r="O39" s="61" t="s">
        <v>27</v>
      </c>
      <c r="P39" s="62"/>
      <c r="Q39" s="78" t="s">
        <v>3363</v>
      </c>
      <c r="R39" s="62"/>
      <c r="S39" s="78" t="s">
        <v>3365</v>
      </c>
      <c r="T39" s="62"/>
      <c r="U39" s="61" t="s">
        <v>3760</v>
      </c>
      <c r="V39" s="60" t="s">
        <v>3761</v>
      </c>
      <c r="W39" s="58" t="s">
        <v>3378</v>
      </c>
      <c r="X39" s="61"/>
      <c r="Y39" s="60"/>
      <c r="Z39" s="79"/>
      <c r="AA39" s="79"/>
      <c r="AB39" s="79"/>
      <c r="AC39" s="79"/>
      <c r="AD39" s="79"/>
      <c r="AE39" s="79"/>
      <c r="AF39" s="79"/>
      <c r="AG39" s="79"/>
      <c r="AH39" s="79"/>
      <c r="AI39" s="79"/>
      <c r="AJ39" s="79"/>
      <c r="AK39" s="60" t="s">
        <v>3369</v>
      </c>
      <c r="AL39" s="62"/>
      <c r="AM39" s="62"/>
      <c r="AN39" s="60" t="s">
        <v>3369</v>
      </c>
      <c r="AO39" s="60"/>
      <c r="AP39" s="62"/>
      <c r="AQ39" s="62"/>
      <c r="AR39" s="59" t="s">
        <v>20</v>
      </c>
      <c r="AS39" s="60" t="s">
        <v>3369</v>
      </c>
      <c r="AT39" s="60" t="s">
        <v>3439</v>
      </c>
      <c r="AU39" s="62"/>
      <c r="AV39" s="62"/>
      <c r="AW39" s="59" t="s">
        <v>3754</v>
      </c>
      <c r="AX39" s="63"/>
      <c r="AY39" s="62"/>
      <c r="AZ39" s="59"/>
      <c r="BA39" s="61"/>
      <c r="BB39" s="61"/>
      <c r="BC39" s="59"/>
      <c r="BD39" s="59" t="s">
        <v>27</v>
      </c>
      <c r="BE39" s="59" t="s">
        <v>3362</v>
      </c>
      <c r="BF39" s="61" t="s">
        <v>3362</v>
      </c>
      <c r="BG39" s="61"/>
      <c r="BH39" s="61"/>
      <c r="BI39" s="61" t="s">
        <v>3746</v>
      </c>
      <c r="BJ39" s="61" t="s">
        <v>27</v>
      </c>
      <c r="BK39" s="61"/>
      <c r="BL39" s="61"/>
      <c r="BM39" s="61" t="s">
        <v>20</v>
      </c>
      <c r="BN39" s="61"/>
      <c r="BO39" s="59"/>
      <c r="BP39" s="59" t="s">
        <v>20</v>
      </c>
      <c r="BQ39" s="59"/>
      <c r="BR39" s="61"/>
      <c r="BS39" s="61"/>
      <c r="BT39" s="59"/>
      <c r="BU39" s="61"/>
      <c r="BV39" s="61"/>
      <c r="BW39" s="61"/>
      <c r="BX39" s="61"/>
      <c r="BY39" s="59"/>
      <c r="BZ39" s="61"/>
      <c r="CA39" s="61"/>
      <c r="CB39" s="61"/>
      <c r="CC39" s="61"/>
      <c r="CD39" s="61"/>
      <c r="CE39" s="61"/>
      <c r="CF39" s="61"/>
      <c r="CG39" s="61"/>
      <c r="CH39" s="61"/>
      <c r="CI39" s="61"/>
      <c r="CJ39" s="59"/>
      <c r="CK39" s="59"/>
      <c r="CL39" s="61"/>
      <c r="CM39" s="61"/>
      <c r="CN39" s="61"/>
      <c r="CO39" s="61"/>
      <c r="CP39" s="61"/>
      <c r="CQ39" s="61"/>
      <c r="CR39" s="61"/>
      <c r="CS39" s="61"/>
      <c r="CT39" s="61"/>
    </row>
    <row r="40">
      <c r="A40" s="52">
        <v>2025.0</v>
      </c>
      <c r="B40" s="53" t="s">
        <v>1350</v>
      </c>
      <c r="C40" s="54" t="s">
        <v>1351</v>
      </c>
      <c r="D40" s="53" t="s">
        <v>1352</v>
      </c>
      <c r="E40" s="57" t="s">
        <v>1353</v>
      </c>
      <c r="F40" s="57" t="s">
        <v>1270</v>
      </c>
      <c r="G40" s="56" t="s">
        <v>19</v>
      </c>
      <c r="H40" s="58" t="s">
        <v>27</v>
      </c>
      <c r="I40" s="78" t="s">
        <v>3358</v>
      </c>
      <c r="J40" s="59" t="s">
        <v>3359</v>
      </c>
      <c r="K40" s="62"/>
      <c r="L40" s="78" t="s">
        <v>3361</v>
      </c>
      <c r="M40" s="60" t="s">
        <v>3362</v>
      </c>
      <c r="N40" s="79"/>
      <c r="O40" s="79"/>
      <c r="P40" s="62"/>
      <c r="Q40" s="78" t="s">
        <v>3363</v>
      </c>
      <c r="R40" s="62"/>
      <c r="S40" s="78" t="s">
        <v>3365</v>
      </c>
      <c r="T40" s="62"/>
      <c r="U40" s="60"/>
      <c r="V40" s="60" t="s">
        <v>3762</v>
      </c>
      <c r="W40" s="62"/>
      <c r="X40" s="60" t="s">
        <v>3404</v>
      </c>
      <c r="Y40" s="60"/>
      <c r="Z40" s="79"/>
      <c r="AA40" s="79"/>
      <c r="AB40" s="79"/>
      <c r="AC40" s="79"/>
      <c r="AD40" s="79"/>
      <c r="AE40" s="79"/>
      <c r="AF40" s="79"/>
      <c r="AG40" s="79"/>
      <c r="AH40" s="79"/>
      <c r="AI40" s="79"/>
      <c r="AJ40" s="79"/>
      <c r="AK40" s="60" t="s">
        <v>3414</v>
      </c>
      <c r="AL40" s="62"/>
      <c r="AM40" s="62"/>
      <c r="AN40" s="60" t="s">
        <v>3588</v>
      </c>
      <c r="AO40" s="60"/>
      <c r="AP40" s="62"/>
      <c r="AQ40" s="62"/>
      <c r="AR40" s="59" t="s">
        <v>27</v>
      </c>
      <c r="AS40" s="60" t="s">
        <v>3405</v>
      </c>
      <c r="AT40" s="60" t="s">
        <v>3371</v>
      </c>
      <c r="AU40" s="62"/>
      <c r="AV40" s="62"/>
      <c r="AW40" s="59" t="s">
        <v>3406</v>
      </c>
      <c r="AX40" s="63"/>
      <c r="AY40" s="62"/>
      <c r="AZ40" s="59"/>
      <c r="BA40" s="61"/>
      <c r="BB40" s="61"/>
      <c r="BC40" s="59"/>
      <c r="BD40" s="59" t="s">
        <v>27</v>
      </c>
      <c r="BE40" s="59" t="s">
        <v>3763</v>
      </c>
      <c r="BF40" s="61" t="s">
        <v>3362</v>
      </c>
      <c r="BG40" s="61"/>
      <c r="BH40" s="61"/>
      <c r="BI40" s="61" t="s">
        <v>3362</v>
      </c>
      <c r="BJ40" s="61" t="s">
        <v>3764</v>
      </c>
      <c r="BK40" s="61"/>
      <c r="BL40" s="61"/>
      <c r="BM40" s="61" t="s">
        <v>20</v>
      </c>
      <c r="BN40" s="61"/>
      <c r="BO40" s="59"/>
      <c r="BP40" s="59" t="s">
        <v>20</v>
      </c>
      <c r="BQ40" s="59"/>
      <c r="BR40" s="61"/>
      <c r="BS40" s="61"/>
      <c r="BT40" s="59"/>
      <c r="BU40" s="61"/>
      <c r="BV40" s="61"/>
      <c r="BW40" s="61"/>
      <c r="BX40" s="61"/>
      <c r="BY40" s="59"/>
      <c r="BZ40" s="61"/>
      <c r="CA40" s="61"/>
      <c r="CB40" s="61"/>
      <c r="CC40" s="61"/>
      <c r="CD40" s="61"/>
      <c r="CE40" s="61"/>
      <c r="CF40" s="61"/>
      <c r="CG40" s="61"/>
      <c r="CH40" s="61"/>
      <c r="CI40" s="61"/>
      <c r="CJ40" s="59"/>
      <c r="CK40" s="59"/>
      <c r="CL40" s="61"/>
      <c r="CM40" s="61"/>
      <c r="CN40" s="61"/>
      <c r="CO40" s="61"/>
      <c r="CP40" s="61"/>
      <c r="CQ40" s="61"/>
      <c r="CR40" s="61"/>
      <c r="CS40" s="61"/>
      <c r="CT40" s="61"/>
    </row>
    <row r="41" ht="174.75" customHeight="1">
      <c r="A41" s="87">
        <v>2025.0</v>
      </c>
      <c r="B41" s="88" t="s">
        <v>1589</v>
      </c>
      <c r="C41" s="89" t="s">
        <v>1373</v>
      </c>
      <c r="D41" s="89" t="s">
        <v>1590</v>
      </c>
      <c r="E41" s="91" t="s">
        <v>1591</v>
      </c>
      <c r="F41" s="91" t="s">
        <v>1270</v>
      </c>
      <c r="G41" s="92" t="s">
        <v>19</v>
      </c>
      <c r="H41" s="93" t="s">
        <v>27</v>
      </c>
      <c r="I41" s="94" t="s">
        <v>3765</v>
      </c>
      <c r="J41" s="95" t="s">
        <v>3359</v>
      </c>
      <c r="K41" s="99"/>
      <c r="L41" s="94" t="s">
        <v>3412</v>
      </c>
      <c r="M41" s="96" t="s">
        <v>3362</v>
      </c>
      <c r="N41" s="98"/>
      <c r="O41" s="98"/>
      <c r="P41" s="93" t="s">
        <v>3378</v>
      </c>
      <c r="Q41" s="94" t="s">
        <v>3434</v>
      </c>
      <c r="R41" s="93" t="s">
        <v>3766</v>
      </c>
      <c r="S41" s="94" t="s">
        <v>3365</v>
      </c>
      <c r="T41" s="99"/>
      <c r="U41" s="97" t="s">
        <v>3767</v>
      </c>
      <c r="V41" s="96" t="s">
        <v>3768</v>
      </c>
      <c r="W41" s="99"/>
      <c r="X41" s="97" t="s">
        <v>3769</v>
      </c>
      <c r="Y41" s="96"/>
      <c r="Z41" s="98"/>
      <c r="AA41" s="98"/>
      <c r="AB41" s="98"/>
      <c r="AC41" s="97" t="s">
        <v>3770</v>
      </c>
      <c r="AD41" s="111" t="s">
        <v>3771</v>
      </c>
      <c r="AE41" s="97" t="s">
        <v>3772</v>
      </c>
      <c r="AF41" s="97" t="s">
        <v>3773</v>
      </c>
      <c r="AG41" s="97" t="s">
        <v>3774</v>
      </c>
      <c r="AH41" s="97" t="s">
        <v>3775</v>
      </c>
      <c r="AI41" s="97" t="s">
        <v>3776</v>
      </c>
      <c r="AJ41" s="98"/>
      <c r="AK41" s="96" t="s">
        <v>3744</v>
      </c>
      <c r="AL41" s="112" t="s">
        <v>3777</v>
      </c>
      <c r="AM41" s="93" t="s">
        <v>3778</v>
      </c>
      <c r="AN41" s="96" t="s">
        <v>3491</v>
      </c>
      <c r="AO41" s="96"/>
      <c r="AP41" s="99"/>
      <c r="AQ41" s="99"/>
      <c r="AR41" s="95" t="s">
        <v>27</v>
      </c>
      <c r="AS41" s="96" t="s">
        <v>3405</v>
      </c>
      <c r="AT41" s="96" t="s">
        <v>3371</v>
      </c>
      <c r="AU41" s="99"/>
      <c r="AV41" s="99"/>
      <c r="AW41" s="94" t="s">
        <v>3372</v>
      </c>
      <c r="AX41" s="101"/>
      <c r="AY41" s="99"/>
      <c r="AZ41" s="95" t="s">
        <v>27</v>
      </c>
      <c r="BA41" s="113" t="s">
        <v>3779</v>
      </c>
      <c r="BB41" s="97"/>
      <c r="BC41" s="95"/>
      <c r="BD41" s="106"/>
      <c r="BE41" s="95" t="s">
        <v>3362</v>
      </c>
      <c r="BF41" s="97" t="s">
        <v>3780</v>
      </c>
      <c r="BG41" s="97"/>
      <c r="BH41" s="97"/>
      <c r="BI41" s="114">
        <v>46335.0</v>
      </c>
      <c r="BJ41" s="97" t="s">
        <v>3781</v>
      </c>
      <c r="BK41" s="97" t="s">
        <v>3782</v>
      </c>
      <c r="BL41" s="97" t="s">
        <v>3783</v>
      </c>
      <c r="BM41" s="97" t="s">
        <v>3784</v>
      </c>
      <c r="BN41" s="97" t="s">
        <v>3785</v>
      </c>
      <c r="BO41" s="95" t="s">
        <v>3786</v>
      </c>
      <c r="BP41" s="95" t="s">
        <v>27</v>
      </c>
      <c r="BQ41" s="95" t="s">
        <v>27</v>
      </c>
      <c r="BR41" s="97" t="s">
        <v>3787</v>
      </c>
      <c r="BS41" s="97" t="s">
        <v>3788</v>
      </c>
      <c r="BT41" s="95" t="s">
        <v>3789</v>
      </c>
      <c r="BU41" s="97" t="s">
        <v>3790</v>
      </c>
      <c r="BV41" s="97" t="s">
        <v>3791</v>
      </c>
      <c r="BW41" s="97"/>
      <c r="BX41" s="97" t="s">
        <v>3372</v>
      </c>
      <c r="BY41" s="95" t="s">
        <v>3770</v>
      </c>
      <c r="BZ41" s="97" t="s">
        <v>3792</v>
      </c>
      <c r="CA41" s="97" t="s">
        <v>3793</v>
      </c>
      <c r="CB41" s="97" t="s">
        <v>3794</v>
      </c>
      <c r="CC41" s="97"/>
      <c r="CD41" s="97"/>
      <c r="CE41" s="97" t="s">
        <v>27</v>
      </c>
      <c r="CF41" s="97" t="s">
        <v>3795</v>
      </c>
      <c r="CG41" s="97"/>
      <c r="CH41" s="97"/>
      <c r="CI41" s="97" t="s">
        <v>3795</v>
      </c>
      <c r="CJ41" s="95"/>
      <c r="CK41" s="95"/>
      <c r="CL41" s="97"/>
      <c r="CM41" s="97"/>
      <c r="CN41" s="97"/>
      <c r="CO41" s="97"/>
      <c r="CP41" s="97"/>
      <c r="CQ41" s="97"/>
      <c r="CR41" s="97"/>
      <c r="CS41" s="97" t="s">
        <v>3796</v>
      </c>
      <c r="CT41" s="97"/>
    </row>
    <row r="42" ht="106.5" customHeight="1">
      <c r="A42" s="87">
        <v>2022.0</v>
      </c>
      <c r="B42" s="88" t="s">
        <v>1627</v>
      </c>
      <c r="C42" s="89" t="s">
        <v>1327</v>
      </c>
      <c r="D42" s="89" t="s">
        <v>1628</v>
      </c>
      <c r="E42" s="91" t="s">
        <v>1629</v>
      </c>
      <c r="F42" s="91" t="s">
        <v>1270</v>
      </c>
      <c r="G42" s="92" t="s">
        <v>19</v>
      </c>
      <c r="H42" s="93" t="s">
        <v>27</v>
      </c>
      <c r="I42" s="94" t="s">
        <v>3358</v>
      </c>
      <c r="J42" s="95" t="s">
        <v>3359</v>
      </c>
      <c r="K42" s="93" t="s">
        <v>3378</v>
      </c>
      <c r="L42" s="95" t="s">
        <v>3797</v>
      </c>
      <c r="M42" s="96" t="s">
        <v>3432</v>
      </c>
      <c r="N42" s="97">
        <v>2.0</v>
      </c>
      <c r="O42" s="97" t="s">
        <v>27</v>
      </c>
      <c r="P42" s="93" t="s">
        <v>3798</v>
      </c>
      <c r="Q42" s="95" t="s">
        <v>3799</v>
      </c>
      <c r="R42" s="99"/>
      <c r="S42" s="94" t="s">
        <v>3365</v>
      </c>
      <c r="T42" s="99"/>
      <c r="U42" s="97" t="s">
        <v>3800</v>
      </c>
      <c r="V42" s="96" t="s">
        <v>3366</v>
      </c>
      <c r="W42" s="99"/>
      <c r="X42" s="97" t="s">
        <v>3801</v>
      </c>
      <c r="Y42" s="97" t="s">
        <v>3802</v>
      </c>
      <c r="Z42" s="98"/>
      <c r="AA42" s="98"/>
      <c r="AB42" s="98"/>
      <c r="AC42" s="97" t="s">
        <v>3803</v>
      </c>
      <c r="AD42" s="97" t="s">
        <v>3804</v>
      </c>
      <c r="AE42" s="97" t="s">
        <v>3805</v>
      </c>
      <c r="AF42" s="98"/>
      <c r="AG42" s="98"/>
      <c r="AH42" s="98"/>
      <c r="AI42" s="98"/>
      <c r="AJ42" s="98"/>
      <c r="AK42" s="97" t="s">
        <v>3806</v>
      </c>
      <c r="AL42" s="99"/>
      <c r="AM42" s="99"/>
      <c r="AN42" s="97" t="s">
        <v>3807</v>
      </c>
      <c r="AO42" s="97" t="s">
        <v>3808</v>
      </c>
      <c r="AP42" s="99"/>
      <c r="AQ42" s="99"/>
      <c r="AR42" s="95" t="s">
        <v>27</v>
      </c>
      <c r="AS42" s="96" t="s">
        <v>3370</v>
      </c>
      <c r="AT42" s="96" t="s">
        <v>3371</v>
      </c>
      <c r="AU42" s="99"/>
      <c r="AV42" s="99"/>
      <c r="AW42" s="94" t="s">
        <v>3372</v>
      </c>
      <c r="AX42" s="101"/>
      <c r="AY42" s="99"/>
      <c r="AZ42" s="95"/>
      <c r="BA42" s="97"/>
      <c r="BB42" s="97"/>
      <c r="BC42" s="95"/>
      <c r="BD42" s="95" t="s">
        <v>27</v>
      </c>
      <c r="BE42" s="95" t="s">
        <v>3763</v>
      </c>
      <c r="BF42" s="97" t="s">
        <v>3809</v>
      </c>
      <c r="BG42" s="97"/>
      <c r="BH42" s="97" t="s">
        <v>3810</v>
      </c>
      <c r="BI42" s="97" t="s">
        <v>3811</v>
      </c>
      <c r="BJ42" s="97" t="s">
        <v>3812</v>
      </c>
      <c r="BK42" s="97" t="s">
        <v>3813</v>
      </c>
      <c r="BL42" s="97"/>
      <c r="BM42" s="97" t="s">
        <v>3814</v>
      </c>
      <c r="BN42" s="97" t="s">
        <v>3815</v>
      </c>
      <c r="BO42" s="95">
        <v>15.0</v>
      </c>
      <c r="BP42" s="95" t="s">
        <v>20</v>
      </c>
      <c r="BQ42" s="95"/>
      <c r="BR42" s="97"/>
      <c r="BS42" s="97"/>
      <c r="BT42" s="95"/>
      <c r="BU42" s="97"/>
      <c r="BV42" s="97"/>
      <c r="BW42" s="97"/>
      <c r="BX42" s="97"/>
      <c r="BY42" s="95"/>
      <c r="BZ42" s="97" t="s">
        <v>3816</v>
      </c>
      <c r="CA42" s="97"/>
      <c r="CB42" s="97"/>
      <c r="CC42" s="97"/>
      <c r="CD42" s="97"/>
      <c r="CE42" s="97"/>
      <c r="CF42" s="97"/>
      <c r="CG42" s="97"/>
      <c r="CH42" s="97"/>
      <c r="CI42" s="97"/>
      <c r="CJ42" s="95"/>
      <c r="CK42" s="95"/>
      <c r="CL42" s="97"/>
      <c r="CM42" s="97"/>
      <c r="CN42" s="97"/>
      <c r="CO42" s="97"/>
      <c r="CP42" s="97"/>
      <c r="CQ42" s="97"/>
      <c r="CR42" s="97" t="s">
        <v>3817</v>
      </c>
      <c r="CS42" s="97"/>
      <c r="CT42" s="97"/>
    </row>
    <row r="43">
      <c r="A43" s="52">
        <v>2024.0</v>
      </c>
      <c r="B43" s="53" t="s">
        <v>1694</v>
      </c>
      <c r="C43" s="54" t="s">
        <v>1573</v>
      </c>
      <c r="D43" s="54" t="s">
        <v>1695</v>
      </c>
      <c r="E43" s="57" t="s">
        <v>1696</v>
      </c>
      <c r="F43" s="57" t="s">
        <v>1270</v>
      </c>
      <c r="G43" s="56" t="s">
        <v>19</v>
      </c>
      <c r="H43" s="58" t="s">
        <v>27</v>
      </c>
      <c r="I43" s="78" t="s">
        <v>3737</v>
      </c>
      <c r="J43" s="59" t="s">
        <v>3359</v>
      </c>
      <c r="K43" s="62"/>
      <c r="L43" s="78" t="s">
        <v>3361</v>
      </c>
      <c r="M43" s="60" t="s">
        <v>3362</v>
      </c>
      <c r="N43" s="79"/>
      <c r="O43" s="79"/>
      <c r="P43" s="62"/>
      <c r="Q43" s="78" t="s">
        <v>3363</v>
      </c>
      <c r="R43" s="62"/>
      <c r="S43" s="78" t="s">
        <v>3365</v>
      </c>
      <c r="T43" s="62"/>
      <c r="U43" s="60"/>
      <c r="V43" s="60" t="s">
        <v>3366</v>
      </c>
      <c r="W43" s="58" t="s">
        <v>3818</v>
      </c>
      <c r="X43" s="60" t="s">
        <v>3404</v>
      </c>
      <c r="Y43" s="60"/>
      <c r="Z43" s="79"/>
      <c r="AA43" s="79"/>
      <c r="AB43" s="79"/>
      <c r="AC43" s="79"/>
      <c r="AD43" s="79"/>
      <c r="AE43" s="79"/>
      <c r="AF43" s="79"/>
      <c r="AG43" s="79"/>
      <c r="AH43" s="79"/>
      <c r="AI43" s="79"/>
      <c r="AJ43" s="79"/>
      <c r="AK43" s="60" t="s">
        <v>3369</v>
      </c>
      <c r="AL43" s="62"/>
      <c r="AM43" s="62"/>
      <c r="AN43" s="60" t="s">
        <v>3369</v>
      </c>
      <c r="AO43" s="60"/>
      <c r="AP43" s="62"/>
      <c r="AQ43" s="62"/>
      <c r="AR43" s="59" t="s">
        <v>27</v>
      </c>
      <c r="AS43" s="60" t="s">
        <v>3405</v>
      </c>
      <c r="AT43" s="60" t="s">
        <v>3371</v>
      </c>
      <c r="AU43" s="62"/>
      <c r="AV43" s="62"/>
      <c r="AW43" s="78" t="s">
        <v>3372</v>
      </c>
      <c r="AX43" s="63"/>
      <c r="AY43" s="62"/>
      <c r="AZ43" s="59"/>
      <c r="BA43" s="61"/>
      <c r="BB43" s="61"/>
      <c r="BC43" s="59"/>
      <c r="BD43" s="59" t="s">
        <v>27</v>
      </c>
      <c r="BE43" s="59" t="s">
        <v>3362</v>
      </c>
      <c r="BF43" s="61" t="s">
        <v>3362</v>
      </c>
      <c r="BG43" s="61"/>
      <c r="BH43" s="61"/>
      <c r="BI43" s="61" t="s">
        <v>3819</v>
      </c>
      <c r="BJ43" s="61" t="s">
        <v>3820</v>
      </c>
      <c r="BK43" s="61"/>
      <c r="BL43" s="61"/>
      <c r="BM43" s="61" t="s">
        <v>20</v>
      </c>
      <c r="BN43" s="61"/>
      <c r="BO43" s="59"/>
      <c r="BP43" s="59" t="s">
        <v>20</v>
      </c>
      <c r="BQ43" s="59"/>
      <c r="BR43" s="61"/>
      <c r="BS43" s="61"/>
      <c r="BT43" s="59"/>
      <c r="BU43" s="61"/>
      <c r="BV43" s="61"/>
      <c r="BW43" s="61"/>
      <c r="BX43" s="61"/>
      <c r="BY43" s="59"/>
      <c r="BZ43" s="61"/>
      <c r="CA43" s="61"/>
      <c r="CB43" s="61"/>
      <c r="CC43" s="61"/>
      <c r="CD43" s="61"/>
      <c r="CE43" s="61"/>
      <c r="CF43" s="61"/>
      <c r="CG43" s="61"/>
      <c r="CH43" s="61"/>
      <c r="CI43" s="61"/>
      <c r="CJ43" s="59"/>
      <c r="CK43" s="59"/>
      <c r="CL43" s="61"/>
      <c r="CM43" s="61"/>
      <c r="CN43" s="61"/>
      <c r="CO43" s="61"/>
      <c r="CP43" s="61"/>
      <c r="CQ43" s="61"/>
      <c r="CR43" s="61"/>
      <c r="CS43" s="61" t="s">
        <v>3821</v>
      </c>
      <c r="CT43" s="61"/>
    </row>
    <row r="44">
      <c r="A44" s="52">
        <v>2021.0</v>
      </c>
      <c r="B44" s="53" t="s">
        <v>1736</v>
      </c>
      <c r="C44" s="54" t="s">
        <v>1373</v>
      </c>
      <c r="D44" s="54" t="s">
        <v>1737</v>
      </c>
      <c r="E44" s="57" t="s">
        <v>1738</v>
      </c>
      <c r="F44" s="57" t="s">
        <v>1270</v>
      </c>
      <c r="G44" s="56" t="s">
        <v>19</v>
      </c>
      <c r="H44" s="58" t="s">
        <v>27</v>
      </c>
      <c r="I44" s="59" t="s">
        <v>3358</v>
      </c>
      <c r="J44" s="59" t="s">
        <v>3359</v>
      </c>
      <c r="K44" s="62"/>
      <c r="L44" s="78" t="s">
        <v>3361</v>
      </c>
      <c r="M44" s="60" t="s">
        <v>3362</v>
      </c>
      <c r="N44" s="79"/>
      <c r="O44" s="79"/>
      <c r="P44" s="62"/>
      <c r="Q44" s="59" t="s">
        <v>3413</v>
      </c>
      <c r="R44" s="62"/>
      <c r="S44" s="59" t="s">
        <v>3362</v>
      </c>
      <c r="T44" s="62"/>
      <c r="U44" s="61"/>
      <c r="V44" s="61" t="s">
        <v>3382</v>
      </c>
      <c r="W44" s="62"/>
      <c r="X44" s="60" t="s">
        <v>3404</v>
      </c>
      <c r="Y44" s="60"/>
      <c r="Z44" s="79"/>
      <c r="AA44" s="79"/>
      <c r="AB44" s="79"/>
      <c r="AC44" s="79"/>
      <c r="AD44" s="79"/>
      <c r="AE44" s="79"/>
      <c r="AF44" s="79"/>
      <c r="AG44" s="79"/>
      <c r="AH44" s="79"/>
      <c r="AI44" s="79"/>
      <c r="AJ44" s="79"/>
      <c r="AK44" s="60" t="s">
        <v>3369</v>
      </c>
      <c r="AL44" s="62"/>
      <c r="AM44" s="62"/>
      <c r="AN44" s="60" t="s">
        <v>3369</v>
      </c>
      <c r="AO44" s="60"/>
      <c r="AP44" s="62"/>
      <c r="AQ44" s="62"/>
      <c r="AR44" s="59" t="s">
        <v>20</v>
      </c>
      <c r="AS44" s="60" t="s">
        <v>3369</v>
      </c>
      <c r="AT44" s="60" t="s">
        <v>3369</v>
      </c>
      <c r="AU44" s="62"/>
      <c r="AV44" s="62"/>
      <c r="AW44" s="78" t="s">
        <v>3369</v>
      </c>
      <c r="AX44" s="63"/>
      <c r="AY44" s="62"/>
      <c r="AZ44" s="59"/>
      <c r="BA44" s="61"/>
      <c r="BB44" s="61"/>
      <c r="BC44" s="59"/>
      <c r="BD44" s="78" t="s">
        <v>3369</v>
      </c>
      <c r="BE44" s="59" t="s">
        <v>3362</v>
      </c>
      <c r="BF44" s="61" t="s">
        <v>3362</v>
      </c>
      <c r="BG44" s="61"/>
      <c r="BH44" s="61"/>
      <c r="BI44" s="61" t="s">
        <v>3399</v>
      </c>
      <c r="BJ44" s="79" t="str">
        <f>IFERROR(__xludf.DUMMYFUNCTION("AI(""Fill an appropriate value for this cell based on the table context"")"),"Yes (NetMHCpan 4.0)")</f>
        <v>Yes (NetMHCpan 4.0)</v>
      </c>
      <c r="BK44" s="79"/>
      <c r="BL44" s="79"/>
      <c r="BM44" s="61" t="s">
        <v>20</v>
      </c>
      <c r="BN44" s="61"/>
      <c r="BO44" s="59"/>
      <c r="BP44" s="59" t="s">
        <v>20</v>
      </c>
      <c r="BQ44" s="59"/>
      <c r="BR44" s="61"/>
      <c r="BS44" s="61"/>
      <c r="BT44" s="59"/>
      <c r="BU44" s="61"/>
      <c r="BV44" s="61"/>
      <c r="BW44" s="61"/>
      <c r="BX44" s="61"/>
      <c r="BY44" s="59"/>
      <c r="BZ44" s="61"/>
      <c r="CA44" s="61"/>
      <c r="CB44" s="61"/>
      <c r="CC44" s="61"/>
      <c r="CD44" s="61"/>
      <c r="CE44" s="61"/>
      <c r="CF44" s="61"/>
      <c r="CG44" s="61"/>
      <c r="CH44" s="61"/>
      <c r="CI44" s="61"/>
      <c r="CJ44" s="59"/>
      <c r="CK44" s="59"/>
      <c r="CL44" s="61"/>
      <c r="CM44" s="61"/>
      <c r="CN44" s="61"/>
      <c r="CO44" s="61"/>
      <c r="CP44" s="61"/>
      <c r="CQ44" s="61"/>
      <c r="CR44" s="61"/>
      <c r="CS44" s="61" t="s">
        <v>3822</v>
      </c>
      <c r="CT44" s="61"/>
    </row>
    <row r="45">
      <c r="A45" s="87">
        <v>2018.0</v>
      </c>
      <c r="B45" s="88" t="s">
        <v>1783</v>
      </c>
      <c r="C45" s="89" t="s">
        <v>1784</v>
      </c>
      <c r="D45" s="89" t="s">
        <v>1785</v>
      </c>
      <c r="E45" s="91" t="s">
        <v>1786</v>
      </c>
      <c r="F45" s="91" t="s">
        <v>1270</v>
      </c>
      <c r="G45" s="92" t="s">
        <v>19</v>
      </c>
      <c r="H45" s="93" t="s">
        <v>27</v>
      </c>
      <c r="I45" s="95" t="s">
        <v>3358</v>
      </c>
      <c r="J45" s="95" t="s">
        <v>3359</v>
      </c>
      <c r="K45" s="99"/>
      <c r="L45" s="106"/>
      <c r="M45" s="98"/>
      <c r="N45" s="97" t="s">
        <v>3823</v>
      </c>
      <c r="O45" s="97" t="s">
        <v>27</v>
      </c>
      <c r="P45" s="93" t="s">
        <v>3824</v>
      </c>
      <c r="Q45" s="95" t="s">
        <v>3825</v>
      </c>
      <c r="R45" s="99"/>
      <c r="S45" s="106"/>
      <c r="T45" s="99"/>
      <c r="U45" s="98"/>
      <c r="V45" s="98"/>
      <c r="W45" s="99"/>
      <c r="X45" s="97" t="s">
        <v>3826</v>
      </c>
      <c r="Y45" s="98"/>
      <c r="Z45" s="98"/>
      <c r="AA45" s="98"/>
      <c r="AB45" s="98"/>
      <c r="AC45" s="97" t="s">
        <v>3827</v>
      </c>
      <c r="AD45" s="97" t="s">
        <v>3828</v>
      </c>
      <c r="AE45" s="98"/>
      <c r="AF45" s="98"/>
      <c r="AG45" s="98"/>
      <c r="AH45" s="98"/>
      <c r="AI45" s="98"/>
      <c r="AJ45" s="98"/>
      <c r="AK45" s="97" t="s">
        <v>3829</v>
      </c>
      <c r="AL45" s="99"/>
      <c r="AM45" s="99"/>
      <c r="AN45" s="97" t="s">
        <v>3482</v>
      </c>
      <c r="AO45" s="97" t="s">
        <v>3830</v>
      </c>
      <c r="AP45" s="99"/>
      <c r="AQ45" s="93" t="s">
        <v>3831</v>
      </c>
      <c r="AR45" s="106"/>
      <c r="AS45" s="98"/>
      <c r="AT45" s="98"/>
      <c r="AU45" s="99"/>
      <c r="AV45" s="99"/>
      <c r="AW45" s="106"/>
      <c r="AX45" s="101"/>
      <c r="AY45" s="99"/>
      <c r="AZ45" s="106"/>
      <c r="BA45" s="98"/>
      <c r="BB45" s="98"/>
      <c r="BC45" s="106"/>
      <c r="BD45" s="95" t="s">
        <v>3512</v>
      </c>
      <c r="BE45" s="115" t="s">
        <v>3832</v>
      </c>
      <c r="BF45" s="98"/>
      <c r="BG45" s="98"/>
      <c r="BH45" s="98"/>
      <c r="BI45" s="97" t="s">
        <v>3819</v>
      </c>
      <c r="BJ45" s="116" t="s">
        <v>3833</v>
      </c>
      <c r="BK45" s="97" t="s">
        <v>3834</v>
      </c>
      <c r="BL45" s="98"/>
      <c r="BM45" s="97" t="s">
        <v>3835</v>
      </c>
      <c r="BN45" s="97" t="s">
        <v>3836</v>
      </c>
      <c r="BO45" s="95" t="s">
        <v>3837</v>
      </c>
      <c r="BP45" s="106"/>
      <c r="BQ45" s="95" t="s">
        <v>27</v>
      </c>
      <c r="BR45" s="97" t="s">
        <v>3838</v>
      </c>
      <c r="BS45" s="98"/>
      <c r="BT45" s="106"/>
      <c r="BU45" s="98"/>
      <c r="BV45" s="98"/>
      <c r="BW45" s="97" t="s">
        <v>3839</v>
      </c>
      <c r="BX45" s="97" t="s">
        <v>27</v>
      </c>
      <c r="BY45" s="106"/>
      <c r="BZ45" s="98"/>
      <c r="CA45" s="98"/>
      <c r="CB45" s="98"/>
      <c r="CC45" s="98"/>
      <c r="CD45" s="98"/>
      <c r="CE45" s="98"/>
      <c r="CF45" s="98"/>
      <c r="CG45" s="98"/>
      <c r="CH45" s="98"/>
      <c r="CI45" s="98"/>
      <c r="CJ45" s="106"/>
      <c r="CK45" s="106"/>
      <c r="CL45" s="98"/>
      <c r="CM45" s="98"/>
      <c r="CN45" s="98"/>
      <c r="CO45" s="98"/>
      <c r="CP45" s="98"/>
      <c r="CQ45" s="98"/>
      <c r="CR45" s="98"/>
      <c r="CS45" s="97" t="s">
        <v>3840</v>
      </c>
      <c r="CT45" s="98"/>
    </row>
    <row r="46">
      <c r="A46" s="52">
        <v>2023.0</v>
      </c>
      <c r="B46" s="53" t="s">
        <v>1922</v>
      </c>
      <c r="C46" s="54" t="s">
        <v>1923</v>
      </c>
      <c r="D46" s="54" t="s">
        <v>1924</v>
      </c>
      <c r="E46" s="57" t="s">
        <v>1925</v>
      </c>
      <c r="F46" s="57" t="s">
        <v>1270</v>
      </c>
      <c r="G46" s="56" t="s">
        <v>19</v>
      </c>
      <c r="H46" s="58" t="s">
        <v>27</v>
      </c>
      <c r="I46" s="107"/>
      <c r="J46" s="107"/>
      <c r="K46" s="62"/>
      <c r="L46" s="107"/>
      <c r="M46" s="79"/>
      <c r="N46" s="79"/>
      <c r="O46" s="79"/>
      <c r="P46" s="62"/>
      <c r="Q46" s="107"/>
      <c r="R46" s="62"/>
      <c r="S46" s="107"/>
      <c r="T46" s="62"/>
      <c r="U46" s="79"/>
      <c r="V46" s="79"/>
      <c r="W46" s="62"/>
      <c r="X46" s="79"/>
      <c r="Y46" s="79"/>
      <c r="Z46" s="79"/>
      <c r="AA46" s="79"/>
      <c r="AB46" s="79"/>
      <c r="AC46" s="79"/>
      <c r="AD46" s="79"/>
      <c r="AE46" s="79"/>
      <c r="AF46" s="79"/>
      <c r="AG46" s="79"/>
      <c r="AH46" s="79"/>
      <c r="AI46" s="79"/>
      <c r="AJ46" s="79"/>
      <c r="AK46" s="79"/>
      <c r="AL46" s="62"/>
      <c r="AM46" s="62"/>
      <c r="AN46" s="79"/>
      <c r="AO46" s="79"/>
      <c r="AP46" s="62"/>
      <c r="AQ46" s="62"/>
      <c r="AR46" s="107"/>
      <c r="AS46" s="79"/>
      <c r="AT46" s="79"/>
      <c r="AU46" s="62"/>
      <c r="AV46" s="62"/>
      <c r="AW46" s="107"/>
      <c r="AX46" s="63"/>
      <c r="AY46" s="62"/>
      <c r="AZ46" s="107"/>
      <c r="BA46" s="79"/>
      <c r="BB46" s="79"/>
      <c r="BC46" s="107"/>
      <c r="BD46" s="107"/>
      <c r="BE46" s="107"/>
      <c r="BF46" s="79"/>
      <c r="BG46" s="79"/>
      <c r="BH46" s="79"/>
      <c r="BI46" s="79"/>
      <c r="BJ46" s="79" t="str">
        <f>IFERROR(__xludf.DUMMYFUNCTION("AI(""Fill an appropriate value for this cell based on the table context"")"),"Yes (NetMHCpan 4.0)")</f>
        <v>Yes (NetMHCpan 4.0)</v>
      </c>
      <c r="BK46" s="79"/>
      <c r="BL46" s="79"/>
      <c r="BM46" s="79"/>
      <c r="BN46" s="79"/>
      <c r="BO46" s="107"/>
      <c r="BP46" s="107"/>
      <c r="BQ46" s="107"/>
      <c r="BR46" s="79"/>
      <c r="BS46" s="79"/>
      <c r="BT46" s="107"/>
      <c r="BU46" s="79"/>
      <c r="BV46" s="79"/>
      <c r="BW46" s="79"/>
      <c r="BX46" s="79"/>
      <c r="BY46" s="107"/>
      <c r="BZ46" s="79"/>
      <c r="CA46" s="79"/>
      <c r="CB46" s="79"/>
      <c r="CC46" s="79"/>
      <c r="CD46" s="79"/>
      <c r="CE46" s="79"/>
      <c r="CF46" s="79"/>
      <c r="CG46" s="79"/>
      <c r="CH46" s="79"/>
      <c r="CI46" s="79"/>
      <c r="CJ46" s="107"/>
      <c r="CK46" s="107"/>
      <c r="CL46" s="79"/>
      <c r="CM46" s="79"/>
      <c r="CN46" s="79"/>
      <c r="CO46" s="79"/>
      <c r="CP46" s="79"/>
      <c r="CQ46" s="79"/>
      <c r="CR46" s="79"/>
      <c r="CT46" s="61" t="s">
        <v>3841</v>
      </c>
    </row>
    <row r="47">
      <c r="A47" s="52">
        <v>2020.0</v>
      </c>
      <c r="B47" s="53" t="s">
        <v>1949</v>
      </c>
      <c r="C47" s="54" t="s">
        <v>1912</v>
      </c>
      <c r="D47" s="54" t="s">
        <v>1950</v>
      </c>
      <c r="E47" s="57" t="s">
        <v>1951</v>
      </c>
      <c r="F47" s="57" t="s">
        <v>1270</v>
      </c>
      <c r="G47" s="56" t="s">
        <v>19</v>
      </c>
      <c r="H47" s="58" t="s">
        <v>27</v>
      </c>
      <c r="I47" s="59" t="s">
        <v>3358</v>
      </c>
      <c r="J47" s="107"/>
      <c r="K47" s="62"/>
      <c r="L47" s="107"/>
      <c r="M47" s="79"/>
      <c r="N47" s="79"/>
      <c r="O47" s="79"/>
      <c r="P47" s="62"/>
      <c r="Q47" s="59" t="s">
        <v>3363</v>
      </c>
      <c r="R47" s="62"/>
      <c r="S47" s="59" t="s">
        <v>3842</v>
      </c>
      <c r="T47" s="58">
        <v>49.0</v>
      </c>
      <c r="U47" s="61"/>
      <c r="V47" s="61" t="s">
        <v>3382</v>
      </c>
      <c r="W47" s="62"/>
      <c r="X47" s="79"/>
      <c r="Y47" s="79"/>
      <c r="Z47" s="79"/>
      <c r="AA47" s="79"/>
      <c r="AB47" s="79"/>
      <c r="AC47" s="79"/>
      <c r="AD47" s="79"/>
      <c r="AE47" s="79"/>
      <c r="AF47" s="79"/>
      <c r="AG47" s="79"/>
      <c r="AH47" s="79"/>
      <c r="AI47" s="79"/>
      <c r="AJ47" s="79"/>
      <c r="AK47" s="79"/>
      <c r="AL47" s="62"/>
      <c r="AM47" s="62"/>
      <c r="AN47" s="79"/>
      <c r="AO47" s="79"/>
      <c r="AP47" s="62"/>
      <c r="AQ47" s="62"/>
      <c r="AR47" s="107"/>
      <c r="AS47" s="79"/>
      <c r="AT47" s="79"/>
      <c r="AU47" s="62"/>
      <c r="AV47" s="62"/>
      <c r="AW47" s="107"/>
      <c r="AX47" s="63"/>
      <c r="AY47" s="62"/>
      <c r="AZ47" s="107"/>
      <c r="BA47" s="79"/>
      <c r="BB47" s="79"/>
      <c r="BC47" s="107"/>
      <c r="BD47" s="107"/>
      <c r="BE47" s="107"/>
      <c r="BF47" s="79"/>
      <c r="BG47" s="79"/>
      <c r="BH47" s="79"/>
      <c r="BI47" s="79"/>
      <c r="BJ47" s="79" t="str">
        <f>IFERROR(__xludf.DUMMYFUNCTION("AI(""Fill an appropriate value for this cell based on the table context"")"),"Not stated")</f>
        <v>Not stated</v>
      </c>
      <c r="BK47" s="79"/>
      <c r="BL47" s="79"/>
      <c r="BM47" s="79"/>
      <c r="BN47" s="79"/>
      <c r="BO47" s="107"/>
      <c r="BP47" s="107"/>
      <c r="BQ47" s="107"/>
      <c r="BR47" s="79"/>
      <c r="BS47" s="79"/>
      <c r="BT47" s="107"/>
      <c r="BU47" s="79"/>
      <c r="BV47" s="79"/>
      <c r="BW47" s="79"/>
      <c r="BX47" s="79"/>
      <c r="BY47" s="107"/>
      <c r="BZ47" s="79"/>
      <c r="CA47" s="79"/>
      <c r="CB47" s="79"/>
      <c r="CC47" s="79"/>
      <c r="CD47" s="79"/>
      <c r="CE47" s="79"/>
      <c r="CF47" s="79"/>
      <c r="CG47" s="79"/>
      <c r="CH47" s="79"/>
      <c r="CI47" s="79"/>
      <c r="CJ47" s="107"/>
      <c r="CK47" s="107"/>
      <c r="CL47" s="79"/>
      <c r="CM47" s="79"/>
      <c r="CN47" s="79"/>
      <c r="CO47" s="79"/>
      <c r="CP47" s="79"/>
      <c r="CQ47" s="79"/>
      <c r="CR47" s="79"/>
      <c r="CS47" s="43" t="s">
        <v>3843</v>
      </c>
      <c r="CT47" s="61" t="s">
        <v>3844</v>
      </c>
    </row>
    <row r="48" ht="87.75" customHeight="1">
      <c r="A48" s="87">
        <v>2022.0</v>
      </c>
      <c r="B48" s="88" t="s">
        <v>2050</v>
      </c>
      <c r="C48" s="89" t="s">
        <v>1373</v>
      </c>
      <c r="D48" s="89" t="s">
        <v>2051</v>
      </c>
      <c r="E48" s="91" t="s">
        <v>2052</v>
      </c>
      <c r="F48" s="91" t="s">
        <v>1270</v>
      </c>
      <c r="G48" s="92" t="s">
        <v>19</v>
      </c>
      <c r="H48" s="93" t="s">
        <v>27</v>
      </c>
      <c r="I48" s="95" t="s">
        <v>3358</v>
      </c>
      <c r="J48" s="95" t="s">
        <v>3359</v>
      </c>
      <c r="K48" s="93" t="s">
        <v>3378</v>
      </c>
      <c r="L48" s="106"/>
      <c r="M48" s="98"/>
      <c r="N48" s="117">
        <v>1862.0</v>
      </c>
      <c r="O48" s="98"/>
      <c r="P48" s="99"/>
      <c r="Q48" s="95" t="s">
        <v>3363</v>
      </c>
      <c r="R48" s="99"/>
      <c r="S48" s="95" t="s">
        <v>3845</v>
      </c>
      <c r="T48" s="99"/>
      <c r="U48" s="98"/>
      <c r="V48" s="118" t="s">
        <v>3846</v>
      </c>
      <c r="W48" s="99"/>
      <c r="X48" s="98"/>
      <c r="Y48" s="98"/>
      <c r="Z48" s="98"/>
      <c r="AA48" s="98"/>
      <c r="AB48" s="98"/>
      <c r="AC48" s="98"/>
      <c r="AD48" s="98"/>
      <c r="AE48" s="98"/>
      <c r="AF48" s="98"/>
      <c r="AG48" s="98"/>
      <c r="AH48" s="98"/>
      <c r="AI48" s="98"/>
      <c r="AJ48" s="98"/>
      <c r="AK48" s="98"/>
      <c r="AL48" s="99"/>
      <c r="AM48" s="99"/>
      <c r="AN48" s="98"/>
      <c r="AO48" s="98"/>
      <c r="AP48" s="99"/>
      <c r="AQ48" s="99"/>
      <c r="AR48" s="106"/>
      <c r="AS48" s="98"/>
      <c r="AT48" s="98"/>
      <c r="AU48" s="99"/>
      <c r="AV48" s="93" t="s">
        <v>3847</v>
      </c>
      <c r="AW48" s="106"/>
      <c r="AX48" s="101"/>
      <c r="AY48" s="99"/>
      <c r="AZ48" s="95" t="s">
        <v>27</v>
      </c>
      <c r="BA48" s="98"/>
      <c r="BB48" s="98"/>
      <c r="BC48" s="106"/>
      <c r="BD48" s="95" t="s">
        <v>27</v>
      </c>
      <c r="BE48" s="117" t="s">
        <v>3848</v>
      </c>
      <c r="BF48" s="98"/>
      <c r="BG48" s="97" t="s">
        <v>3849</v>
      </c>
      <c r="BH48" s="97" t="s">
        <v>3850</v>
      </c>
      <c r="BI48" s="98"/>
      <c r="BJ48" s="98" t="str">
        <f>IFERROR(__xludf.DUMMYFUNCTION("AI(""Fill an appropriate value for this cell based on the table context"")"),"No")</f>
        <v>No</v>
      </c>
      <c r="BK48" s="98"/>
      <c r="BL48" s="97" t="s">
        <v>3851</v>
      </c>
      <c r="BM48" s="98"/>
      <c r="BN48" s="98"/>
      <c r="BO48" s="106"/>
      <c r="BP48" s="106"/>
      <c r="BQ48" s="106"/>
      <c r="BR48" s="98"/>
      <c r="BS48" s="98"/>
      <c r="BT48" s="106"/>
      <c r="BU48" s="98"/>
      <c r="BV48" s="98"/>
      <c r="BW48" s="98"/>
      <c r="BX48" s="98"/>
      <c r="BY48" s="106"/>
      <c r="BZ48" s="98"/>
      <c r="CA48" s="98"/>
      <c r="CB48" s="98"/>
      <c r="CC48" s="98"/>
      <c r="CD48" s="98"/>
      <c r="CE48" s="98"/>
      <c r="CF48" s="98"/>
      <c r="CG48" s="98"/>
      <c r="CH48" s="98"/>
      <c r="CI48" s="98"/>
      <c r="CJ48" s="106"/>
      <c r="CK48" s="106"/>
      <c r="CL48" s="98"/>
      <c r="CM48" s="98"/>
      <c r="CN48" s="98"/>
      <c r="CO48" s="98"/>
      <c r="CP48" s="98"/>
      <c r="CQ48" s="98"/>
      <c r="CR48" s="98"/>
      <c r="CS48" s="97" t="s">
        <v>3852</v>
      </c>
      <c r="CT48" s="98"/>
    </row>
    <row r="49">
      <c r="A49" s="87">
        <v>2021.0</v>
      </c>
      <c r="B49" s="88" t="s">
        <v>2231</v>
      </c>
      <c r="C49" s="89" t="s">
        <v>2232</v>
      </c>
      <c r="D49" s="89" t="s">
        <v>2233</v>
      </c>
      <c r="E49" s="91" t="s">
        <v>2234</v>
      </c>
      <c r="F49" s="91" t="s">
        <v>1270</v>
      </c>
      <c r="G49" s="92" t="s">
        <v>19</v>
      </c>
      <c r="H49" s="93" t="s">
        <v>27</v>
      </c>
      <c r="I49" s="106"/>
      <c r="J49" s="106"/>
      <c r="K49" s="99"/>
      <c r="L49" s="106"/>
      <c r="M49" s="98"/>
      <c r="N49" s="98"/>
      <c r="O49" s="98"/>
      <c r="P49" s="99"/>
      <c r="Q49" s="106"/>
      <c r="R49" s="99"/>
      <c r="S49" s="106"/>
      <c r="T49" s="99"/>
      <c r="U49" s="98"/>
      <c r="V49" s="98"/>
      <c r="W49" s="99"/>
      <c r="X49" s="117" t="s">
        <v>3853</v>
      </c>
      <c r="Y49" s="98"/>
      <c r="Z49" s="98"/>
      <c r="AA49" s="98"/>
      <c r="AB49" s="98"/>
      <c r="AC49" s="97" t="s">
        <v>3854</v>
      </c>
      <c r="AD49" s="97" t="s">
        <v>3855</v>
      </c>
      <c r="AE49" s="97" t="s">
        <v>3856</v>
      </c>
      <c r="AF49" s="97" t="s">
        <v>3857</v>
      </c>
      <c r="AG49" s="98"/>
      <c r="AH49" s="117" t="s">
        <v>3858</v>
      </c>
      <c r="AI49" s="117"/>
      <c r="AJ49" s="117" t="s">
        <v>3858</v>
      </c>
      <c r="AK49" s="97" t="s">
        <v>3859</v>
      </c>
      <c r="AL49" s="99"/>
      <c r="AM49" s="93" t="s">
        <v>3860</v>
      </c>
      <c r="AN49" s="118" t="s">
        <v>3861</v>
      </c>
      <c r="AO49" s="97" t="s">
        <v>3862</v>
      </c>
      <c r="AP49" s="99"/>
      <c r="AQ49" s="99"/>
      <c r="AR49" s="106"/>
      <c r="AS49" s="98"/>
      <c r="AT49" s="98"/>
      <c r="AU49" s="99"/>
      <c r="AV49" s="99"/>
      <c r="AW49" s="106"/>
      <c r="AX49" s="101"/>
      <c r="AY49" s="99"/>
      <c r="AZ49" s="106"/>
      <c r="BA49" s="98"/>
      <c r="BB49" s="98"/>
      <c r="BC49" s="106"/>
      <c r="BD49" s="106"/>
      <c r="BE49" s="106"/>
      <c r="BF49" s="98"/>
      <c r="BG49" s="98"/>
      <c r="BH49" s="98"/>
      <c r="BI49" s="98"/>
      <c r="BJ49" s="98" t="str">
        <f>IFERROR(__xludf.DUMMYFUNCTION("AI(""Fill an appropriate value for this cell based on the table context"")"),"No")</f>
        <v>No</v>
      </c>
      <c r="BK49" s="98"/>
      <c r="BL49" s="98"/>
      <c r="BM49" s="98"/>
      <c r="BN49" s="98"/>
      <c r="BO49" s="106"/>
      <c r="BP49" s="106"/>
      <c r="BQ49" s="106"/>
      <c r="BR49" s="98"/>
      <c r="BS49" s="98"/>
      <c r="BT49" s="106"/>
      <c r="BU49" s="98"/>
      <c r="BV49" s="98"/>
      <c r="BW49" s="98"/>
      <c r="BX49" s="97" t="s">
        <v>3863</v>
      </c>
      <c r="BY49" s="106"/>
      <c r="BZ49" s="98"/>
      <c r="CA49" s="98"/>
      <c r="CB49" s="98"/>
      <c r="CC49" s="98"/>
      <c r="CD49" s="98"/>
      <c r="CE49" s="98"/>
      <c r="CF49" s="98"/>
      <c r="CG49" s="98"/>
      <c r="CH49" s="98"/>
      <c r="CI49" s="98"/>
      <c r="CJ49" s="106"/>
      <c r="CK49" s="106"/>
      <c r="CL49" s="98"/>
      <c r="CM49" s="98"/>
      <c r="CN49" s="98"/>
      <c r="CO49" s="98"/>
      <c r="CP49" s="98"/>
      <c r="CQ49" s="98"/>
      <c r="CR49" s="98"/>
      <c r="CS49" s="98"/>
      <c r="CT49" s="98"/>
    </row>
    <row r="50">
      <c r="A50" s="87">
        <v>2019.0</v>
      </c>
      <c r="B50" s="88" t="s">
        <v>2263</v>
      </c>
      <c r="C50" s="89" t="s">
        <v>1327</v>
      </c>
      <c r="D50" s="89" t="s">
        <v>2264</v>
      </c>
      <c r="E50" s="91" t="s">
        <v>2265</v>
      </c>
      <c r="F50" s="91" t="s">
        <v>1270</v>
      </c>
      <c r="G50" s="92" t="s">
        <v>19</v>
      </c>
      <c r="H50" s="93" t="s">
        <v>27</v>
      </c>
      <c r="I50" s="106"/>
      <c r="J50" s="106"/>
      <c r="K50" s="99"/>
      <c r="L50" s="106"/>
      <c r="M50" s="98"/>
      <c r="N50" s="97">
        <v>14.0</v>
      </c>
      <c r="O50" s="97" t="s">
        <v>27</v>
      </c>
      <c r="P50" s="93" t="s">
        <v>3864</v>
      </c>
      <c r="Q50" s="95" t="s">
        <v>3363</v>
      </c>
      <c r="R50" s="99"/>
      <c r="S50" s="95" t="s">
        <v>3865</v>
      </c>
      <c r="T50" s="93" t="s">
        <v>3866</v>
      </c>
      <c r="U50" s="117" t="s">
        <v>3867</v>
      </c>
      <c r="V50" s="97" t="s">
        <v>3868</v>
      </c>
      <c r="W50" s="99"/>
      <c r="X50" s="97" t="s">
        <v>3869</v>
      </c>
      <c r="Y50" s="98"/>
      <c r="Z50" s="98"/>
      <c r="AA50" s="98"/>
      <c r="AB50" s="98"/>
      <c r="AC50" s="98"/>
      <c r="AD50" s="98"/>
      <c r="AE50" s="98"/>
      <c r="AF50" s="98"/>
      <c r="AG50" s="98"/>
      <c r="AH50" s="98"/>
      <c r="AI50" s="98"/>
      <c r="AJ50" s="98"/>
      <c r="AK50" s="97" t="s">
        <v>3870</v>
      </c>
      <c r="AL50" s="99"/>
      <c r="AM50" s="99"/>
      <c r="AN50" s="97" t="s">
        <v>3871</v>
      </c>
      <c r="AO50" s="97" t="s">
        <v>3872</v>
      </c>
      <c r="AP50" s="99"/>
      <c r="AQ50" s="99"/>
      <c r="AR50" s="106"/>
      <c r="AS50" s="98"/>
      <c r="AT50" s="98"/>
      <c r="AU50" s="99"/>
      <c r="AV50" s="99"/>
      <c r="AW50" s="106"/>
      <c r="AX50" s="101"/>
      <c r="AY50" s="99"/>
      <c r="AZ50" s="106"/>
      <c r="BA50" s="98"/>
      <c r="BB50" s="98"/>
      <c r="BC50" s="106"/>
      <c r="BD50" s="95" t="s">
        <v>3512</v>
      </c>
      <c r="BE50" s="95" t="s">
        <v>3873</v>
      </c>
      <c r="BF50" s="97" t="s">
        <v>3874</v>
      </c>
      <c r="BG50" s="97" t="s">
        <v>3875</v>
      </c>
      <c r="BH50" s="98"/>
      <c r="BI50" s="97" t="s">
        <v>3876</v>
      </c>
      <c r="BJ50" s="97" t="s">
        <v>3877</v>
      </c>
      <c r="BK50" s="97" t="s">
        <v>3878</v>
      </c>
      <c r="BL50" s="97" t="s">
        <v>3878</v>
      </c>
      <c r="BM50" s="98"/>
      <c r="BN50" s="98"/>
      <c r="BO50" s="106"/>
      <c r="BP50" s="106"/>
      <c r="BQ50" s="106"/>
      <c r="BR50" s="98"/>
      <c r="BS50" s="98"/>
      <c r="BT50" s="106"/>
      <c r="BU50" s="98"/>
      <c r="BV50" s="98"/>
      <c r="BW50" s="98"/>
      <c r="BX50" s="97" t="s">
        <v>3879</v>
      </c>
      <c r="BY50" s="106"/>
      <c r="BZ50" s="98"/>
      <c r="CA50" s="97" t="s">
        <v>3880</v>
      </c>
      <c r="CB50" s="98"/>
      <c r="CC50" s="98"/>
      <c r="CD50" s="98"/>
      <c r="CE50" s="98"/>
      <c r="CF50" s="98"/>
      <c r="CG50" s="98"/>
      <c r="CH50" s="98"/>
      <c r="CI50" s="98"/>
      <c r="CJ50" s="106"/>
      <c r="CK50" s="106"/>
      <c r="CL50" s="98"/>
      <c r="CM50" s="98"/>
      <c r="CN50" s="98"/>
      <c r="CO50" s="98"/>
      <c r="CP50" s="98"/>
      <c r="CQ50" s="98"/>
      <c r="CR50" s="98"/>
      <c r="CS50" s="98"/>
      <c r="CT50" s="98"/>
    </row>
    <row r="51">
      <c r="A51" s="87">
        <v>2019.0</v>
      </c>
      <c r="B51" s="88" t="s">
        <v>2406</v>
      </c>
      <c r="C51" s="89" t="s">
        <v>2407</v>
      </c>
      <c r="D51" s="89" t="s">
        <v>2408</v>
      </c>
      <c r="E51" s="91" t="s">
        <v>2409</v>
      </c>
      <c r="F51" s="91" t="s">
        <v>1270</v>
      </c>
      <c r="G51" s="92" t="s">
        <v>19</v>
      </c>
      <c r="H51" s="93" t="s">
        <v>27</v>
      </c>
      <c r="I51" s="94" t="s">
        <v>3358</v>
      </c>
      <c r="J51" s="95" t="s">
        <v>3359</v>
      </c>
      <c r="K51" s="99"/>
      <c r="L51" s="94" t="s">
        <v>3748</v>
      </c>
      <c r="M51" s="96" t="s">
        <v>3380</v>
      </c>
      <c r="N51" s="97" t="s">
        <v>3881</v>
      </c>
      <c r="O51" s="98"/>
      <c r="P51" s="93" t="s">
        <v>3882</v>
      </c>
      <c r="Q51" s="94" t="s">
        <v>3363</v>
      </c>
      <c r="R51" s="99"/>
      <c r="S51" s="94" t="s">
        <v>3883</v>
      </c>
      <c r="T51" s="99"/>
      <c r="U51" s="96"/>
      <c r="V51" s="96" t="s">
        <v>3884</v>
      </c>
      <c r="W51" s="99"/>
      <c r="X51" s="96" t="s">
        <v>3885</v>
      </c>
      <c r="Y51" s="96"/>
      <c r="Z51" s="98"/>
      <c r="AA51" s="98"/>
      <c r="AB51" s="98"/>
      <c r="AC51" s="98"/>
      <c r="AD51" s="98"/>
      <c r="AE51" s="98"/>
      <c r="AF51" s="98"/>
      <c r="AG51" s="98"/>
      <c r="AH51" s="98"/>
      <c r="AI51" s="98"/>
      <c r="AJ51" s="98"/>
      <c r="AK51" s="96" t="s">
        <v>3886</v>
      </c>
      <c r="AL51" s="99"/>
      <c r="AM51" s="99"/>
      <c r="AN51" s="96" t="s">
        <v>3745</v>
      </c>
      <c r="AO51" s="96"/>
      <c r="AP51" s="99"/>
      <c r="AQ51" s="99"/>
      <c r="AR51" s="95" t="s">
        <v>27</v>
      </c>
      <c r="AS51" s="96" t="s">
        <v>3370</v>
      </c>
      <c r="AT51" s="96" t="s">
        <v>3371</v>
      </c>
      <c r="AU51" s="99"/>
      <c r="AV51" s="99"/>
      <c r="AW51" s="94" t="s">
        <v>3372</v>
      </c>
      <c r="AX51" s="101"/>
      <c r="AY51" s="99"/>
      <c r="AZ51" s="95"/>
      <c r="BA51" s="97"/>
      <c r="BB51" s="97"/>
      <c r="BC51" s="95"/>
      <c r="BD51" s="95" t="s">
        <v>27</v>
      </c>
      <c r="BE51" s="95" t="s">
        <v>3362</v>
      </c>
      <c r="BF51" s="97" t="s">
        <v>3362</v>
      </c>
      <c r="BG51" s="97"/>
      <c r="BH51" s="97"/>
      <c r="BI51" s="97" t="s">
        <v>3362</v>
      </c>
      <c r="BJ51" s="97" t="s">
        <v>3887</v>
      </c>
      <c r="BK51" s="97"/>
      <c r="BL51" s="97"/>
      <c r="BM51" s="97" t="s">
        <v>27</v>
      </c>
      <c r="BN51" s="97"/>
      <c r="BO51" s="95"/>
      <c r="BP51" s="95" t="s">
        <v>20</v>
      </c>
      <c r="BQ51" s="95"/>
      <c r="BR51" s="97"/>
      <c r="BS51" s="97"/>
      <c r="BT51" s="95"/>
      <c r="BU51" s="97"/>
      <c r="BV51" s="97"/>
      <c r="BW51" s="97"/>
      <c r="BX51" s="97"/>
      <c r="BY51" s="95"/>
      <c r="BZ51" s="97" t="s">
        <v>3888</v>
      </c>
      <c r="CA51" s="97" t="s">
        <v>3889</v>
      </c>
      <c r="CB51" s="97"/>
      <c r="CC51" s="97"/>
      <c r="CD51" s="97" t="s">
        <v>3890</v>
      </c>
      <c r="CE51" s="97"/>
      <c r="CF51" s="97"/>
      <c r="CG51" s="97"/>
      <c r="CH51" s="97"/>
      <c r="CI51" s="97"/>
      <c r="CJ51" s="95"/>
      <c r="CK51" s="95"/>
      <c r="CL51" s="97"/>
      <c r="CM51" s="97"/>
      <c r="CN51" s="97"/>
      <c r="CO51" s="97"/>
      <c r="CP51" s="97"/>
      <c r="CQ51" s="97"/>
      <c r="CR51" s="97"/>
      <c r="CS51" s="97"/>
      <c r="CT51" s="97"/>
    </row>
    <row r="52">
      <c r="A52" s="52">
        <v>2021.0</v>
      </c>
      <c r="B52" s="53" t="s">
        <v>2454</v>
      </c>
      <c r="C52" s="54" t="s">
        <v>1404</v>
      </c>
      <c r="D52" s="54" t="s">
        <v>2455</v>
      </c>
      <c r="E52" s="57" t="s">
        <v>2456</v>
      </c>
      <c r="F52" s="57" t="s">
        <v>1270</v>
      </c>
      <c r="G52" s="56" t="s">
        <v>19</v>
      </c>
      <c r="H52" s="58" t="s">
        <v>27</v>
      </c>
      <c r="I52" s="78" t="s">
        <v>3358</v>
      </c>
      <c r="J52" s="59" t="s">
        <v>3359</v>
      </c>
      <c r="K52" s="62"/>
      <c r="L52" s="78" t="s">
        <v>3891</v>
      </c>
      <c r="M52" s="60" t="s">
        <v>3432</v>
      </c>
      <c r="N52" s="79"/>
      <c r="O52" s="79"/>
      <c r="P52" s="62"/>
      <c r="Q52" s="78" t="s">
        <v>3892</v>
      </c>
      <c r="R52" s="62"/>
      <c r="S52" s="78" t="s">
        <v>3361</v>
      </c>
      <c r="T52" s="62"/>
      <c r="U52" s="60"/>
      <c r="V52" s="60" t="s">
        <v>3368</v>
      </c>
      <c r="W52" s="62"/>
      <c r="X52" s="60" t="s">
        <v>3404</v>
      </c>
      <c r="Y52" s="60"/>
      <c r="Z52" s="79"/>
      <c r="AA52" s="79"/>
      <c r="AB52" s="79"/>
      <c r="AC52" s="79"/>
      <c r="AD52" s="79"/>
      <c r="AE52" s="79"/>
      <c r="AF52" s="79"/>
      <c r="AG52" s="79"/>
      <c r="AH52" s="79"/>
      <c r="AI52" s="79"/>
      <c r="AJ52" s="79"/>
      <c r="AK52" s="60" t="s">
        <v>3369</v>
      </c>
      <c r="AL52" s="62"/>
      <c r="AM52" s="62"/>
      <c r="AN52" s="60" t="s">
        <v>3564</v>
      </c>
      <c r="AO52" s="60"/>
      <c r="AP52" s="62"/>
      <c r="AQ52" s="62"/>
      <c r="AR52" s="59" t="s">
        <v>27</v>
      </c>
      <c r="AS52" s="60" t="s">
        <v>3893</v>
      </c>
      <c r="AT52" s="60" t="s">
        <v>3371</v>
      </c>
      <c r="AU52" s="62"/>
      <c r="AV52" s="62"/>
      <c r="AW52" s="78" t="s">
        <v>3406</v>
      </c>
      <c r="AX52" s="63"/>
      <c r="AY52" s="62"/>
      <c r="AZ52" s="59"/>
      <c r="BA52" s="61"/>
      <c r="BB52" s="61"/>
      <c r="BC52" s="59"/>
      <c r="BD52" s="59" t="s">
        <v>27</v>
      </c>
      <c r="BE52" s="59" t="s">
        <v>3362</v>
      </c>
      <c r="BF52" s="61" t="s">
        <v>3894</v>
      </c>
      <c r="BG52" s="61"/>
      <c r="BH52" s="61"/>
      <c r="BI52" s="61" t="s">
        <v>3895</v>
      </c>
      <c r="BJ52" s="61" t="s">
        <v>3896</v>
      </c>
      <c r="BK52" s="61"/>
      <c r="BL52" s="61"/>
      <c r="BM52" s="61" t="s">
        <v>20</v>
      </c>
      <c r="BN52" s="61"/>
      <c r="BO52" s="59"/>
      <c r="BP52" s="59" t="s">
        <v>20</v>
      </c>
      <c r="BQ52" s="59"/>
      <c r="BR52" s="61"/>
      <c r="BS52" s="61"/>
      <c r="BT52" s="59"/>
      <c r="BU52" s="61"/>
      <c r="BV52" s="61"/>
      <c r="BW52" s="61"/>
      <c r="BX52" s="61"/>
      <c r="BY52" s="59"/>
      <c r="BZ52" s="61"/>
      <c r="CA52" s="61"/>
      <c r="CB52" s="61"/>
      <c r="CC52" s="61"/>
      <c r="CD52" s="61"/>
      <c r="CE52" s="61"/>
      <c r="CF52" s="61"/>
      <c r="CG52" s="61"/>
      <c r="CH52" s="61"/>
      <c r="CI52" s="61"/>
      <c r="CJ52" s="59"/>
      <c r="CK52" s="59"/>
      <c r="CL52" s="61"/>
      <c r="CM52" s="61"/>
      <c r="CN52" s="61"/>
      <c r="CO52" s="61"/>
      <c r="CP52" s="61"/>
      <c r="CQ52" s="61"/>
      <c r="CR52" s="61"/>
      <c r="CS52" s="61"/>
      <c r="CT52" s="61"/>
    </row>
    <row r="53">
      <c r="A53" s="52">
        <v>2021.0</v>
      </c>
      <c r="B53" s="53" t="s">
        <v>3138</v>
      </c>
      <c r="C53" s="54" t="s">
        <v>3139</v>
      </c>
      <c r="D53" s="54" t="s">
        <v>3140</v>
      </c>
      <c r="E53" s="57" t="s">
        <v>3141</v>
      </c>
      <c r="F53" s="57" t="s">
        <v>1348</v>
      </c>
      <c r="G53" s="56" t="s">
        <v>19</v>
      </c>
      <c r="H53" s="58" t="s">
        <v>27</v>
      </c>
      <c r="I53" s="78" t="s">
        <v>3358</v>
      </c>
      <c r="J53" s="59" t="s">
        <v>3359</v>
      </c>
      <c r="K53" s="62"/>
      <c r="L53" s="78" t="s">
        <v>3412</v>
      </c>
      <c r="M53" s="60" t="s">
        <v>3897</v>
      </c>
      <c r="N53" s="79"/>
      <c r="O53" s="79"/>
      <c r="P53" s="62"/>
      <c r="Q53" s="78" t="s">
        <v>3363</v>
      </c>
      <c r="R53" s="62"/>
      <c r="S53" s="78" t="s">
        <v>3731</v>
      </c>
      <c r="T53" s="62"/>
      <c r="U53" s="60"/>
      <c r="V53" s="60" t="s">
        <v>3898</v>
      </c>
      <c r="W53" s="62"/>
      <c r="X53" s="61" t="s">
        <v>3899</v>
      </c>
      <c r="Y53" s="61"/>
      <c r="Z53" s="79"/>
      <c r="AA53" s="79"/>
      <c r="AB53" s="79"/>
      <c r="AC53" s="79"/>
      <c r="AD53" s="79"/>
      <c r="AE53" s="79"/>
      <c r="AF53" s="79"/>
      <c r="AG53" s="79"/>
      <c r="AH53" s="79"/>
      <c r="AI53" s="79"/>
      <c r="AJ53" s="79"/>
      <c r="AK53" s="79"/>
      <c r="AL53" s="62"/>
      <c r="AM53" s="62"/>
      <c r="AN53" s="60" t="s">
        <v>3369</v>
      </c>
      <c r="AO53" s="60"/>
      <c r="AP53" s="62"/>
      <c r="AQ53" s="62"/>
      <c r="AR53" s="107"/>
      <c r="AS53" s="79"/>
      <c r="AT53" s="79"/>
      <c r="AU53" s="62"/>
      <c r="AV53" s="62"/>
      <c r="AW53" s="107"/>
      <c r="AX53" s="63"/>
      <c r="AY53" s="62"/>
      <c r="AZ53" s="78" t="s">
        <v>27</v>
      </c>
      <c r="BA53" s="61" t="s">
        <v>3900</v>
      </c>
      <c r="BB53" s="61"/>
      <c r="BC53" s="59" t="s">
        <v>3901</v>
      </c>
      <c r="BD53" s="59" t="s">
        <v>27</v>
      </c>
      <c r="BE53" s="107"/>
      <c r="BF53" s="79"/>
      <c r="BG53" s="79"/>
      <c r="BH53" s="79"/>
      <c r="BI53" s="79"/>
      <c r="BJ53" s="79"/>
      <c r="BK53" s="79"/>
      <c r="BL53" s="79"/>
      <c r="BM53" s="79"/>
      <c r="BN53" s="79"/>
      <c r="BO53" s="107"/>
      <c r="BP53" s="107"/>
      <c r="BQ53" s="59" t="s">
        <v>27</v>
      </c>
      <c r="BR53" s="61" t="s">
        <v>3902</v>
      </c>
      <c r="BS53" s="61"/>
      <c r="BT53" s="59"/>
      <c r="BU53" s="61"/>
      <c r="BV53" s="61"/>
      <c r="BW53" s="61"/>
      <c r="BX53" s="61"/>
      <c r="BY53" s="59"/>
      <c r="BZ53" s="61"/>
      <c r="CA53" s="61"/>
      <c r="CB53" s="61"/>
      <c r="CC53" s="61"/>
      <c r="CD53" s="61"/>
      <c r="CE53" s="61"/>
      <c r="CF53" s="61"/>
      <c r="CG53" s="61"/>
      <c r="CH53" s="61"/>
      <c r="CI53" s="61"/>
      <c r="CJ53" s="59"/>
      <c r="CK53" s="59"/>
      <c r="CL53" s="61"/>
      <c r="CM53" s="61"/>
      <c r="CN53" s="61"/>
      <c r="CO53" s="61"/>
      <c r="CP53" s="61"/>
      <c r="CQ53" s="61"/>
      <c r="CR53" s="61"/>
      <c r="CS53" s="61"/>
      <c r="CT53" s="61"/>
    </row>
    <row r="54">
      <c r="A54" s="52">
        <v>2022.0</v>
      </c>
      <c r="B54" s="53" t="s">
        <v>3154</v>
      </c>
      <c r="C54" s="54" t="s">
        <v>3155</v>
      </c>
      <c r="D54" s="53" t="s">
        <v>3156</v>
      </c>
      <c r="E54" s="57" t="s">
        <v>3157</v>
      </c>
      <c r="F54" s="57" t="s">
        <v>1348</v>
      </c>
      <c r="G54" s="56" t="s">
        <v>19</v>
      </c>
      <c r="H54" s="58" t="s">
        <v>27</v>
      </c>
      <c r="I54" s="59" t="s">
        <v>3358</v>
      </c>
      <c r="J54" s="59" t="s">
        <v>3359</v>
      </c>
      <c r="K54" s="58" t="s">
        <v>3378</v>
      </c>
      <c r="L54" s="59" t="s">
        <v>3903</v>
      </c>
      <c r="M54" s="79"/>
      <c r="N54" s="79"/>
      <c r="O54" s="79"/>
      <c r="P54" s="62"/>
      <c r="Q54" s="59" t="s">
        <v>3363</v>
      </c>
      <c r="R54" s="62"/>
      <c r="S54" s="59" t="s">
        <v>3731</v>
      </c>
      <c r="T54" s="62"/>
      <c r="U54" s="61"/>
      <c r="V54" s="61" t="s">
        <v>3904</v>
      </c>
      <c r="W54" s="58" t="s">
        <v>3378</v>
      </c>
      <c r="X54" s="79"/>
      <c r="Y54" s="79"/>
      <c r="Z54" s="79"/>
      <c r="AA54" s="79"/>
      <c r="AB54" s="79"/>
      <c r="AC54" s="79"/>
      <c r="AD54" s="79"/>
      <c r="AE54" s="79"/>
      <c r="AF54" s="79"/>
      <c r="AG54" s="79"/>
      <c r="AH54" s="79"/>
      <c r="AI54" s="79"/>
      <c r="AJ54" s="79"/>
      <c r="AK54" s="79"/>
      <c r="AL54" s="62"/>
      <c r="AM54" s="62"/>
      <c r="AN54" s="79"/>
      <c r="AO54" s="79"/>
      <c r="AP54" s="62"/>
      <c r="AQ54" s="62"/>
      <c r="AR54" s="107"/>
      <c r="AS54" s="79"/>
      <c r="AT54" s="79"/>
      <c r="AU54" s="62"/>
      <c r="AV54" s="62"/>
      <c r="AW54" s="107"/>
      <c r="AX54" s="63"/>
      <c r="AY54" s="62"/>
      <c r="AZ54" s="107"/>
      <c r="BA54" s="79"/>
      <c r="BB54" s="79"/>
      <c r="BC54" s="107"/>
      <c r="BD54" s="59" t="s">
        <v>3512</v>
      </c>
      <c r="BE54" s="59" t="s">
        <v>3905</v>
      </c>
      <c r="BF54" s="79"/>
      <c r="BG54" s="79"/>
      <c r="BH54" s="79"/>
      <c r="BI54" s="79"/>
      <c r="BJ54" s="119" t="s">
        <v>3906</v>
      </c>
      <c r="BK54" s="119"/>
      <c r="BL54" s="119"/>
      <c r="BM54" s="79"/>
      <c r="BN54" s="79"/>
      <c r="BO54" s="107"/>
      <c r="BP54" s="107"/>
      <c r="BQ54" s="107"/>
      <c r="BR54" s="79"/>
      <c r="BS54" s="79"/>
      <c r="BT54" s="107"/>
      <c r="BU54" s="79"/>
      <c r="BV54" s="79"/>
      <c r="BW54" s="79"/>
      <c r="BX54" s="79"/>
      <c r="BY54" s="107"/>
      <c r="BZ54" s="79"/>
      <c r="CA54" s="79"/>
      <c r="CB54" s="79"/>
      <c r="CC54" s="79"/>
      <c r="CD54" s="79"/>
      <c r="CE54" s="79"/>
      <c r="CF54" s="79"/>
      <c r="CG54" s="79"/>
      <c r="CH54" s="79"/>
      <c r="CI54" s="79"/>
      <c r="CJ54" s="107"/>
      <c r="CK54" s="107"/>
      <c r="CL54" s="79"/>
      <c r="CM54" s="79"/>
      <c r="CN54" s="79"/>
      <c r="CO54" s="79"/>
      <c r="CP54" s="79"/>
      <c r="CQ54" s="79"/>
      <c r="CR54" s="79"/>
      <c r="CS54" s="79"/>
      <c r="CT54" s="61" t="s">
        <v>3907</v>
      </c>
    </row>
    <row r="55">
      <c r="A55" s="52">
        <v>2024.0</v>
      </c>
      <c r="B55" s="53" t="s">
        <v>3253</v>
      </c>
      <c r="C55" s="54" t="s">
        <v>3254</v>
      </c>
      <c r="D55" s="54" t="s">
        <v>3255</v>
      </c>
      <c r="E55" s="57" t="s">
        <v>3256</v>
      </c>
      <c r="F55" s="57" t="s">
        <v>1348</v>
      </c>
      <c r="G55" s="56" t="s">
        <v>19</v>
      </c>
      <c r="H55" s="58" t="s">
        <v>27</v>
      </c>
      <c r="I55" s="107"/>
      <c r="J55" s="107"/>
      <c r="K55" s="62"/>
      <c r="L55" s="107"/>
      <c r="M55" s="79"/>
      <c r="N55" s="79"/>
      <c r="O55" s="79"/>
      <c r="P55" s="62"/>
      <c r="Q55" s="107"/>
      <c r="R55" s="62"/>
      <c r="S55" s="107"/>
      <c r="T55" s="62"/>
      <c r="U55" s="79"/>
      <c r="V55" s="79"/>
      <c r="W55" s="62"/>
      <c r="X55" s="79"/>
      <c r="Y55" s="79"/>
      <c r="Z55" s="79"/>
      <c r="AA55" s="79"/>
      <c r="AB55" s="79"/>
      <c r="AC55" s="79"/>
      <c r="AD55" s="79"/>
      <c r="AE55" s="79"/>
      <c r="AF55" s="79"/>
      <c r="AG55" s="79"/>
      <c r="AH55" s="79"/>
      <c r="AI55" s="79"/>
      <c r="AJ55" s="79"/>
      <c r="AK55" s="79"/>
      <c r="AL55" s="62"/>
      <c r="AM55" s="62"/>
      <c r="AN55" s="79"/>
      <c r="AO55" s="79"/>
      <c r="AP55" s="62"/>
      <c r="AQ55" s="62"/>
      <c r="AR55" s="107"/>
      <c r="AS55" s="79"/>
      <c r="AT55" s="79"/>
      <c r="AU55" s="62"/>
      <c r="AV55" s="62"/>
      <c r="AW55" s="107"/>
      <c r="AX55" s="63"/>
      <c r="AY55" s="62"/>
      <c r="AZ55" s="107"/>
      <c r="BA55" s="79"/>
      <c r="BB55" s="79"/>
      <c r="BC55" s="107"/>
      <c r="BD55" s="107"/>
      <c r="BE55" s="107"/>
      <c r="BF55" s="79"/>
      <c r="BG55" s="79"/>
      <c r="BH55" s="79"/>
      <c r="BI55" s="79"/>
      <c r="BJ55" s="79"/>
      <c r="BK55" s="79"/>
      <c r="BL55" s="79"/>
      <c r="BM55" s="79"/>
      <c r="BN55" s="79"/>
      <c r="BO55" s="107"/>
      <c r="BP55" s="107"/>
      <c r="BQ55" s="107"/>
      <c r="BR55" s="79"/>
      <c r="BS55" s="79"/>
      <c r="BT55" s="107"/>
      <c r="BU55" s="79"/>
      <c r="BV55" s="79"/>
      <c r="BW55" s="79"/>
      <c r="BX55" s="79"/>
      <c r="BY55" s="107"/>
      <c r="BZ55" s="79"/>
      <c r="CA55" s="79"/>
      <c r="CB55" s="79"/>
      <c r="CC55" s="79"/>
      <c r="CD55" s="79"/>
      <c r="CE55" s="79"/>
      <c r="CF55" s="79"/>
      <c r="CG55" s="79"/>
      <c r="CH55" s="79"/>
      <c r="CI55" s="79"/>
      <c r="CJ55" s="107"/>
      <c r="CK55" s="107"/>
      <c r="CL55" s="79"/>
      <c r="CM55" s="79"/>
      <c r="CN55" s="79"/>
      <c r="CO55" s="79"/>
      <c r="CP55" s="79"/>
      <c r="CQ55" s="79"/>
      <c r="CR55" s="79"/>
      <c r="CS55" s="79"/>
      <c r="CT55" s="61" t="s">
        <v>3908</v>
      </c>
    </row>
    <row r="56">
      <c r="A56" s="120"/>
      <c r="B56" s="121"/>
      <c r="C56" s="121"/>
      <c r="D56" s="121"/>
      <c r="E56" s="120"/>
      <c r="F56" s="120"/>
      <c r="G56" s="120"/>
      <c r="H56" s="121"/>
      <c r="I56" s="120"/>
      <c r="J56" s="120"/>
      <c r="K56" s="121"/>
      <c r="L56" s="120"/>
      <c r="M56" s="121"/>
      <c r="N56" s="121"/>
      <c r="O56" s="121"/>
      <c r="P56" s="121"/>
      <c r="Q56" s="120"/>
      <c r="R56" s="121"/>
      <c r="S56" s="120"/>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0"/>
      <c r="AS56" s="121"/>
      <c r="AT56" s="121"/>
      <c r="AU56" s="121"/>
      <c r="AV56" s="121"/>
      <c r="AW56" s="120"/>
      <c r="AX56" s="120"/>
      <c r="AY56" s="121"/>
      <c r="AZ56" s="120"/>
      <c r="BA56" s="121"/>
      <c r="BB56" s="121"/>
      <c r="BC56" s="120"/>
      <c r="BD56" s="120"/>
      <c r="BE56" s="120"/>
      <c r="BF56" s="121"/>
      <c r="BG56" s="121"/>
      <c r="BH56" s="121"/>
      <c r="BI56" s="121"/>
      <c r="BJ56" s="121"/>
      <c r="BK56" s="121"/>
      <c r="BL56" s="121"/>
      <c r="BM56" s="121"/>
      <c r="BN56" s="121"/>
      <c r="BO56" s="120"/>
      <c r="BP56" s="120"/>
      <c r="BQ56" s="120"/>
      <c r="BR56" s="121"/>
      <c r="BS56" s="121"/>
      <c r="BT56" s="120"/>
      <c r="BU56" s="121"/>
      <c r="BV56" s="121"/>
      <c r="BW56" s="121"/>
      <c r="BX56" s="121"/>
      <c r="BY56" s="120"/>
      <c r="BZ56" s="121"/>
      <c r="CA56" s="121"/>
      <c r="CB56" s="121"/>
      <c r="CC56" s="121"/>
      <c r="CD56" s="121"/>
      <c r="CE56" s="121"/>
      <c r="CF56" s="121"/>
      <c r="CG56" s="121"/>
      <c r="CH56" s="121"/>
      <c r="CI56" s="121"/>
      <c r="CJ56" s="120"/>
      <c r="CK56" s="120"/>
      <c r="CL56" s="121"/>
      <c r="CM56" s="121"/>
      <c r="CN56" s="121"/>
      <c r="CO56" s="121"/>
      <c r="CP56" s="121"/>
      <c r="CQ56" s="121"/>
      <c r="CR56" s="121"/>
      <c r="CS56" s="121"/>
      <c r="CT56" s="121"/>
    </row>
    <row r="57">
      <c r="A57" s="120"/>
      <c r="B57" s="121"/>
      <c r="C57" s="121"/>
      <c r="D57" s="121"/>
      <c r="E57" s="120"/>
      <c r="F57" s="120"/>
      <c r="G57" s="120"/>
      <c r="H57" s="121"/>
      <c r="I57" s="120"/>
      <c r="J57" s="120"/>
      <c r="K57" s="121"/>
      <c r="L57" s="120"/>
      <c r="M57" s="121"/>
      <c r="N57" s="121"/>
      <c r="O57" s="121"/>
      <c r="P57" s="121"/>
      <c r="Q57" s="120"/>
      <c r="R57" s="121"/>
      <c r="S57" s="120"/>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0"/>
      <c r="AS57" s="121"/>
      <c r="AT57" s="121"/>
      <c r="AU57" s="121"/>
      <c r="AV57" s="121"/>
      <c r="AW57" s="120"/>
      <c r="AX57" s="120"/>
      <c r="AY57" s="121"/>
      <c r="AZ57" s="120"/>
      <c r="BA57" s="121"/>
      <c r="BB57" s="121"/>
      <c r="BC57" s="120"/>
      <c r="BD57" s="120"/>
      <c r="BE57" s="120"/>
      <c r="BF57" s="121"/>
      <c r="BG57" s="121"/>
      <c r="BH57" s="121"/>
      <c r="BI57" s="121"/>
      <c r="BJ57" s="121"/>
      <c r="BK57" s="121"/>
      <c r="BL57" s="121"/>
      <c r="BM57" s="121"/>
      <c r="BN57" s="121"/>
      <c r="BO57" s="120"/>
      <c r="BP57" s="120"/>
      <c r="BQ57" s="120"/>
      <c r="BR57" s="121"/>
      <c r="BS57" s="121"/>
      <c r="BT57" s="120"/>
      <c r="BU57" s="121"/>
      <c r="BV57" s="121"/>
      <c r="BW57" s="121"/>
      <c r="BX57" s="121"/>
      <c r="BY57" s="120"/>
      <c r="BZ57" s="121"/>
      <c r="CA57" s="121"/>
      <c r="CB57" s="121"/>
      <c r="CC57" s="121"/>
      <c r="CD57" s="121"/>
      <c r="CE57" s="121"/>
      <c r="CF57" s="121"/>
      <c r="CG57" s="121"/>
      <c r="CH57" s="121"/>
      <c r="CI57" s="121"/>
      <c r="CJ57" s="120"/>
      <c r="CK57" s="120"/>
      <c r="CL57" s="121"/>
      <c r="CM57" s="121"/>
      <c r="CN57" s="121"/>
      <c r="CO57" s="121"/>
      <c r="CP57" s="121"/>
      <c r="CQ57" s="121"/>
      <c r="CR57" s="121"/>
      <c r="CS57" s="121"/>
      <c r="CT57" s="121"/>
    </row>
    <row r="58">
      <c r="A58" s="120"/>
      <c r="B58" s="121"/>
      <c r="C58" s="121"/>
      <c r="D58" s="121"/>
      <c r="E58" s="120"/>
      <c r="F58" s="120"/>
      <c r="G58" s="120"/>
      <c r="H58" s="121"/>
      <c r="I58" s="120"/>
      <c r="J58" s="120"/>
      <c r="K58" s="121"/>
      <c r="L58" s="120"/>
      <c r="M58" s="121"/>
      <c r="N58" s="121"/>
      <c r="O58" s="121"/>
      <c r="P58" s="121"/>
      <c r="Q58" s="120"/>
      <c r="R58" s="121"/>
      <c r="S58" s="120"/>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0"/>
      <c r="AS58" s="121"/>
      <c r="AT58" s="121"/>
      <c r="AU58" s="121"/>
      <c r="AV58" s="121"/>
      <c r="AW58" s="120"/>
      <c r="AX58" s="120"/>
      <c r="AY58" s="121"/>
      <c r="AZ58" s="120"/>
      <c r="BA58" s="121"/>
      <c r="BB58" s="121"/>
      <c r="BC58" s="120"/>
      <c r="BD58" s="120"/>
      <c r="BE58" s="120"/>
      <c r="BF58" s="121"/>
      <c r="BG58" s="121"/>
      <c r="BH58" s="121"/>
      <c r="BI58" s="121"/>
      <c r="BJ58" s="121"/>
      <c r="BK58" s="121"/>
      <c r="BL58" s="121"/>
      <c r="BM58" s="121"/>
      <c r="BN58" s="121"/>
      <c r="BO58" s="120"/>
      <c r="BP58" s="120"/>
      <c r="BQ58" s="120"/>
      <c r="BR58" s="121"/>
      <c r="BS58" s="121"/>
      <c r="BT58" s="120"/>
      <c r="BU58" s="121"/>
      <c r="BV58" s="121"/>
      <c r="BW58" s="121"/>
      <c r="BX58" s="121"/>
      <c r="BY58" s="120"/>
      <c r="BZ58" s="121"/>
      <c r="CA58" s="121"/>
      <c r="CB58" s="121"/>
      <c r="CC58" s="121"/>
      <c r="CD58" s="121"/>
      <c r="CE58" s="121"/>
      <c r="CF58" s="121"/>
      <c r="CG58" s="121"/>
      <c r="CH58" s="121"/>
      <c r="CI58" s="121"/>
      <c r="CJ58" s="120"/>
      <c r="CK58" s="120"/>
      <c r="CL58" s="121"/>
      <c r="CM58" s="121"/>
      <c r="CN58" s="121"/>
      <c r="CO58" s="121"/>
      <c r="CP58" s="121"/>
      <c r="CQ58" s="121"/>
      <c r="CR58" s="121"/>
      <c r="CS58" s="121"/>
      <c r="CT58" s="121"/>
    </row>
    <row r="59">
      <c r="A59" s="120"/>
      <c r="B59" s="121"/>
      <c r="C59" s="121"/>
      <c r="D59" s="121"/>
      <c r="E59" s="120"/>
      <c r="F59" s="120"/>
      <c r="G59" s="120"/>
      <c r="H59" s="121"/>
      <c r="I59" s="120"/>
      <c r="J59" s="120"/>
      <c r="K59" s="121"/>
      <c r="L59" s="120"/>
      <c r="M59" s="121"/>
      <c r="N59" s="121"/>
      <c r="O59" s="121"/>
      <c r="P59" s="121"/>
      <c r="Q59" s="120"/>
      <c r="R59" s="121"/>
      <c r="S59" s="120"/>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0"/>
      <c r="AS59" s="121"/>
      <c r="AT59" s="121"/>
      <c r="AU59" s="121"/>
      <c r="AV59" s="121"/>
      <c r="AW59" s="120"/>
      <c r="AX59" s="120"/>
      <c r="AY59" s="121"/>
      <c r="AZ59" s="120"/>
      <c r="BA59" s="121"/>
      <c r="BB59" s="121"/>
      <c r="BC59" s="120"/>
      <c r="BD59" s="120"/>
      <c r="BE59" s="120"/>
      <c r="BF59" s="121"/>
      <c r="BG59" s="121"/>
      <c r="BH59" s="121"/>
      <c r="BI59" s="121"/>
      <c r="BJ59" s="121"/>
      <c r="BK59" s="121"/>
      <c r="BL59" s="121"/>
      <c r="BM59" s="121"/>
      <c r="BN59" s="121"/>
      <c r="BO59" s="120"/>
      <c r="BP59" s="120"/>
      <c r="BQ59" s="120"/>
      <c r="BR59" s="121"/>
      <c r="BS59" s="121"/>
      <c r="BT59" s="120"/>
      <c r="BU59" s="121"/>
      <c r="BV59" s="121"/>
      <c r="BW59" s="121"/>
      <c r="BX59" s="121"/>
      <c r="BY59" s="120"/>
      <c r="BZ59" s="121"/>
      <c r="CA59" s="121"/>
      <c r="CB59" s="121"/>
      <c r="CC59" s="121"/>
      <c r="CD59" s="121"/>
      <c r="CE59" s="121"/>
      <c r="CF59" s="121"/>
      <c r="CG59" s="121"/>
      <c r="CH59" s="121"/>
      <c r="CI59" s="121"/>
      <c r="CJ59" s="120"/>
      <c r="CK59" s="120"/>
      <c r="CL59" s="121"/>
      <c r="CM59" s="121"/>
      <c r="CN59" s="121"/>
      <c r="CO59" s="121"/>
      <c r="CP59" s="121"/>
      <c r="CQ59" s="121"/>
      <c r="CR59" s="121"/>
      <c r="CS59" s="121"/>
      <c r="CT59" s="121"/>
    </row>
    <row r="60">
      <c r="A60" s="120"/>
      <c r="B60" s="121"/>
      <c r="C60" s="121"/>
      <c r="D60" s="121"/>
      <c r="E60" s="120"/>
      <c r="F60" s="120"/>
      <c r="G60" s="120"/>
      <c r="H60" s="121"/>
      <c r="I60" s="120"/>
      <c r="J60" s="120"/>
      <c r="K60" s="121"/>
      <c r="L60" s="120"/>
      <c r="M60" s="121"/>
      <c r="N60" s="121"/>
      <c r="O60" s="121"/>
      <c r="P60" s="121"/>
      <c r="Q60" s="120"/>
      <c r="R60" s="121"/>
      <c r="S60" s="120"/>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0"/>
      <c r="AS60" s="121"/>
      <c r="AT60" s="121"/>
      <c r="AU60" s="121"/>
      <c r="AV60" s="121"/>
      <c r="AW60" s="120"/>
      <c r="AX60" s="120"/>
      <c r="AY60" s="121"/>
      <c r="AZ60" s="120"/>
      <c r="BA60" s="121"/>
      <c r="BB60" s="121"/>
      <c r="BC60" s="120"/>
      <c r="BD60" s="120"/>
      <c r="BE60" s="120"/>
      <c r="BF60" s="121"/>
      <c r="BG60" s="121"/>
      <c r="BH60" s="121"/>
      <c r="BI60" s="121"/>
      <c r="BJ60" s="121"/>
      <c r="BK60" s="121"/>
      <c r="BL60" s="121"/>
      <c r="BM60" s="121"/>
      <c r="BN60" s="121"/>
      <c r="BO60" s="120"/>
      <c r="BP60" s="120"/>
      <c r="BQ60" s="120"/>
      <c r="BR60" s="121"/>
      <c r="BS60" s="121"/>
      <c r="BT60" s="120"/>
      <c r="BU60" s="121"/>
      <c r="BV60" s="121"/>
      <c r="BW60" s="121"/>
      <c r="BX60" s="121"/>
      <c r="BY60" s="120"/>
      <c r="BZ60" s="121"/>
      <c r="CA60" s="121"/>
      <c r="CB60" s="121"/>
      <c r="CC60" s="121"/>
      <c r="CD60" s="121"/>
      <c r="CE60" s="121"/>
      <c r="CF60" s="121"/>
      <c r="CG60" s="121"/>
      <c r="CH60" s="121"/>
      <c r="CI60" s="121"/>
      <c r="CJ60" s="120"/>
      <c r="CK60" s="120"/>
      <c r="CL60" s="121"/>
      <c r="CM60" s="121"/>
      <c r="CN60" s="121"/>
      <c r="CO60" s="121"/>
      <c r="CP60" s="121"/>
      <c r="CQ60" s="121"/>
      <c r="CR60" s="121"/>
      <c r="CS60" s="121"/>
      <c r="CT60" s="121"/>
    </row>
    <row r="61">
      <c r="A61" s="120"/>
      <c r="B61" s="121"/>
      <c r="C61" s="121"/>
      <c r="D61" s="121"/>
      <c r="E61" s="120"/>
      <c r="F61" s="120"/>
      <c r="G61" s="120"/>
      <c r="H61" s="121"/>
      <c r="I61" s="120"/>
      <c r="J61" s="120"/>
      <c r="K61" s="121"/>
      <c r="L61" s="120"/>
      <c r="M61" s="121"/>
      <c r="N61" s="121"/>
      <c r="O61" s="121"/>
      <c r="P61" s="121"/>
      <c r="Q61" s="120"/>
      <c r="R61" s="121"/>
      <c r="S61" s="120"/>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0"/>
      <c r="AS61" s="121"/>
      <c r="AT61" s="121"/>
      <c r="AU61" s="121"/>
      <c r="AV61" s="121"/>
      <c r="AW61" s="120"/>
      <c r="AX61" s="120"/>
      <c r="AY61" s="121"/>
      <c r="AZ61" s="120"/>
      <c r="BA61" s="121"/>
      <c r="BB61" s="121"/>
      <c r="BC61" s="120"/>
      <c r="BD61" s="120"/>
      <c r="BE61" s="120"/>
      <c r="BF61" s="121"/>
      <c r="BG61" s="121"/>
      <c r="BH61" s="121"/>
      <c r="BI61" s="121"/>
      <c r="BJ61" s="121"/>
      <c r="BK61" s="121"/>
      <c r="BL61" s="121"/>
      <c r="BM61" s="121"/>
      <c r="BN61" s="121"/>
      <c r="BO61" s="120"/>
      <c r="BP61" s="120"/>
      <c r="BQ61" s="120"/>
      <c r="BR61" s="121"/>
      <c r="BS61" s="121"/>
      <c r="BT61" s="120"/>
      <c r="BU61" s="121"/>
      <c r="BV61" s="121"/>
      <c r="BW61" s="121"/>
      <c r="BX61" s="121"/>
      <c r="BY61" s="120"/>
      <c r="BZ61" s="121"/>
      <c r="CA61" s="121"/>
      <c r="CB61" s="121"/>
      <c r="CC61" s="121"/>
      <c r="CD61" s="121"/>
      <c r="CE61" s="121"/>
      <c r="CF61" s="121"/>
      <c r="CG61" s="121"/>
      <c r="CH61" s="121"/>
      <c r="CI61" s="121"/>
      <c r="CJ61" s="120"/>
      <c r="CK61" s="120"/>
      <c r="CL61" s="121"/>
      <c r="CM61" s="121"/>
      <c r="CN61" s="121"/>
      <c r="CO61" s="121"/>
      <c r="CP61" s="121"/>
      <c r="CQ61" s="121"/>
      <c r="CR61" s="121"/>
      <c r="CS61" s="121"/>
      <c r="CT61" s="121"/>
    </row>
    <row r="62">
      <c r="A62" s="120"/>
      <c r="B62" s="121"/>
      <c r="C62" s="121"/>
      <c r="D62" s="121"/>
      <c r="E62" s="120"/>
      <c r="F62" s="120"/>
      <c r="G62" s="120"/>
      <c r="H62" s="121"/>
      <c r="I62" s="120"/>
      <c r="J62" s="120"/>
      <c r="K62" s="121"/>
      <c r="L62" s="120"/>
      <c r="M62" s="121"/>
      <c r="N62" s="121"/>
      <c r="O62" s="121"/>
      <c r="P62" s="121"/>
      <c r="Q62" s="120"/>
      <c r="R62" s="121"/>
      <c r="S62" s="120"/>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0"/>
      <c r="AS62" s="121"/>
      <c r="AT62" s="121"/>
      <c r="AU62" s="121"/>
      <c r="AV62" s="121"/>
      <c r="AW62" s="120"/>
      <c r="AX62" s="120"/>
      <c r="AY62" s="121"/>
      <c r="AZ62" s="120"/>
      <c r="BA62" s="121"/>
      <c r="BB62" s="121"/>
      <c r="BC62" s="120"/>
      <c r="BD62" s="120"/>
      <c r="BE62" s="120"/>
      <c r="BF62" s="121"/>
      <c r="BG62" s="121"/>
      <c r="BH62" s="121"/>
      <c r="BI62" s="121"/>
      <c r="BJ62" s="121"/>
      <c r="BK62" s="121"/>
      <c r="BL62" s="121"/>
      <c r="BM62" s="121"/>
      <c r="BN62" s="121"/>
      <c r="BO62" s="120"/>
      <c r="BP62" s="120"/>
      <c r="BQ62" s="120"/>
      <c r="BR62" s="121"/>
      <c r="BS62" s="121"/>
      <c r="BT62" s="120"/>
      <c r="BU62" s="121"/>
      <c r="BV62" s="121"/>
      <c r="BW62" s="121"/>
      <c r="BX62" s="121"/>
      <c r="BY62" s="120"/>
      <c r="BZ62" s="121"/>
      <c r="CA62" s="121"/>
      <c r="CB62" s="121"/>
      <c r="CC62" s="121"/>
      <c r="CD62" s="121"/>
      <c r="CE62" s="121"/>
      <c r="CF62" s="121"/>
      <c r="CG62" s="121"/>
      <c r="CH62" s="121"/>
      <c r="CI62" s="121"/>
      <c r="CJ62" s="120"/>
      <c r="CK62" s="120"/>
      <c r="CL62" s="121"/>
      <c r="CM62" s="121"/>
      <c r="CN62" s="121"/>
      <c r="CO62" s="121"/>
      <c r="CP62" s="121"/>
      <c r="CQ62" s="121"/>
      <c r="CR62" s="121"/>
      <c r="CS62" s="121"/>
      <c r="CT62" s="121"/>
    </row>
    <row r="63">
      <c r="A63" s="120"/>
      <c r="B63" s="121"/>
      <c r="C63" s="121"/>
      <c r="D63" s="121"/>
      <c r="E63" s="120"/>
      <c r="F63" s="120"/>
      <c r="G63" s="120"/>
      <c r="H63" s="121"/>
      <c r="I63" s="120"/>
      <c r="J63" s="120"/>
      <c r="K63" s="121"/>
      <c r="L63" s="120"/>
      <c r="M63" s="121"/>
      <c r="N63" s="121"/>
      <c r="O63" s="121"/>
      <c r="P63" s="121"/>
      <c r="Q63" s="120"/>
      <c r="R63" s="121"/>
      <c r="S63" s="120"/>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0"/>
      <c r="AS63" s="121"/>
      <c r="AT63" s="121"/>
      <c r="AU63" s="121"/>
      <c r="AV63" s="121"/>
      <c r="AW63" s="120"/>
      <c r="AX63" s="120"/>
      <c r="AY63" s="121"/>
      <c r="AZ63" s="120"/>
      <c r="BA63" s="121"/>
      <c r="BB63" s="121"/>
      <c r="BC63" s="120"/>
      <c r="BD63" s="120"/>
      <c r="BE63" s="120"/>
      <c r="BF63" s="121"/>
      <c r="BG63" s="121"/>
      <c r="BH63" s="121"/>
      <c r="BI63" s="121"/>
      <c r="BJ63" s="121"/>
      <c r="BK63" s="121"/>
      <c r="BL63" s="121"/>
      <c r="BM63" s="121"/>
      <c r="BN63" s="121"/>
      <c r="BO63" s="120"/>
      <c r="BP63" s="120"/>
      <c r="BQ63" s="120"/>
      <c r="BR63" s="121"/>
      <c r="BS63" s="121"/>
      <c r="BT63" s="120"/>
      <c r="BU63" s="121"/>
      <c r="BV63" s="121"/>
      <c r="BW63" s="121"/>
      <c r="BX63" s="121"/>
      <c r="BY63" s="120"/>
      <c r="BZ63" s="121"/>
      <c r="CA63" s="121"/>
      <c r="CB63" s="121"/>
      <c r="CC63" s="121"/>
      <c r="CD63" s="121"/>
      <c r="CE63" s="121"/>
      <c r="CF63" s="121"/>
      <c r="CG63" s="121"/>
      <c r="CH63" s="121"/>
      <c r="CI63" s="121"/>
      <c r="CJ63" s="120"/>
      <c r="CK63" s="120"/>
      <c r="CL63" s="121"/>
      <c r="CM63" s="121"/>
      <c r="CN63" s="121"/>
      <c r="CO63" s="121"/>
      <c r="CP63" s="121"/>
      <c r="CQ63" s="121"/>
      <c r="CR63" s="121"/>
      <c r="CS63" s="121"/>
      <c r="CT63" s="121"/>
    </row>
    <row r="64">
      <c r="A64" s="120"/>
      <c r="B64" s="121"/>
      <c r="C64" s="121"/>
      <c r="D64" s="121"/>
      <c r="E64" s="120"/>
      <c r="F64" s="120"/>
      <c r="G64" s="120"/>
      <c r="H64" s="121"/>
      <c r="I64" s="120"/>
      <c r="J64" s="120"/>
      <c r="K64" s="121"/>
      <c r="L64" s="120"/>
      <c r="M64" s="121"/>
      <c r="N64" s="121"/>
      <c r="O64" s="121"/>
      <c r="P64" s="121"/>
      <c r="Q64" s="120"/>
      <c r="R64" s="121"/>
      <c r="S64" s="120"/>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0"/>
      <c r="AS64" s="121"/>
      <c r="AT64" s="121"/>
      <c r="AU64" s="121"/>
      <c r="AV64" s="121"/>
      <c r="AW64" s="120"/>
      <c r="AX64" s="120"/>
      <c r="AY64" s="121"/>
      <c r="AZ64" s="120"/>
      <c r="BA64" s="121"/>
      <c r="BB64" s="121"/>
      <c r="BC64" s="120"/>
      <c r="BD64" s="120"/>
      <c r="BE64" s="120"/>
      <c r="BF64" s="121"/>
      <c r="BG64" s="121"/>
      <c r="BH64" s="121"/>
      <c r="BI64" s="121"/>
      <c r="BJ64" s="121"/>
      <c r="BK64" s="121"/>
      <c r="BL64" s="121"/>
      <c r="BM64" s="121"/>
      <c r="BN64" s="121"/>
      <c r="BO64" s="120"/>
      <c r="BP64" s="120"/>
      <c r="BQ64" s="120"/>
      <c r="BR64" s="121"/>
      <c r="BS64" s="121"/>
      <c r="BT64" s="120"/>
      <c r="BU64" s="121"/>
      <c r="BV64" s="121"/>
      <c r="BW64" s="121"/>
      <c r="BX64" s="121"/>
      <c r="BY64" s="120"/>
      <c r="BZ64" s="121"/>
      <c r="CA64" s="121"/>
      <c r="CB64" s="121"/>
      <c r="CC64" s="121"/>
      <c r="CD64" s="121"/>
      <c r="CE64" s="121"/>
      <c r="CF64" s="121"/>
      <c r="CG64" s="121"/>
      <c r="CH64" s="121"/>
      <c r="CI64" s="121"/>
      <c r="CJ64" s="120"/>
      <c r="CK64" s="120"/>
      <c r="CL64" s="121"/>
      <c r="CM64" s="121"/>
      <c r="CN64" s="121"/>
      <c r="CO64" s="121"/>
      <c r="CP64" s="121"/>
      <c r="CQ64" s="121"/>
      <c r="CR64" s="121"/>
      <c r="CS64" s="121"/>
      <c r="CT64" s="121"/>
    </row>
    <row r="65">
      <c r="A65" s="120"/>
      <c r="B65" s="121"/>
      <c r="C65" s="121"/>
      <c r="D65" s="121"/>
      <c r="E65" s="120"/>
      <c r="F65" s="120"/>
      <c r="G65" s="120"/>
      <c r="H65" s="121"/>
      <c r="I65" s="120"/>
      <c r="J65" s="120"/>
      <c r="K65" s="121"/>
      <c r="L65" s="120"/>
      <c r="M65" s="121"/>
      <c r="N65" s="121"/>
      <c r="O65" s="121"/>
      <c r="P65" s="121"/>
      <c r="Q65" s="120"/>
      <c r="R65" s="121"/>
      <c r="S65" s="120"/>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0"/>
      <c r="AS65" s="121"/>
      <c r="AT65" s="121"/>
      <c r="AU65" s="121"/>
      <c r="AV65" s="121"/>
      <c r="AW65" s="120"/>
      <c r="AX65" s="120"/>
      <c r="AY65" s="121"/>
      <c r="AZ65" s="120"/>
      <c r="BA65" s="121"/>
      <c r="BB65" s="121"/>
      <c r="BC65" s="120"/>
      <c r="BD65" s="120"/>
      <c r="BE65" s="120"/>
      <c r="BF65" s="121"/>
      <c r="BG65" s="121"/>
      <c r="BH65" s="121"/>
      <c r="BI65" s="121"/>
      <c r="BJ65" s="121"/>
      <c r="BK65" s="121"/>
      <c r="BL65" s="121"/>
      <c r="BM65" s="121"/>
      <c r="BN65" s="121"/>
      <c r="BO65" s="120"/>
      <c r="BP65" s="120"/>
      <c r="BQ65" s="120"/>
      <c r="BR65" s="121"/>
      <c r="BS65" s="121"/>
      <c r="BT65" s="120"/>
      <c r="BU65" s="121"/>
      <c r="BV65" s="121"/>
      <c r="BW65" s="121"/>
      <c r="BX65" s="121"/>
      <c r="BY65" s="120"/>
      <c r="BZ65" s="121"/>
      <c r="CA65" s="121"/>
      <c r="CB65" s="121"/>
      <c r="CC65" s="121"/>
      <c r="CD65" s="121"/>
      <c r="CE65" s="121"/>
      <c r="CF65" s="121"/>
      <c r="CG65" s="121"/>
      <c r="CH65" s="121"/>
      <c r="CI65" s="121"/>
      <c r="CJ65" s="120"/>
      <c r="CK65" s="120"/>
      <c r="CL65" s="121"/>
      <c r="CM65" s="121"/>
      <c r="CN65" s="121"/>
      <c r="CO65" s="121"/>
      <c r="CP65" s="121"/>
      <c r="CQ65" s="121"/>
      <c r="CR65" s="121"/>
      <c r="CS65" s="121"/>
      <c r="CT65" s="121"/>
    </row>
    <row r="66">
      <c r="A66" s="120"/>
      <c r="B66" s="121"/>
      <c r="C66" s="121"/>
      <c r="D66" s="121"/>
      <c r="E66" s="120"/>
      <c r="F66" s="120"/>
      <c r="G66" s="120"/>
      <c r="H66" s="121"/>
      <c r="I66" s="120"/>
      <c r="J66" s="120"/>
      <c r="K66" s="121"/>
      <c r="L66" s="120"/>
      <c r="M66" s="121"/>
      <c r="N66" s="121"/>
      <c r="O66" s="121"/>
      <c r="P66" s="121"/>
      <c r="Q66" s="120"/>
      <c r="R66" s="121"/>
      <c r="S66" s="120"/>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0"/>
      <c r="AS66" s="121"/>
      <c r="AT66" s="121"/>
      <c r="AU66" s="121"/>
      <c r="AV66" s="121"/>
      <c r="AW66" s="120"/>
      <c r="AX66" s="120"/>
      <c r="AY66" s="121"/>
      <c r="AZ66" s="120"/>
      <c r="BA66" s="121"/>
      <c r="BB66" s="121"/>
      <c r="BC66" s="120"/>
      <c r="BD66" s="120"/>
      <c r="BE66" s="120"/>
      <c r="BF66" s="121"/>
      <c r="BG66" s="121"/>
      <c r="BH66" s="121"/>
      <c r="BI66" s="121"/>
      <c r="BJ66" s="121"/>
      <c r="BK66" s="121"/>
      <c r="BL66" s="121"/>
      <c r="BM66" s="121"/>
      <c r="BN66" s="121"/>
      <c r="BO66" s="120"/>
      <c r="BP66" s="120"/>
      <c r="BQ66" s="120"/>
      <c r="BR66" s="121"/>
      <c r="BS66" s="121"/>
      <c r="BT66" s="120"/>
      <c r="BU66" s="121"/>
      <c r="BV66" s="121"/>
      <c r="BW66" s="121"/>
      <c r="BX66" s="121"/>
      <c r="BY66" s="120"/>
      <c r="BZ66" s="121"/>
      <c r="CA66" s="121"/>
      <c r="CB66" s="121"/>
      <c r="CC66" s="121"/>
      <c r="CD66" s="121"/>
      <c r="CE66" s="121"/>
      <c r="CF66" s="121"/>
      <c r="CG66" s="121"/>
      <c r="CH66" s="121"/>
      <c r="CI66" s="121"/>
      <c r="CJ66" s="120"/>
      <c r="CK66" s="120"/>
      <c r="CL66" s="121"/>
      <c r="CM66" s="121"/>
      <c r="CN66" s="121"/>
      <c r="CO66" s="121"/>
      <c r="CP66" s="121"/>
      <c r="CQ66" s="121"/>
      <c r="CR66" s="121"/>
      <c r="CS66" s="121"/>
      <c r="CT66" s="121"/>
    </row>
    <row r="67">
      <c r="A67" s="120"/>
      <c r="B67" s="121"/>
      <c r="C67" s="121"/>
      <c r="D67" s="121"/>
      <c r="E67" s="120"/>
      <c r="F67" s="120"/>
      <c r="G67" s="120"/>
      <c r="H67" s="121"/>
      <c r="I67" s="120"/>
      <c r="J67" s="120"/>
      <c r="K67" s="121"/>
      <c r="L67" s="120"/>
      <c r="M67" s="121"/>
      <c r="N67" s="121"/>
      <c r="O67" s="121"/>
      <c r="P67" s="121"/>
      <c r="Q67" s="120"/>
      <c r="R67" s="121"/>
      <c r="S67" s="120"/>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0"/>
      <c r="AS67" s="121"/>
      <c r="AT67" s="121"/>
      <c r="AU67" s="121"/>
      <c r="AV67" s="121"/>
      <c r="AW67" s="120"/>
      <c r="AX67" s="120"/>
      <c r="AY67" s="121"/>
      <c r="AZ67" s="120"/>
      <c r="BA67" s="121"/>
      <c r="BB67" s="121"/>
      <c r="BC67" s="120"/>
      <c r="BD67" s="120"/>
      <c r="BE67" s="120"/>
      <c r="BF67" s="121"/>
      <c r="BG67" s="121"/>
      <c r="BH67" s="121"/>
      <c r="BI67" s="121"/>
      <c r="BJ67" s="121"/>
      <c r="BK67" s="121"/>
      <c r="BL67" s="121"/>
      <c r="BM67" s="121"/>
      <c r="BN67" s="121"/>
      <c r="BO67" s="120"/>
      <c r="BP67" s="120"/>
      <c r="BQ67" s="120"/>
      <c r="BR67" s="121"/>
      <c r="BS67" s="121"/>
      <c r="BT67" s="120"/>
      <c r="BU67" s="121"/>
      <c r="BV67" s="121"/>
      <c r="BW67" s="121"/>
      <c r="BX67" s="121"/>
      <c r="BY67" s="120"/>
      <c r="BZ67" s="121"/>
      <c r="CA67" s="121"/>
      <c r="CB67" s="121"/>
      <c r="CC67" s="121"/>
      <c r="CD67" s="121"/>
      <c r="CE67" s="121"/>
      <c r="CF67" s="121"/>
      <c r="CG67" s="121"/>
      <c r="CH67" s="121"/>
      <c r="CI67" s="121"/>
      <c r="CJ67" s="120"/>
      <c r="CK67" s="120"/>
      <c r="CL67" s="121"/>
      <c r="CM67" s="121"/>
      <c r="CN67" s="121"/>
      <c r="CO67" s="121"/>
      <c r="CP67" s="121"/>
      <c r="CQ67" s="121"/>
      <c r="CR67" s="121"/>
      <c r="CS67" s="121"/>
      <c r="CT67" s="121"/>
    </row>
    <row r="68">
      <c r="A68" s="120"/>
      <c r="B68" s="121"/>
      <c r="C68" s="121"/>
      <c r="D68" s="121"/>
      <c r="E68" s="120"/>
      <c r="F68" s="120"/>
      <c r="G68" s="120"/>
      <c r="H68" s="121"/>
      <c r="I68" s="120"/>
      <c r="J68" s="120"/>
      <c r="K68" s="121"/>
      <c r="L68" s="120"/>
      <c r="M68" s="121"/>
      <c r="N68" s="121"/>
      <c r="O68" s="121"/>
      <c r="P68" s="121"/>
      <c r="Q68" s="120"/>
      <c r="R68" s="121"/>
      <c r="S68" s="120"/>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0"/>
      <c r="AS68" s="121"/>
      <c r="AT68" s="121"/>
      <c r="AU68" s="121"/>
      <c r="AV68" s="121"/>
      <c r="AW68" s="120"/>
      <c r="AX68" s="120"/>
      <c r="AY68" s="121"/>
      <c r="AZ68" s="120"/>
      <c r="BA68" s="121"/>
      <c r="BB68" s="121"/>
      <c r="BC68" s="120"/>
      <c r="BD68" s="120"/>
      <c r="BE68" s="120"/>
      <c r="BF68" s="121"/>
      <c r="BG68" s="121"/>
      <c r="BH68" s="121"/>
      <c r="BI68" s="121"/>
      <c r="BJ68" s="121"/>
      <c r="BK68" s="121"/>
      <c r="BL68" s="121"/>
      <c r="BM68" s="121"/>
      <c r="BN68" s="121"/>
      <c r="BO68" s="120"/>
      <c r="BP68" s="120"/>
      <c r="BQ68" s="120"/>
      <c r="BR68" s="121"/>
      <c r="BS68" s="121"/>
      <c r="BT68" s="120"/>
      <c r="BU68" s="121"/>
      <c r="BV68" s="121"/>
      <c r="BW68" s="121"/>
      <c r="BX68" s="121"/>
      <c r="BY68" s="120"/>
      <c r="BZ68" s="121"/>
      <c r="CA68" s="121"/>
      <c r="CB68" s="121"/>
      <c r="CC68" s="121"/>
      <c r="CD68" s="121"/>
      <c r="CE68" s="121"/>
      <c r="CF68" s="121"/>
      <c r="CG68" s="121"/>
      <c r="CH68" s="121"/>
      <c r="CI68" s="121"/>
      <c r="CJ68" s="120"/>
      <c r="CK68" s="120"/>
      <c r="CL68" s="121"/>
      <c r="CM68" s="121"/>
      <c r="CN68" s="121"/>
      <c r="CO68" s="121"/>
      <c r="CP68" s="121"/>
      <c r="CQ68" s="121"/>
      <c r="CR68" s="121"/>
      <c r="CS68" s="121"/>
      <c r="CT68" s="121"/>
    </row>
    <row r="69">
      <c r="A69" s="120"/>
      <c r="B69" s="121"/>
      <c r="C69" s="121"/>
      <c r="D69" s="121"/>
      <c r="E69" s="120"/>
      <c r="F69" s="120"/>
      <c r="G69" s="120"/>
      <c r="H69" s="121"/>
      <c r="I69" s="120"/>
      <c r="J69" s="120"/>
      <c r="K69" s="121"/>
      <c r="L69" s="120"/>
      <c r="M69" s="121"/>
      <c r="N69" s="121"/>
      <c r="O69" s="121"/>
      <c r="P69" s="121"/>
      <c r="Q69" s="120"/>
      <c r="R69" s="121"/>
      <c r="S69" s="120"/>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0"/>
      <c r="AS69" s="121"/>
      <c r="AT69" s="121"/>
      <c r="AU69" s="121"/>
      <c r="AV69" s="121"/>
      <c r="AW69" s="120"/>
      <c r="AX69" s="120"/>
      <c r="AY69" s="121"/>
      <c r="AZ69" s="120"/>
      <c r="BA69" s="121"/>
      <c r="BB69" s="121"/>
      <c r="BC69" s="120"/>
      <c r="BD69" s="120"/>
      <c r="BE69" s="120"/>
      <c r="BF69" s="121"/>
      <c r="BG69" s="121"/>
      <c r="BH69" s="121"/>
      <c r="BI69" s="121"/>
      <c r="BJ69" s="121"/>
      <c r="BK69" s="121"/>
      <c r="BL69" s="121"/>
      <c r="BM69" s="121"/>
      <c r="BN69" s="121"/>
      <c r="BO69" s="120"/>
      <c r="BP69" s="120"/>
      <c r="BQ69" s="120"/>
      <c r="BR69" s="121"/>
      <c r="BS69" s="121"/>
      <c r="BT69" s="120"/>
      <c r="BU69" s="121"/>
      <c r="BV69" s="121"/>
      <c r="BW69" s="121"/>
      <c r="BX69" s="121"/>
      <c r="BY69" s="120"/>
      <c r="BZ69" s="121"/>
      <c r="CA69" s="121"/>
      <c r="CB69" s="121"/>
      <c r="CC69" s="121"/>
      <c r="CD69" s="121"/>
      <c r="CE69" s="121"/>
      <c r="CF69" s="121"/>
      <c r="CG69" s="121"/>
      <c r="CH69" s="121"/>
      <c r="CI69" s="121"/>
      <c r="CJ69" s="120"/>
      <c r="CK69" s="120"/>
      <c r="CL69" s="121"/>
      <c r="CM69" s="121"/>
      <c r="CN69" s="121"/>
      <c r="CO69" s="121"/>
      <c r="CP69" s="121"/>
      <c r="CQ69" s="121"/>
      <c r="CR69" s="121"/>
      <c r="CS69" s="121"/>
      <c r="CT69" s="121"/>
    </row>
    <row r="70">
      <c r="A70" s="120"/>
      <c r="B70" s="121"/>
      <c r="C70" s="121"/>
      <c r="D70" s="121"/>
      <c r="E70" s="120"/>
      <c r="F70" s="120"/>
      <c r="G70" s="120"/>
      <c r="H70" s="121"/>
      <c r="I70" s="120"/>
      <c r="J70" s="120"/>
      <c r="K70" s="121"/>
      <c r="L70" s="120"/>
      <c r="M70" s="121"/>
      <c r="N70" s="121"/>
      <c r="O70" s="121"/>
      <c r="P70" s="121"/>
      <c r="Q70" s="120"/>
      <c r="R70" s="121"/>
      <c r="S70" s="120"/>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0"/>
      <c r="AS70" s="121"/>
      <c r="AT70" s="121"/>
      <c r="AU70" s="121"/>
      <c r="AV70" s="121"/>
      <c r="AW70" s="120"/>
      <c r="AX70" s="120"/>
      <c r="AY70" s="121"/>
      <c r="AZ70" s="120"/>
      <c r="BA70" s="121"/>
      <c r="BB70" s="121"/>
      <c r="BC70" s="120"/>
      <c r="BD70" s="120"/>
      <c r="BE70" s="120"/>
      <c r="BF70" s="121"/>
      <c r="BG70" s="121"/>
      <c r="BH70" s="121"/>
      <c r="BI70" s="121"/>
      <c r="BJ70" s="121"/>
      <c r="BK70" s="121"/>
      <c r="BL70" s="121"/>
      <c r="BM70" s="121"/>
      <c r="BN70" s="121"/>
      <c r="BO70" s="120"/>
      <c r="BP70" s="120"/>
      <c r="BQ70" s="120"/>
      <c r="BR70" s="121"/>
      <c r="BS70" s="121"/>
      <c r="BT70" s="120"/>
      <c r="BU70" s="121"/>
      <c r="BV70" s="121"/>
      <c r="BW70" s="121"/>
      <c r="BX70" s="121"/>
      <c r="BY70" s="120"/>
      <c r="BZ70" s="121"/>
      <c r="CA70" s="121"/>
      <c r="CB70" s="121"/>
      <c r="CC70" s="121"/>
      <c r="CD70" s="121"/>
      <c r="CE70" s="121"/>
      <c r="CF70" s="121"/>
      <c r="CG70" s="121"/>
      <c r="CH70" s="121"/>
      <c r="CI70" s="121"/>
      <c r="CJ70" s="120"/>
      <c r="CK70" s="120"/>
      <c r="CL70" s="121"/>
      <c r="CM70" s="121"/>
      <c r="CN70" s="121"/>
      <c r="CO70" s="121"/>
      <c r="CP70" s="121"/>
      <c r="CQ70" s="121"/>
      <c r="CR70" s="121"/>
      <c r="CS70" s="121"/>
      <c r="CT70" s="121"/>
    </row>
    <row r="71">
      <c r="A71" s="120"/>
      <c r="B71" s="121"/>
      <c r="C71" s="121"/>
      <c r="D71" s="121"/>
      <c r="E71" s="120"/>
      <c r="F71" s="120"/>
      <c r="G71" s="120"/>
      <c r="H71" s="121"/>
      <c r="I71" s="120"/>
      <c r="J71" s="120"/>
      <c r="K71" s="121"/>
      <c r="L71" s="120"/>
      <c r="M71" s="121"/>
      <c r="N71" s="121"/>
      <c r="O71" s="121"/>
      <c r="P71" s="121"/>
      <c r="Q71" s="120"/>
      <c r="R71" s="121"/>
      <c r="S71" s="120"/>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0"/>
      <c r="AS71" s="121"/>
      <c r="AT71" s="121"/>
      <c r="AU71" s="121"/>
      <c r="AV71" s="121"/>
      <c r="AW71" s="120"/>
      <c r="AX71" s="120"/>
      <c r="AY71" s="121"/>
      <c r="AZ71" s="120"/>
      <c r="BA71" s="121"/>
      <c r="BB71" s="121"/>
      <c r="BC71" s="120"/>
      <c r="BD71" s="120"/>
      <c r="BE71" s="120"/>
      <c r="BF71" s="121"/>
      <c r="BG71" s="121"/>
      <c r="BH71" s="121"/>
      <c r="BI71" s="121"/>
      <c r="BJ71" s="121"/>
      <c r="BK71" s="121"/>
      <c r="BL71" s="121"/>
      <c r="BM71" s="121"/>
      <c r="BN71" s="121"/>
      <c r="BO71" s="120"/>
      <c r="BP71" s="120"/>
      <c r="BQ71" s="120"/>
      <c r="BR71" s="121"/>
      <c r="BS71" s="121"/>
      <c r="BT71" s="120"/>
      <c r="BU71" s="121"/>
      <c r="BV71" s="121"/>
      <c r="BW71" s="121"/>
      <c r="BX71" s="121"/>
      <c r="BY71" s="120"/>
      <c r="BZ71" s="121"/>
      <c r="CA71" s="121"/>
      <c r="CB71" s="121"/>
      <c r="CC71" s="121"/>
      <c r="CD71" s="121"/>
      <c r="CE71" s="121"/>
      <c r="CF71" s="121"/>
      <c r="CG71" s="121"/>
      <c r="CH71" s="121"/>
      <c r="CI71" s="121"/>
      <c r="CJ71" s="120"/>
      <c r="CK71" s="120"/>
      <c r="CL71" s="121"/>
      <c r="CM71" s="121"/>
      <c r="CN71" s="121"/>
      <c r="CO71" s="121"/>
      <c r="CP71" s="121"/>
      <c r="CQ71" s="121"/>
      <c r="CR71" s="121"/>
      <c r="CS71" s="121"/>
      <c r="CT71" s="121"/>
    </row>
    <row r="72">
      <c r="A72" s="120"/>
      <c r="B72" s="121"/>
      <c r="C72" s="121"/>
      <c r="D72" s="121"/>
      <c r="E72" s="120"/>
      <c r="F72" s="120"/>
      <c r="G72" s="120"/>
      <c r="H72" s="121"/>
      <c r="I72" s="120"/>
      <c r="J72" s="120"/>
      <c r="K72" s="121"/>
      <c r="L72" s="120"/>
      <c r="M72" s="121"/>
      <c r="N72" s="121"/>
      <c r="O72" s="121"/>
      <c r="P72" s="121"/>
      <c r="Q72" s="120"/>
      <c r="R72" s="121"/>
      <c r="S72" s="120"/>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0"/>
      <c r="AS72" s="121"/>
      <c r="AT72" s="121"/>
      <c r="AU72" s="121"/>
      <c r="AV72" s="121"/>
      <c r="AW72" s="120"/>
      <c r="AX72" s="120"/>
      <c r="AY72" s="121"/>
      <c r="AZ72" s="120"/>
      <c r="BA72" s="121"/>
      <c r="BB72" s="121"/>
      <c r="BC72" s="120"/>
      <c r="BD72" s="120"/>
      <c r="BE72" s="120"/>
      <c r="BF72" s="121"/>
      <c r="BG72" s="121"/>
      <c r="BH72" s="121"/>
      <c r="BI72" s="121"/>
      <c r="BJ72" s="121"/>
      <c r="BK72" s="121"/>
      <c r="BL72" s="121"/>
      <c r="BM72" s="121"/>
      <c r="BN72" s="121"/>
      <c r="BO72" s="120"/>
      <c r="BP72" s="120"/>
      <c r="BQ72" s="120"/>
      <c r="BR72" s="121"/>
      <c r="BS72" s="121"/>
      <c r="BT72" s="120"/>
      <c r="BU72" s="121"/>
      <c r="BV72" s="121"/>
      <c r="BW72" s="121"/>
      <c r="BX72" s="121"/>
      <c r="BY72" s="120"/>
      <c r="BZ72" s="121"/>
      <c r="CA72" s="121"/>
      <c r="CB72" s="121"/>
      <c r="CC72" s="121"/>
      <c r="CD72" s="121"/>
      <c r="CE72" s="121"/>
      <c r="CF72" s="121"/>
      <c r="CG72" s="121"/>
      <c r="CH72" s="121"/>
      <c r="CI72" s="121"/>
      <c r="CJ72" s="120"/>
      <c r="CK72" s="120"/>
      <c r="CL72" s="121"/>
      <c r="CM72" s="121"/>
      <c r="CN72" s="121"/>
      <c r="CO72" s="121"/>
      <c r="CP72" s="121"/>
      <c r="CQ72" s="121"/>
      <c r="CR72" s="121"/>
      <c r="CS72" s="121"/>
      <c r="CT72" s="121"/>
    </row>
    <row r="73">
      <c r="A73" s="120"/>
      <c r="B73" s="121"/>
      <c r="C73" s="121"/>
      <c r="D73" s="121"/>
      <c r="E73" s="120"/>
      <c r="F73" s="120"/>
      <c r="G73" s="120"/>
      <c r="H73" s="121"/>
      <c r="I73" s="120"/>
      <c r="J73" s="120"/>
      <c r="K73" s="121"/>
      <c r="L73" s="120"/>
      <c r="M73" s="121"/>
      <c r="N73" s="121"/>
      <c r="O73" s="121"/>
      <c r="P73" s="121"/>
      <c r="Q73" s="120"/>
      <c r="R73" s="121"/>
      <c r="S73" s="120"/>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0"/>
      <c r="AS73" s="121"/>
      <c r="AT73" s="121"/>
      <c r="AU73" s="121"/>
      <c r="AV73" s="121"/>
      <c r="AW73" s="120"/>
      <c r="AX73" s="120"/>
      <c r="AY73" s="121"/>
      <c r="AZ73" s="120"/>
      <c r="BA73" s="121"/>
      <c r="BB73" s="121"/>
      <c r="BC73" s="120"/>
      <c r="BD73" s="120"/>
      <c r="BE73" s="120"/>
      <c r="BF73" s="121"/>
      <c r="BG73" s="121"/>
      <c r="BH73" s="121"/>
      <c r="BI73" s="121"/>
      <c r="BJ73" s="121"/>
      <c r="BK73" s="121"/>
      <c r="BL73" s="121"/>
      <c r="BM73" s="121"/>
      <c r="BN73" s="121"/>
      <c r="BO73" s="120"/>
      <c r="BP73" s="120"/>
      <c r="BQ73" s="120"/>
      <c r="BR73" s="121"/>
      <c r="BS73" s="121"/>
      <c r="BT73" s="120"/>
      <c r="BU73" s="121"/>
      <c r="BV73" s="121"/>
      <c r="BW73" s="121"/>
      <c r="BX73" s="121"/>
      <c r="BY73" s="120"/>
      <c r="BZ73" s="121"/>
      <c r="CA73" s="121"/>
      <c r="CB73" s="121"/>
      <c r="CC73" s="121"/>
      <c r="CD73" s="121"/>
      <c r="CE73" s="121"/>
      <c r="CF73" s="121"/>
      <c r="CG73" s="121"/>
      <c r="CH73" s="121"/>
      <c r="CI73" s="121"/>
      <c r="CJ73" s="120"/>
      <c r="CK73" s="120"/>
      <c r="CL73" s="121"/>
      <c r="CM73" s="121"/>
      <c r="CN73" s="121"/>
      <c r="CO73" s="121"/>
      <c r="CP73" s="121"/>
      <c r="CQ73" s="121"/>
      <c r="CR73" s="121"/>
      <c r="CS73" s="121"/>
      <c r="CT73" s="121"/>
    </row>
    <row r="74">
      <c r="A74" s="120"/>
      <c r="B74" s="121"/>
      <c r="C74" s="121"/>
      <c r="D74" s="121"/>
      <c r="E74" s="120"/>
      <c r="F74" s="120"/>
      <c r="G74" s="120"/>
      <c r="H74" s="121"/>
      <c r="I74" s="120"/>
      <c r="J74" s="120"/>
      <c r="K74" s="121"/>
      <c r="L74" s="120"/>
      <c r="M74" s="121"/>
      <c r="N74" s="121"/>
      <c r="O74" s="121"/>
      <c r="P74" s="121"/>
      <c r="Q74" s="120"/>
      <c r="R74" s="121"/>
      <c r="S74" s="120"/>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0"/>
      <c r="AS74" s="121"/>
      <c r="AT74" s="121"/>
      <c r="AU74" s="121"/>
      <c r="AV74" s="121"/>
      <c r="AW74" s="120"/>
      <c r="AX74" s="120"/>
      <c r="AY74" s="121"/>
      <c r="AZ74" s="120"/>
      <c r="BA74" s="121"/>
      <c r="BB74" s="121"/>
      <c r="BC74" s="120"/>
      <c r="BD74" s="120"/>
      <c r="BE74" s="120"/>
      <c r="BF74" s="121"/>
      <c r="BG74" s="121"/>
      <c r="BH74" s="121"/>
      <c r="BI74" s="121"/>
      <c r="BJ74" s="121"/>
      <c r="BK74" s="121"/>
      <c r="BL74" s="121"/>
      <c r="BM74" s="121"/>
      <c r="BN74" s="121"/>
      <c r="BO74" s="120"/>
      <c r="BP74" s="120"/>
      <c r="BQ74" s="120"/>
      <c r="BR74" s="121"/>
      <c r="BS74" s="121"/>
      <c r="BT74" s="120"/>
      <c r="BU74" s="121"/>
      <c r="BV74" s="121"/>
      <c r="BW74" s="121"/>
      <c r="BX74" s="121"/>
      <c r="BY74" s="120"/>
      <c r="BZ74" s="121"/>
      <c r="CA74" s="121"/>
      <c r="CB74" s="121"/>
      <c r="CC74" s="121"/>
      <c r="CD74" s="121"/>
      <c r="CE74" s="121"/>
      <c r="CF74" s="121"/>
      <c r="CG74" s="121"/>
      <c r="CH74" s="121"/>
      <c r="CI74" s="121"/>
      <c r="CJ74" s="120"/>
      <c r="CK74" s="120"/>
      <c r="CL74" s="121"/>
      <c r="CM74" s="121"/>
      <c r="CN74" s="121"/>
      <c r="CO74" s="121"/>
      <c r="CP74" s="121"/>
      <c r="CQ74" s="121"/>
      <c r="CR74" s="121"/>
      <c r="CS74" s="121"/>
      <c r="CT74" s="121"/>
    </row>
    <row r="75">
      <c r="A75" s="120"/>
      <c r="B75" s="121"/>
      <c r="C75" s="121"/>
      <c r="D75" s="121"/>
      <c r="E75" s="120"/>
      <c r="F75" s="120"/>
      <c r="G75" s="120"/>
      <c r="H75" s="121"/>
      <c r="I75" s="120"/>
      <c r="J75" s="120"/>
      <c r="K75" s="121"/>
      <c r="L75" s="120"/>
      <c r="M75" s="121"/>
      <c r="N75" s="121"/>
      <c r="O75" s="121"/>
      <c r="P75" s="121"/>
      <c r="Q75" s="120"/>
      <c r="R75" s="121"/>
      <c r="S75" s="120"/>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0"/>
      <c r="AS75" s="121"/>
      <c r="AT75" s="121"/>
      <c r="AU75" s="121"/>
      <c r="AV75" s="121"/>
      <c r="AW75" s="120"/>
      <c r="AX75" s="120"/>
      <c r="AY75" s="121"/>
      <c r="AZ75" s="120"/>
      <c r="BA75" s="121"/>
      <c r="BB75" s="121"/>
      <c r="BC75" s="120"/>
      <c r="BD75" s="120"/>
      <c r="BE75" s="120"/>
      <c r="BF75" s="121"/>
      <c r="BG75" s="121"/>
      <c r="BH75" s="121"/>
      <c r="BI75" s="121"/>
      <c r="BJ75" s="121"/>
      <c r="BK75" s="121"/>
      <c r="BL75" s="121"/>
      <c r="BM75" s="121"/>
      <c r="BN75" s="121"/>
      <c r="BO75" s="120"/>
      <c r="BP75" s="120"/>
      <c r="BQ75" s="120"/>
      <c r="BR75" s="121"/>
      <c r="BS75" s="121"/>
      <c r="BT75" s="120"/>
      <c r="BU75" s="121"/>
      <c r="BV75" s="121"/>
      <c r="BW75" s="121"/>
      <c r="BX75" s="121"/>
      <c r="BY75" s="120"/>
      <c r="BZ75" s="121"/>
      <c r="CA75" s="121"/>
      <c r="CB75" s="121"/>
      <c r="CC75" s="121"/>
      <c r="CD75" s="121"/>
      <c r="CE75" s="121"/>
      <c r="CF75" s="121"/>
      <c r="CG75" s="121"/>
      <c r="CH75" s="121"/>
      <c r="CI75" s="121"/>
      <c r="CJ75" s="120"/>
      <c r="CK75" s="120"/>
      <c r="CL75" s="121"/>
      <c r="CM75" s="121"/>
      <c r="CN75" s="121"/>
      <c r="CO75" s="121"/>
      <c r="CP75" s="121"/>
      <c r="CQ75" s="121"/>
      <c r="CR75" s="121"/>
      <c r="CS75" s="121"/>
      <c r="CT75" s="121"/>
    </row>
    <row r="76">
      <c r="A76" s="120"/>
      <c r="B76" s="121"/>
      <c r="C76" s="121"/>
      <c r="D76" s="121"/>
      <c r="E76" s="120"/>
      <c r="F76" s="120"/>
      <c r="G76" s="120"/>
      <c r="H76" s="121"/>
      <c r="I76" s="120"/>
      <c r="J76" s="120"/>
      <c r="K76" s="121"/>
      <c r="L76" s="120"/>
      <c r="M76" s="121"/>
      <c r="N76" s="121"/>
      <c r="O76" s="121"/>
      <c r="P76" s="121"/>
      <c r="Q76" s="120"/>
      <c r="R76" s="121"/>
      <c r="S76" s="120"/>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0"/>
      <c r="AS76" s="121"/>
      <c r="AT76" s="121"/>
      <c r="AU76" s="121"/>
      <c r="AV76" s="121"/>
      <c r="AW76" s="120"/>
      <c r="AX76" s="120"/>
      <c r="AY76" s="121"/>
      <c r="AZ76" s="120"/>
      <c r="BA76" s="121"/>
      <c r="BB76" s="121"/>
      <c r="BC76" s="120"/>
      <c r="BD76" s="120"/>
      <c r="BE76" s="120"/>
      <c r="BF76" s="121"/>
      <c r="BG76" s="121"/>
      <c r="BH76" s="121"/>
      <c r="BI76" s="121"/>
      <c r="BJ76" s="121"/>
      <c r="BK76" s="121"/>
      <c r="BL76" s="121"/>
      <c r="BM76" s="121"/>
      <c r="BN76" s="121"/>
      <c r="BO76" s="120"/>
      <c r="BP76" s="120"/>
      <c r="BQ76" s="120"/>
      <c r="BR76" s="121"/>
      <c r="BS76" s="121"/>
      <c r="BT76" s="120"/>
      <c r="BU76" s="121"/>
      <c r="BV76" s="121"/>
      <c r="BW76" s="121"/>
      <c r="BX76" s="121"/>
      <c r="BY76" s="120"/>
      <c r="BZ76" s="121"/>
      <c r="CA76" s="121"/>
      <c r="CB76" s="121"/>
      <c r="CC76" s="121"/>
      <c r="CD76" s="121"/>
      <c r="CE76" s="121"/>
      <c r="CF76" s="121"/>
      <c r="CG76" s="121"/>
      <c r="CH76" s="121"/>
      <c r="CI76" s="121"/>
      <c r="CJ76" s="120"/>
      <c r="CK76" s="120"/>
      <c r="CL76" s="121"/>
      <c r="CM76" s="121"/>
      <c r="CN76" s="121"/>
      <c r="CO76" s="121"/>
      <c r="CP76" s="121"/>
      <c r="CQ76" s="121"/>
      <c r="CR76" s="121"/>
      <c r="CS76" s="121"/>
      <c r="CT76" s="121"/>
    </row>
    <row r="77">
      <c r="A77" s="120"/>
      <c r="B77" s="121"/>
      <c r="C77" s="121"/>
      <c r="D77" s="121"/>
      <c r="E77" s="120"/>
      <c r="F77" s="120"/>
      <c r="G77" s="120"/>
      <c r="H77" s="121"/>
      <c r="I77" s="120"/>
      <c r="J77" s="120"/>
      <c r="K77" s="121"/>
      <c r="L77" s="120"/>
      <c r="M77" s="121"/>
      <c r="N77" s="121"/>
      <c r="O77" s="121"/>
      <c r="P77" s="121"/>
      <c r="Q77" s="120"/>
      <c r="R77" s="121"/>
      <c r="S77" s="120"/>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0"/>
      <c r="AS77" s="121"/>
      <c r="AT77" s="121"/>
      <c r="AU77" s="121"/>
      <c r="AV77" s="121"/>
      <c r="AW77" s="120"/>
      <c r="AX77" s="120"/>
      <c r="AY77" s="121"/>
      <c r="AZ77" s="120"/>
      <c r="BA77" s="121"/>
      <c r="BB77" s="121"/>
      <c r="BC77" s="120"/>
      <c r="BD77" s="120"/>
      <c r="BE77" s="120"/>
      <c r="BF77" s="121"/>
      <c r="BG77" s="121"/>
      <c r="BH77" s="121"/>
      <c r="BI77" s="121"/>
      <c r="BJ77" s="121"/>
      <c r="BK77" s="121"/>
      <c r="BL77" s="121"/>
      <c r="BM77" s="121"/>
      <c r="BN77" s="121"/>
      <c r="BO77" s="120"/>
      <c r="BP77" s="120"/>
      <c r="BQ77" s="120"/>
      <c r="BR77" s="121"/>
      <c r="BS77" s="121"/>
      <c r="BT77" s="120"/>
      <c r="BU77" s="121"/>
      <c r="BV77" s="121"/>
      <c r="BW77" s="121"/>
      <c r="BX77" s="121"/>
      <c r="BY77" s="120"/>
      <c r="BZ77" s="121"/>
      <c r="CA77" s="121"/>
      <c r="CB77" s="121"/>
      <c r="CC77" s="121"/>
      <c r="CD77" s="121"/>
      <c r="CE77" s="121"/>
      <c r="CF77" s="121"/>
      <c r="CG77" s="121"/>
      <c r="CH77" s="121"/>
      <c r="CI77" s="121"/>
      <c r="CJ77" s="120"/>
      <c r="CK77" s="120"/>
      <c r="CL77" s="121"/>
      <c r="CM77" s="121"/>
      <c r="CN77" s="121"/>
      <c r="CO77" s="121"/>
      <c r="CP77" s="121"/>
      <c r="CQ77" s="121"/>
      <c r="CR77" s="121"/>
      <c r="CS77" s="121"/>
      <c r="CT77" s="121"/>
    </row>
    <row r="78">
      <c r="A78" s="120"/>
      <c r="B78" s="121"/>
      <c r="C78" s="121"/>
      <c r="D78" s="121"/>
      <c r="E78" s="120"/>
      <c r="F78" s="120"/>
      <c r="G78" s="120"/>
      <c r="H78" s="121"/>
      <c r="I78" s="120"/>
      <c r="J78" s="120"/>
      <c r="K78" s="121"/>
      <c r="L78" s="120"/>
      <c r="M78" s="121"/>
      <c r="N78" s="121"/>
      <c r="O78" s="121"/>
      <c r="P78" s="121"/>
      <c r="Q78" s="120"/>
      <c r="R78" s="121"/>
      <c r="S78" s="120"/>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0"/>
      <c r="AS78" s="121"/>
      <c r="AT78" s="121"/>
      <c r="AU78" s="121"/>
      <c r="AV78" s="121"/>
      <c r="AW78" s="120"/>
      <c r="AX78" s="120"/>
      <c r="AY78" s="121"/>
      <c r="AZ78" s="120"/>
      <c r="BA78" s="121"/>
      <c r="BB78" s="121"/>
      <c r="BC78" s="120"/>
      <c r="BD78" s="120"/>
      <c r="BE78" s="120"/>
      <c r="BF78" s="121"/>
      <c r="BG78" s="121"/>
      <c r="BH78" s="121"/>
      <c r="BI78" s="121"/>
      <c r="BJ78" s="121"/>
      <c r="BK78" s="121"/>
      <c r="BL78" s="121"/>
      <c r="BM78" s="121"/>
      <c r="BN78" s="121"/>
      <c r="BO78" s="120"/>
      <c r="BP78" s="120"/>
      <c r="BQ78" s="120"/>
      <c r="BR78" s="121"/>
      <c r="BS78" s="121"/>
      <c r="BT78" s="120"/>
      <c r="BU78" s="121"/>
      <c r="BV78" s="121"/>
      <c r="BW78" s="121"/>
      <c r="BX78" s="121"/>
      <c r="BY78" s="120"/>
      <c r="BZ78" s="121"/>
      <c r="CA78" s="121"/>
      <c r="CB78" s="121"/>
      <c r="CC78" s="121"/>
      <c r="CD78" s="121"/>
      <c r="CE78" s="121"/>
      <c r="CF78" s="121"/>
      <c r="CG78" s="121"/>
      <c r="CH78" s="121"/>
      <c r="CI78" s="121"/>
      <c r="CJ78" s="120"/>
      <c r="CK78" s="120"/>
      <c r="CL78" s="121"/>
      <c r="CM78" s="121"/>
      <c r="CN78" s="121"/>
      <c r="CO78" s="121"/>
      <c r="CP78" s="121"/>
      <c r="CQ78" s="121"/>
      <c r="CR78" s="121"/>
      <c r="CS78" s="121"/>
      <c r="CT78" s="121"/>
    </row>
    <row r="79">
      <c r="A79" s="120"/>
      <c r="B79" s="121"/>
      <c r="C79" s="121"/>
      <c r="D79" s="121"/>
      <c r="E79" s="120"/>
      <c r="F79" s="120"/>
      <c r="G79" s="120"/>
      <c r="H79" s="121"/>
      <c r="I79" s="120"/>
      <c r="J79" s="120"/>
      <c r="K79" s="121"/>
      <c r="L79" s="120"/>
      <c r="M79" s="121"/>
      <c r="N79" s="121"/>
      <c r="O79" s="121"/>
      <c r="P79" s="121"/>
      <c r="Q79" s="120"/>
      <c r="R79" s="121"/>
      <c r="S79" s="120"/>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0"/>
      <c r="AS79" s="121"/>
      <c r="AT79" s="121"/>
      <c r="AU79" s="121"/>
      <c r="AV79" s="121"/>
      <c r="AW79" s="120"/>
      <c r="AX79" s="120"/>
      <c r="AY79" s="121"/>
      <c r="AZ79" s="120"/>
      <c r="BA79" s="121"/>
      <c r="BB79" s="121"/>
      <c r="BC79" s="120"/>
      <c r="BD79" s="120"/>
      <c r="BE79" s="120"/>
      <c r="BF79" s="121"/>
      <c r="BG79" s="121"/>
      <c r="BH79" s="121"/>
      <c r="BI79" s="121"/>
      <c r="BJ79" s="121"/>
      <c r="BK79" s="121"/>
      <c r="BL79" s="121"/>
      <c r="BM79" s="121"/>
      <c r="BN79" s="121"/>
      <c r="BO79" s="120"/>
      <c r="BP79" s="120"/>
      <c r="BQ79" s="120"/>
      <c r="BR79" s="121"/>
      <c r="BS79" s="121"/>
      <c r="BT79" s="120"/>
      <c r="BU79" s="121"/>
      <c r="BV79" s="121"/>
      <c r="BW79" s="121"/>
      <c r="BX79" s="121"/>
      <c r="BY79" s="120"/>
      <c r="BZ79" s="121"/>
      <c r="CA79" s="121"/>
      <c r="CB79" s="121"/>
      <c r="CC79" s="121"/>
      <c r="CD79" s="121"/>
      <c r="CE79" s="121"/>
      <c r="CF79" s="121"/>
      <c r="CG79" s="121"/>
      <c r="CH79" s="121"/>
      <c r="CI79" s="121"/>
      <c r="CJ79" s="120"/>
      <c r="CK79" s="120"/>
      <c r="CL79" s="121"/>
      <c r="CM79" s="121"/>
      <c r="CN79" s="121"/>
      <c r="CO79" s="121"/>
      <c r="CP79" s="121"/>
      <c r="CQ79" s="121"/>
      <c r="CR79" s="121"/>
      <c r="CS79" s="121"/>
      <c r="CT79" s="121"/>
    </row>
    <row r="80">
      <c r="A80" s="120"/>
      <c r="B80" s="121"/>
      <c r="C80" s="121"/>
      <c r="D80" s="121"/>
      <c r="E80" s="120"/>
      <c r="F80" s="120"/>
      <c r="G80" s="120"/>
      <c r="H80" s="121"/>
      <c r="I80" s="120"/>
      <c r="J80" s="120"/>
      <c r="K80" s="121"/>
      <c r="L80" s="120"/>
      <c r="M80" s="121"/>
      <c r="N80" s="121"/>
      <c r="O80" s="121"/>
      <c r="P80" s="121"/>
      <c r="Q80" s="120"/>
      <c r="R80" s="121"/>
      <c r="S80" s="120"/>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0"/>
      <c r="AS80" s="121"/>
      <c r="AT80" s="121"/>
      <c r="AU80" s="121"/>
      <c r="AV80" s="121"/>
      <c r="AW80" s="120"/>
      <c r="AX80" s="120"/>
      <c r="AY80" s="121"/>
      <c r="AZ80" s="120"/>
      <c r="BA80" s="121"/>
      <c r="BB80" s="121"/>
      <c r="BC80" s="120"/>
      <c r="BD80" s="120"/>
      <c r="BE80" s="120"/>
      <c r="BF80" s="121"/>
      <c r="BG80" s="121"/>
      <c r="BH80" s="121"/>
      <c r="BI80" s="121"/>
      <c r="BJ80" s="121"/>
      <c r="BK80" s="121"/>
      <c r="BL80" s="121"/>
      <c r="BM80" s="121"/>
      <c r="BN80" s="121"/>
      <c r="BO80" s="120"/>
      <c r="BP80" s="120"/>
      <c r="BQ80" s="120"/>
      <c r="BR80" s="121"/>
      <c r="BS80" s="121"/>
      <c r="BT80" s="120"/>
      <c r="BU80" s="121"/>
      <c r="BV80" s="121"/>
      <c r="BW80" s="121"/>
      <c r="BX80" s="121"/>
      <c r="BY80" s="120"/>
      <c r="BZ80" s="121"/>
      <c r="CA80" s="121"/>
      <c r="CB80" s="121"/>
      <c r="CC80" s="121"/>
      <c r="CD80" s="121"/>
      <c r="CE80" s="121"/>
      <c r="CF80" s="121"/>
      <c r="CG80" s="121"/>
      <c r="CH80" s="121"/>
      <c r="CI80" s="121"/>
      <c r="CJ80" s="120"/>
      <c r="CK80" s="120"/>
      <c r="CL80" s="121"/>
      <c r="CM80" s="121"/>
      <c r="CN80" s="121"/>
      <c r="CO80" s="121"/>
      <c r="CP80" s="121"/>
      <c r="CQ80" s="121"/>
      <c r="CR80" s="121"/>
      <c r="CS80" s="121"/>
      <c r="CT80" s="121"/>
    </row>
    <row r="81">
      <c r="A81" s="120"/>
      <c r="B81" s="121"/>
      <c r="C81" s="121"/>
      <c r="D81" s="121"/>
      <c r="E81" s="120"/>
      <c r="F81" s="120"/>
      <c r="G81" s="120"/>
      <c r="H81" s="121"/>
      <c r="I81" s="120"/>
      <c r="J81" s="120"/>
      <c r="K81" s="121"/>
      <c r="L81" s="120"/>
      <c r="M81" s="121"/>
      <c r="N81" s="121"/>
      <c r="O81" s="121"/>
      <c r="P81" s="121"/>
      <c r="Q81" s="120"/>
      <c r="R81" s="121"/>
      <c r="S81" s="120"/>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0"/>
      <c r="AS81" s="121"/>
      <c r="AT81" s="121"/>
      <c r="AU81" s="121"/>
      <c r="AV81" s="121"/>
      <c r="AW81" s="120"/>
      <c r="AX81" s="120"/>
      <c r="AY81" s="121"/>
      <c r="AZ81" s="120"/>
      <c r="BA81" s="121"/>
      <c r="BB81" s="121"/>
      <c r="BC81" s="120"/>
      <c r="BD81" s="120"/>
      <c r="BE81" s="120"/>
      <c r="BF81" s="121"/>
      <c r="BG81" s="121"/>
      <c r="BH81" s="121"/>
      <c r="BI81" s="121"/>
      <c r="BJ81" s="121"/>
      <c r="BK81" s="121"/>
      <c r="BL81" s="121"/>
      <c r="BM81" s="121"/>
      <c r="BN81" s="121"/>
      <c r="BO81" s="120"/>
      <c r="BP81" s="120"/>
      <c r="BQ81" s="120"/>
      <c r="BR81" s="121"/>
      <c r="BS81" s="121"/>
      <c r="BT81" s="120"/>
      <c r="BU81" s="121"/>
      <c r="BV81" s="121"/>
      <c r="BW81" s="121"/>
      <c r="BX81" s="121"/>
      <c r="BY81" s="120"/>
      <c r="BZ81" s="121"/>
      <c r="CA81" s="121"/>
      <c r="CB81" s="121"/>
      <c r="CC81" s="121"/>
      <c r="CD81" s="121"/>
      <c r="CE81" s="121"/>
      <c r="CF81" s="121"/>
      <c r="CG81" s="121"/>
      <c r="CH81" s="121"/>
      <c r="CI81" s="121"/>
      <c r="CJ81" s="120"/>
      <c r="CK81" s="120"/>
      <c r="CL81" s="121"/>
      <c r="CM81" s="121"/>
      <c r="CN81" s="121"/>
      <c r="CO81" s="121"/>
      <c r="CP81" s="121"/>
      <c r="CQ81" s="121"/>
      <c r="CR81" s="121"/>
      <c r="CS81" s="121"/>
      <c r="CT81" s="121"/>
    </row>
    <row r="82">
      <c r="A82" s="120"/>
      <c r="B82" s="121"/>
      <c r="C82" s="121"/>
      <c r="D82" s="121"/>
      <c r="E82" s="120"/>
      <c r="F82" s="120"/>
      <c r="G82" s="120"/>
      <c r="H82" s="121"/>
      <c r="I82" s="120"/>
      <c r="J82" s="120"/>
      <c r="K82" s="121"/>
      <c r="L82" s="120"/>
      <c r="M82" s="121"/>
      <c r="N82" s="121"/>
      <c r="O82" s="121"/>
      <c r="P82" s="121"/>
      <c r="Q82" s="120"/>
      <c r="R82" s="121"/>
      <c r="S82" s="120"/>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0"/>
      <c r="AS82" s="121"/>
      <c r="AT82" s="121"/>
      <c r="AU82" s="121"/>
      <c r="AV82" s="121"/>
      <c r="AW82" s="120"/>
      <c r="AX82" s="120"/>
      <c r="AY82" s="121"/>
      <c r="AZ82" s="120"/>
      <c r="BA82" s="121"/>
      <c r="BB82" s="121"/>
      <c r="BC82" s="120"/>
      <c r="BD82" s="120"/>
      <c r="BE82" s="120"/>
      <c r="BF82" s="121"/>
      <c r="BG82" s="121"/>
      <c r="BH82" s="121"/>
      <c r="BI82" s="121"/>
      <c r="BJ82" s="121"/>
      <c r="BK82" s="121"/>
      <c r="BL82" s="121"/>
      <c r="BM82" s="121"/>
      <c r="BN82" s="121"/>
      <c r="BO82" s="120"/>
      <c r="BP82" s="120"/>
      <c r="BQ82" s="120"/>
      <c r="BR82" s="121"/>
      <c r="BS82" s="121"/>
      <c r="BT82" s="120"/>
      <c r="BU82" s="121"/>
      <c r="BV82" s="121"/>
      <c r="BW82" s="121"/>
      <c r="BX82" s="121"/>
      <c r="BY82" s="120"/>
      <c r="BZ82" s="121"/>
      <c r="CA82" s="121"/>
      <c r="CB82" s="121"/>
      <c r="CC82" s="121"/>
      <c r="CD82" s="121"/>
      <c r="CE82" s="121"/>
      <c r="CF82" s="121"/>
      <c r="CG82" s="121"/>
      <c r="CH82" s="121"/>
      <c r="CI82" s="121"/>
      <c r="CJ82" s="120"/>
      <c r="CK82" s="120"/>
      <c r="CL82" s="121"/>
      <c r="CM82" s="121"/>
      <c r="CN82" s="121"/>
      <c r="CO82" s="121"/>
      <c r="CP82" s="121"/>
      <c r="CQ82" s="121"/>
      <c r="CR82" s="121"/>
      <c r="CS82" s="121"/>
      <c r="CT82" s="121"/>
    </row>
    <row r="83">
      <c r="A83" s="120"/>
      <c r="B83" s="121"/>
      <c r="C83" s="121"/>
      <c r="D83" s="121"/>
      <c r="E83" s="120"/>
      <c r="F83" s="120"/>
      <c r="G83" s="120"/>
      <c r="H83" s="121"/>
      <c r="I83" s="120"/>
      <c r="J83" s="120"/>
      <c r="K83" s="121"/>
      <c r="L83" s="120"/>
      <c r="M83" s="121"/>
      <c r="N83" s="121"/>
      <c r="O83" s="121"/>
      <c r="P83" s="121"/>
      <c r="Q83" s="120"/>
      <c r="R83" s="121"/>
      <c r="S83" s="120"/>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0"/>
      <c r="AS83" s="121"/>
      <c r="AT83" s="121"/>
      <c r="AU83" s="121"/>
      <c r="AV83" s="121"/>
      <c r="AW83" s="120"/>
      <c r="AX83" s="120"/>
      <c r="AY83" s="121"/>
      <c r="AZ83" s="120"/>
      <c r="BA83" s="121"/>
      <c r="BB83" s="121"/>
      <c r="BC83" s="120"/>
      <c r="BD83" s="120"/>
      <c r="BE83" s="120"/>
      <c r="BF83" s="121"/>
      <c r="BG83" s="121"/>
      <c r="BH83" s="121"/>
      <c r="BI83" s="121"/>
      <c r="BJ83" s="121"/>
      <c r="BK83" s="121"/>
      <c r="BL83" s="121"/>
      <c r="BM83" s="121"/>
      <c r="BN83" s="121"/>
      <c r="BO83" s="120"/>
      <c r="BP83" s="120"/>
      <c r="BQ83" s="120"/>
      <c r="BR83" s="121"/>
      <c r="BS83" s="121"/>
      <c r="BT83" s="120"/>
      <c r="BU83" s="121"/>
      <c r="BV83" s="121"/>
      <c r="BW83" s="121"/>
      <c r="BX83" s="121"/>
      <c r="BY83" s="120"/>
      <c r="BZ83" s="121"/>
      <c r="CA83" s="121"/>
      <c r="CB83" s="121"/>
      <c r="CC83" s="121"/>
      <c r="CD83" s="121"/>
      <c r="CE83" s="121"/>
      <c r="CF83" s="121"/>
      <c r="CG83" s="121"/>
      <c r="CH83" s="121"/>
      <c r="CI83" s="121"/>
      <c r="CJ83" s="120"/>
      <c r="CK83" s="120"/>
      <c r="CL83" s="121"/>
      <c r="CM83" s="121"/>
      <c r="CN83" s="121"/>
      <c r="CO83" s="121"/>
      <c r="CP83" s="121"/>
      <c r="CQ83" s="121"/>
      <c r="CR83" s="121"/>
      <c r="CS83" s="121"/>
      <c r="CT83" s="121"/>
    </row>
    <row r="84">
      <c r="A84" s="120"/>
      <c r="B84" s="121"/>
      <c r="C84" s="121"/>
      <c r="D84" s="121"/>
      <c r="E84" s="120"/>
      <c r="F84" s="120"/>
      <c r="G84" s="120"/>
      <c r="H84" s="121"/>
      <c r="I84" s="120"/>
      <c r="J84" s="120"/>
      <c r="K84" s="121"/>
      <c r="L84" s="120"/>
      <c r="M84" s="121"/>
      <c r="N84" s="121"/>
      <c r="O84" s="121"/>
      <c r="P84" s="121"/>
      <c r="Q84" s="120"/>
      <c r="R84" s="121"/>
      <c r="S84" s="120"/>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0"/>
      <c r="AS84" s="121"/>
      <c r="AT84" s="121"/>
      <c r="AU84" s="121"/>
      <c r="AV84" s="121"/>
      <c r="AW84" s="120"/>
      <c r="AX84" s="120"/>
      <c r="AY84" s="121"/>
      <c r="AZ84" s="120"/>
      <c r="BA84" s="121"/>
      <c r="BB84" s="121"/>
      <c r="BC84" s="120"/>
      <c r="BD84" s="120"/>
      <c r="BE84" s="120"/>
      <c r="BF84" s="121"/>
      <c r="BG84" s="121"/>
      <c r="BH84" s="121"/>
      <c r="BI84" s="121"/>
      <c r="BJ84" s="121"/>
      <c r="BK84" s="121"/>
      <c r="BL84" s="121"/>
      <c r="BM84" s="121"/>
      <c r="BN84" s="121"/>
      <c r="BO84" s="120"/>
      <c r="BP84" s="120"/>
      <c r="BQ84" s="120"/>
      <c r="BR84" s="121"/>
      <c r="BS84" s="121"/>
      <c r="BT84" s="120"/>
      <c r="BU84" s="121"/>
      <c r="BV84" s="121"/>
      <c r="BW84" s="121"/>
      <c r="BX84" s="121"/>
      <c r="BY84" s="120"/>
      <c r="BZ84" s="121"/>
      <c r="CA84" s="121"/>
      <c r="CB84" s="121"/>
      <c r="CC84" s="121"/>
      <c r="CD84" s="121"/>
      <c r="CE84" s="121"/>
      <c r="CF84" s="121"/>
      <c r="CG84" s="121"/>
      <c r="CH84" s="121"/>
      <c r="CI84" s="121"/>
      <c r="CJ84" s="120"/>
      <c r="CK84" s="120"/>
      <c r="CL84" s="121"/>
      <c r="CM84" s="121"/>
      <c r="CN84" s="121"/>
      <c r="CO84" s="121"/>
      <c r="CP84" s="121"/>
      <c r="CQ84" s="121"/>
      <c r="CR84" s="121"/>
      <c r="CS84" s="121"/>
      <c r="CT84" s="121"/>
    </row>
    <row r="85">
      <c r="A85" s="120"/>
      <c r="B85" s="121"/>
      <c r="C85" s="121"/>
      <c r="D85" s="121"/>
      <c r="E85" s="120"/>
      <c r="F85" s="120"/>
      <c r="G85" s="120"/>
      <c r="H85" s="121"/>
      <c r="I85" s="120"/>
      <c r="J85" s="120"/>
      <c r="K85" s="121"/>
      <c r="L85" s="120"/>
      <c r="M85" s="121"/>
      <c r="N85" s="121"/>
      <c r="O85" s="121"/>
      <c r="P85" s="121"/>
      <c r="Q85" s="120"/>
      <c r="R85" s="121"/>
      <c r="S85" s="120"/>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0"/>
      <c r="AS85" s="121"/>
      <c r="AT85" s="121"/>
      <c r="AU85" s="121"/>
      <c r="AV85" s="121"/>
      <c r="AW85" s="120"/>
      <c r="AX85" s="120"/>
      <c r="AY85" s="121"/>
      <c r="AZ85" s="120"/>
      <c r="BA85" s="121"/>
      <c r="BB85" s="121"/>
      <c r="BC85" s="120"/>
      <c r="BD85" s="120"/>
      <c r="BE85" s="120"/>
      <c r="BF85" s="121"/>
      <c r="BG85" s="121"/>
      <c r="BH85" s="121"/>
      <c r="BI85" s="121"/>
      <c r="BJ85" s="121"/>
      <c r="BK85" s="121"/>
      <c r="BL85" s="121"/>
      <c r="BM85" s="121"/>
      <c r="BN85" s="121"/>
      <c r="BO85" s="120"/>
      <c r="BP85" s="120"/>
      <c r="BQ85" s="120"/>
      <c r="BR85" s="121"/>
      <c r="BS85" s="121"/>
      <c r="BT85" s="120"/>
      <c r="BU85" s="121"/>
      <c r="BV85" s="121"/>
      <c r="BW85" s="121"/>
      <c r="BX85" s="121"/>
      <c r="BY85" s="120"/>
      <c r="BZ85" s="121"/>
      <c r="CA85" s="121"/>
      <c r="CB85" s="121"/>
      <c r="CC85" s="121"/>
      <c r="CD85" s="121"/>
      <c r="CE85" s="121"/>
      <c r="CF85" s="121"/>
      <c r="CG85" s="121"/>
      <c r="CH85" s="121"/>
      <c r="CI85" s="121"/>
      <c r="CJ85" s="120"/>
      <c r="CK85" s="120"/>
      <c r="CL85" s="121"/>
      <c r="CM85" s="121"/>
      <c r="CN85" s="121"/>
      <c r="CO85" s="121"/>
      <c r="CP85" s="121"/>
      <c r="CQ85" s="121"/>
      <c r="CR85" s="121"/>
      <c r="CS85" s="121"/>
      <c r="CT85" s="121"/>
    </row>
    <row r="86">
      <c r="A86" s="120"/>
      <c r="B86" s="121"/>
      <c r="C86" s="121"/>
      <c r="D86" s="121"/>
      <c r="E86" s="120"/>
      <c r="F86" s="120"/>
      <c r="G86" s="120"/>
      <c r="H86" s="121"/>
      <c r="I86" s="120"/>
      <c r="J86" s="120"/>
      <c r="K86" s="121"/>
      <c r="L86" s="120"/>
      <c r="M86" s="121"/>
      <c r="N86" s="121"/>
      <c r="O86" s="121"/>
      <c r="P86" s="121"/>
      <c r="Q86" s="120"/>
      <c r="R86" s="121"/>
      <c r="S86" s="120"/>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0"/>
      <c r="AS86" s="121"/>
      <c r="AT86" s="121"/>
      <c r="AU86" s="121"/>
      <c r="AV86" s="121"/>
      <c r="AW86" s="120"/>
      <c r="AX86" s="120"/>
      <c r="AY86" s="121"/>
      <c r="AZ86" s="120"/>
      <c r="BA86" s="121"/>
      <c r="BB86" s="121"/>
      <c r="BC86" s="120"/>
      <c r="BD86" s="120"/>
      <c r="BE86" s="120"/>
      <c r="BF86" s="121"/>
      <c r="BG86" s="121"/>
      <c r="BH86" s="121"/>
      <c r="BI86" s="121"/>
      <c r="BJ86" s="121"/>
      <c r="BK86" s="121"/>
      <c r="BL86" s="121"/>
      <c r="BM86" s="121"/>
      <c r="BN86" s="121"/>
      <c r="BO86" s="120"/>
      <c r="BP86" s="120"/>
      <c r="BQ86" s="120"/>
      <c r="BR86" s="121"/>
      <c r="BS86" s="121"/>
      <c r="BT86" s="120"/>
      <c r="BU86" s="121"/>
      <c r="BV86" s="121"/>
      <c r="BW86" s="121"/>
      <c r="BX86" s="121"/>
      <c r="BY86" s="120"/>
      <c r="BZ86" s="121"/>
      <c r="CA86" s="121"/>
      <c r="CB86" s="121"/>
      <c r="CC86" s="121"/>
      <c r="CD86" s="121"/>
      <c r="CE86" s="121"/>
      <c r="CF86" s="121"/>
      <c r="CG86" s="121"/>
      <c r="CH86" s="121"/>
      <c r="CI86" s="121"/>
      <c r="CJ86" s="120"/>
      <c r="CK86" s="120"/>
      <c r="CL86" s="121"/>
      <c r="CM86" s="121"/>
      <c r="CN86" s="121"/>
      <c r="CO86" s="121"/>
      <c r="CP86" s="121"/>
      <c r="CQ86" s="121"/>
      <c r="CR86" s="121"/>
      <c r="CS86" s="121"/>
      <c r="CT86" s="121"/>
    </row>
    <row r="87">
      <c r="A87" s="120"/>
      <c r="B87" s="121"/>
      <c r="C87" s="121"/>
      <c r="D87" s="121"/>
      <c r="E87" s="120"/>
      <c r="F87" s="120"/>
      <c r="G87" s="120"/>
      <c r="H87" s="121"/>
      <c r="I87" s="120"/>
      <c r="J87" s="120"/>
      <c r="K87" s="121"/>
      <c r="L87" s="120"/>
      <c r="M87" s="121"/>
      <c r="N87" s="121"/>
      <c r="O87" s="121"/>
      <c r="P87" s="121"/>
      <c r="Q87" s="120"/>
      <c r="R87" s="121"/>
      <c r="S87" s="120"/>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0"/>
      <c r="AS87" s="121"/>
      <c r="AT87" s="121"/>
      <c r="AU87" s="121"/>
      <c r="AV87" s="121"/>
      <c r="AW87" s="120"/>
      <c r="AX87" s="120"/>
      <c r="AY87" s="121"/>
      <c r="AZ87" s="120"/>
      <c r="BA87" s="121"/>
      <c r="BB87" s="121"/>
      <c r="BC87" s="120"/>
      <c r="BD87" s="120"/>
      <c r="BE87" s="120"/>
      <c r="BF87" s="121"/>
      <c r="BG87" s="121"/>
      <c r="BH87" s="121"/>
      <c r="BI87" s="121"/>
      <c r="BJ87" s="121"/>
      <c r="BK87" s="121"/>
      <c r="BL87" s="121"/>
      <c r="BM87" s="121"/>
      <c r="BN87" s="121"/>
      <c r="BO87" s="120"/>
      <c r="BP87" s="120"/>
      <c r="BQ87" s="120"/>
      <c r="BR87" s="121"/>
      <c r="BS87" s="121"/>
      <c r="BT87" s="120"/>
      <c r="BU87" s="121"/>
      <c r="BV87" s="121"/>
      <c r="BW87" s="121"/>
      <c r="BX87" s="121"/>
      <c r="BY87" s="120"/>
      <c r="BZ87" s="121"/>
      <c r="CA87" s="121"/>
      <c r="CB87" s="121"/>
      <c r="CC87" s="121"/>
      <c r="CD87" s="121"/>
      <c r="CE87" s="121"/>
      <c r="CF87" s="121"/>
      <c r="CG87" s="121"/>
      <c r="CH87" s="121"/>
      <c r="CI87" s="121"/>
      <c r="CJ87" s="120"/>
      <c r="CK87" s="120"/>
      <c r="CL87" s="121"/>
      <c r="CM87" s="121"/>
      <c r="CN87" s="121"/>
      <c r="CO87" s="121"/>
      <c r="CP87" s="121"/>
      <c r="CQ87" s="121"/>
      <c r="CR87" s="121"/>
      <c r="CS87" s="121"/>
      <c r="CT87" s="121"/>
    </row>
    <row r="88">
      <c r="A88" s="120"/>
      <c r="B88" s="121"/>
      <c r="C88" s="121"/>
      <c r="D88" s="121"/>
      <c r="E88" s="120"/>
      <c r="F88" s="120"/>
      <c r="G88" s="120"/>
      <c r="H88" s="121"/>
      <c r="I88" s="120"/>
      <c r="J88" s="120"/>
      <c r="K88" s="121"/>
      <c r="L88" s="120"/>
      <c r="M88" s="121"/>
      <c r="N88" s="121"/>
      <c r="O88" s="121"/>
      <c r="P88" s="121"/>
      <c r="Q88" s="120"/>
      <c r="R88" s="121"/>
      <c r="S88" s="120"/>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0"/>
      <c r="AS88" s="121"/>
      <c r="AT88" s="121"/>
      <c r="AU88" s="121"/>
      <c r="AV88" s="121"/>
      <c r="AW88" s="120"/>
      <c r="AX88" s="120"/>
      <c r="AY88" s="121"/>
      <c r="AZ88" s="120"/>
      <c r="BA88" s="121"/>
      <c r="BB88" s="121"/>
      <c r="BC88" s="120"/>
      <c r="BD88" s="120"/>
      <c r="BE88" s="120"/>
      <c r="BF88" s="121"/>
      <c r="BG88" s="121"/>
      <c r="BH88" s="121"/>
      <c r="BI88" s="121"/>
      <c r="BJ88" s="121"/>
      <c r="BK88" s="121"/>
      <c r="BL88" s="121"/>
      <c r="BM88" s="121"/>
      <c r="BN88" s="121"/>
      <c r="BO88" s="120"/>
      <c r="BP88" s="120"/>
      <c r="BQ88" s="120"/>
      <c r="BR88" s="121"/>
      <c r="BS88" s="121"/>
      <c r="BT88" s="120"/>
      <c r="BU88" s="121"/>
      <c r="BV88" s="121"/>
      <c r="BW88" s="121"/>
      <c r="BX88" s="121"/>
      <c r="BY88" s="120"/>
      <c r="BZ88" s="121"/>
      <c r="CA88" s="121"/>
      <c r="CB88" s="121"/>
      <c r="CC88" s="121"/>
      <c r="CD88" s="121"/>
      <c r="CE88" s="121"/>
      <c r="CF88" s="121"/>
      <c r="CG88" s="121"/>
      <c r="CH88" s="121"/>
      <c r="CI88" s="121"/>
      <c r="CJ88" s="120"/>
      <c r="CK88" s="120"/>
      <c r="CL88" s="121"/>
      <c r="CM88" s="121"/>
      <c r="CN88" s="121"/>
      <c r="CO88" s="121"/>
      <c r="CP88" s="121"/>
      <c r="CQ88" s="121"/>
      <c r="CR88" s="121"/>
      <c r="CS88" s="121"/>
      <c r="CT88" s="121"/>
    </row>
    <row r="89">
      <c r="A89" s="120"/>
      <c r="B89" s="121"/>
      <c r="C89" s="121"/>
      <c r="D89" s="121"/>
      <c r="E89" s="120"/>
      <c r="F89" s="120"/>
      <c r="G89" s="120"/>
      <c r="H89" s="121"/>
      <c r="I89" s="120"/>
      <c r="J89" s="120"/>
      <c r="K89" s="121"/>
      <c r="L89" s="120"/>
      <c r="M89" s="121"/>
      <c r="N89" s="121"/>
      <c r="O89" s="121"/>
      <c r="P89" s="121"/>
      <c r="Q89" s="120"/>
      <c r="R89" s="121"/>
      <c r="S89" s="120"/>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0"/>
      <c r="AS89" s="121"/>
      <c r="AT89" s="121"/>
      <c r="AU89" s="121"/>
      <c r="AV89" s="121"/>
      <c r="AW89" s="120"/>
      <c r="AX89" s="120"/>
      <c r="AY89" s="121"/>
      <c r="AZ89" s="120"/>
      <c r="BA89" s="121"/>
      <c r="BB89" s="121"/>
      <c r="BC89" s="120"/>
      <c r="BD89" s="120"/>
      <c r="BE89" s="120"/>
      <c r="BF89" s="121"/>
      <c r="BG89" s="121"/>
      <c r="BH89" s="121"/>
      <c r="BI89" s="121"/>
      <c r="BJ89" s="121"/>
      <c r="BK89" s="121"/>
      <c r="BL89" s="121"/>
      <c r="BM89" s="121"/>
      <c r="BN89" s="121"/>
      <c r="BO89" s="120"/>
      <c r="BP89" s="120"/>
      <c r="BQ89" s="120"/>
      <c r="BR89" s="121"/>
      <c r="BS89" s="121"/>
      <c r="BT89" s="120"/>
      <c r="BU89" s="121"/>
      <c r="BV89" s="121"/>
      <c r="BW89" s="121"/>
      <c r="BX89" s="121"/>
      <c r="BY89" s="120"/>
      <c r="BZ89" s="121"/>
      <c r="CA89" s="121"/>
      <c r="CB89" s="121"/>
      <c r="CC89" s="121"/>
      <c r="CD89" s="121"/>
      <c r="CE89" s="121"/>
      <c r="CF89" s="121"/>
      <c r="CG89" s="121"/>
      <c r="CH89" s="121"/>
      <c r="CI89" s="121"/>
      <c r="CJ89" s="120"/>
      <c r="CK89" s="120"/>
      <c r="CL89" s="121"/>
      <c r="CM89" s="121"/>
      <c r="CN89" s="121"/>
      <c r="CO89" s="121"/>
      <c r="CP89" s="121"/>
      <c r="CQ89" s="121"/>
      <c r="CR89" s="121"/>
      <c r="CS89" s="121"/>
      <c r="CT89" s="121"/>
    </row>
    <row r="90">
      <c r="A90" s="120"/>
      <c r="B90" s="121"/>
      <c r="C90" s="121"/>
      <c r="D90" s="121"/>
      <c r="E90" s="120"/>
      <c r="F90" s="120"/>
      <c r="G90" s="120"/>
      <c r="H90" s="121"/>
      <c r="I90" s="120"/>
      <c r="J90" s="120"/>
      <c r="K90" s="121"/>
      <c r="L90" s="120"/>
      <c r="M90" s="121"/>
      <c r="N90" s="121"/>
      <c r="O90" s="121"/>
      <c r="P90" s="121"/>
      <c r="Q90" s="120"/>
      <c r="R90" s="121"/>
      <c r="S90" s="120"/>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0"/>
      <c r="AS90" s="121"/>
      <c r="AT90" s="121"/>
      <c r="AU90" s="121"/>
      <c r="AV90" s="121"/>
      <c r="AW90" s="120"/>
      <c r="AX90" s="120"/>
      <c r="AY90" s="121"/>
      <c r="AZ90" s="120"/>
      <c r="BA90" s="121"/>
      <c r="BB90" s="121"/>
      <c r="BC90" s="120"/>
      <c r="BD90" s="120"/>
      <c r="BE90" s="120"/>
      <c r="BF90" s="121"/>
      <c r="BG90" s="121"/>
      <c r="BH90" s="121"/>
      <c r="BI90" s="121"/>
      <c r="BJ90" s="121"/>
      <c r="BK90" s="121"/>
      <c r="BL90" s="121"/>
      <c r="BM90" s="121"/>
      <c r="BN90" s="121"/>
      <c r="BO90" s="120"/>
      <c r="BP90" s="120"/>
      <c r="BQ90" s="120"/>
      <c r="BR90" s="121"/>
      <c r="BS90" s="121"/>
      <c r="BT90" s="120"/>
      <c r="BU90" s="121"/>
      <c r="BV90" s="121"/>
      <c r="BW90" s="121"/>
      <c r="BX90" s="121"/>
      <c r="BY90" s="120"/>
      <c r="BZ90" s="121"/>
      <c r="CA90" s="121"/>
      <c r="CB90" s="121"/>
      <c r="CC90" s="121"/>
      <c r="CD90" s="121"/>
      <c r="CE90" s="121"/>
      <c r="CF90" s="121"/>
      <c r="CG90" s="121"/>
      <c r="CH90" s="121"/>
      <c r="CI90" s="121"/>
      <c r="CJ90" s="120"/>
      <c r="CK90" s="120"/>
      <c r="CL90" s="121"/>
      <c r="CM90" s="121"/>
      <c r="CN90" s="121"/>
      <c r="CO90" s="121"/>
      <c r="CP90" s="121"/>
      <c r="CQ90" s="121"/>
      <c r="CR90" s="121"/>
      <c r="CS90" s="121"/>
      <c r="CT90" s="121"/>
    </row>
    <row r="91">
      <c r="A91" s="120"/>
      <c r="B91" s="121"/>
      <c r="C91" s="121"/>
      <c r="D91" s="121"/>
      <c r="E91" s="120"/>
      <c r="F91" s="120"/>
      <c r="G91" s="120"/>
      <c r="H91" s="121"/>
      <c r="I91" s="120"/>
      <c r="J91" s="120"/>
      <c r="K91" s="121"/>
      <c r="L91" s="120"/>
      <c r="M91" s="121"/>
      <c r="N91" s="121"/>
      <c r="O91" s="121"/>
      <c r="P91" s="121"/>
      <c r="Q91" s="120"/>
      <c r="R91" s="121"/>
      <c r="S91" s="120"/>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0"/>
      <c r="AS91" s="121"/>
      <c r="AT91" s="121"/>
      <c r="AU91" s="121"/>
      <c r="AV91" s="121"/>
      <c r="AW91" s="120"/>
      <c r="AX91" s="120"/>
      <c r="AY91" s="121"/>
      <c r="AZ91" s="120"/>
      <c r="BA91" s="121"/>
      <c r="BB91" s="121"/>
      <c r="BC91" s="120"/>
      <c r="BD91" s="120"/>
      <c r="BE91" s="120"/>
      <c r="BF91" s="121"/>
      <c r="BG91" s="121"/>
      <c r="BH91" s="121"/>
      <c r="BI91" s="121"/>
      <c r="BJ91" s="121"/>
      <c r="BK91" s="121"/>
      <c r="BL91" s="121"/>
      <c r="BM91" s="121"/>
      <c r="BN91" s="121"/>
      <c r="BO91" s="120"/>
      <c r="BP91" s="120"/>
      <c r="BQ91" s="120"/>
      <c r="BR91" s="121"/>
      <c r="BS91" s="121"/>
      <c r="BT91" s="120"/>
      <c r="BU91" s="121"/>
      <c r="BV91" s="121"/>
      <c r="BW91" s="121"/>
      <c r="BX91" s="121"/>
      <c r="BY91" s="120"/>
      <c r="BZ91" s="121"/>
      <c r="CA91" s="121"/>
      <c r="CB91" s="121"/>
      <c r="CC91" s="121"/>
      <c r="CD91" s="121"/>
      <c r="CE91" s="121"/>
      <c r="CF91" s="121"/>
      <c r="CG91" s="121"/>
      <c r="CH91" s="121"/>
      <c r="CI91" s="121"/>
      <c r="CJ91" s="120"/>
      <c r="CK91" s="120"/>
      <c r="CL91" s="121"/>
      <c r="CM91" s="121"/>
      <c r="CN91" s="121"/>
      <c r="CO91" s="121"/>
      <c r="CP91" s="121"/>
      <c r="CQ91" s="121"/>
      <c r="CR91" s="121"/>
      <c r="CS91" s="121"/>
      <c r="CT91" s="121"/>
    </row>
    <row r="92">
      <c r="A92" s="120"/>
      <c r="B92" s="121"/>
      <c r="C92" s="121"/>
      <c r="D92" s="121"/>
      <c r="E92" s="120"/>
      <c r="F92" s="120"/>
      <c r="G92" s="120"/>
      <c r="H92" s="121"/>
      <c r="I92" s="120"/>
      <c r="J92" s="120"/>
      <c r="K92" s="121"/>
      <c r="L92" s="120"/>
      <c r="M92" s="121"/>
      <c r="N92" s="121"/>
      <c r="O92" s="121"/>
      <c r="P92" s="121"/>
      <c r="Q92" s="120"/>
      <c r="R92" s="121"/>
      <c r="S92" s="120"/>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0"/>
      <c r="AS92" s="121"/>
      <c r="AT92" s="121"/>
      <c r="AU92" s="121"/>
      <c r="AV92" s="121"/>
      <c r="AW92" s="120"/>
      <c r="AX92" s="120"/>
      <c r="AY92" s="121"/>
      <c r="AZ92" s="120"/>
      <c r="BA92" s="121"/>
      <c r="BB92" s="121"/>
      <c r="BC92" s="120"/>
      <c r="BD92" s="120"/>
      <c r="BE92" s="120"/>
      <c r="BF92" s="121"/>
      <c r="BG92" s="121"/>
      <c r="BH92" s="121"/>
      <c r="BI92" s="121"/>
      <c r="BJ92" s="121"/>
      <c r="BK92" s="121"/>
      <c r="BL92" s="121"/>
      <c r="BM92" s="121"/>
      <c r="BN92" s="121"/>
      <c r="BO92" s="120"/>
      <c r="BP92" s="120"/>
      <c r="BQ92" s="120"/>
      <c r="BR92" s="121"/>
      <c r="BS92" s="121"/>
      <c r="BT92" s="120"/>
      <c r="BU92" s="121"/>
      <c r="BV92" s="121"/>
      <c r="BW92" s="121"/>
      <c r="BX92" s="121"/>
      <c r="BY92" s="120"/>
      <c r="BZ92" s="121"/>
      <c r="CA92" s="121"/>
      <c r="CB92" s="121"/>
      <c r="CC92" s="121"/>
      <c r="CD92" s="121"/>
      <c r="CE92" s="121"/>
      <c r="CF92" s="121"/>
      <c r="CG92" s="121"/>
      <c r="CH92" s="121"/>
      <c r="CI92" s="121"/>
      <c r="CJ92" s="120"/>
      <c r="CK92" s="120"/>
      <c r="CL92" s="121"/>
      <c r="CM92" s="121"/>
      <c r="CN92" s="121"/>
      <c r="CO92" s="121"/>
      <c r="CP92" s="121"/>
      <c r="CQ92" s="121"/>
      <c r="CR92" s="121"/>
      <c r="CS92" s="121"/>
      <c r="CT92" s="121"/>
    </row>
    <row r="93">
      <c r="A93" s="120"/>
      <c r="B93" s="121"/>
      <c r="C93" s="121"/>
      <c r="D93" s="121"/>
      <c r="E93" s="120"/>
      <c r="F93" s="120"/>
      <c r="G93" s="120"/>
      <c r="H93" s="121"/>
      <c r="I93" s="120"/>
      <c r="J93" s="120"/>
      <c r="K93" s="121"/>
      <c r="L93" s="120"/>
      <c r="M93" s="121"/>
      <c r="N93" s="121"/>
      <c r="O93" s="121"/>
      <c r="P93" s="121"/>
      <c r="Q93" s="120"/>
      <c r="R93" s="121"/>
      <c r="S93" s="120"/>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0"/>
      <c r="AS93" s="121"/>
      <c r="AT93" s="121"/>
      <c r="AU93" s="121"/>
      <c r="AV93" s="121"/>
      <c r="AW93" s="120"/>
      <c r="AX93" s="120"/>
      <c r="AY93" s="121"/>
      <c r="AZ93" s="120"/>
      <c r="BA93" s="121"/>
      <c r="BB93" s="121"/>
      <c r="BC93" s="120"/>
      <c r="BD93" s="120"/>
      <c r="BE93" s="120"/>
      <c r="BF93" s="121"/>
      <c r="BG93" s="121"/>
      <c r="BH93" s="121"/>
      <c r="BI93" s="121"/>
      <c r="BJ93" s="121"/>
      <c r="BK93" s="121"/>
      <c r="BL93" s="121"/>
      <c r="BM93" s="121"/>
      <c r="BN93" s="121"/>
      <c r="BO93" s="120"/>
      <c r="BP93" s="120"/>
      <c r="BQ93" s="120"/>
      <c r="BR93" s="121"/>
      <c r="BS93" s="121"/>
      <c r="BT93" s="120"/>
      <c r="BU93" s="121"/>
      <c r="BV93" s="121"/>
      <c r="BW93" s="121"/>
      <c r="BX93" s="121"/>
      <c r="BY93" s="120"/>
      <c r="BZ93" s="121"/>
      <c r="CA93" s="121"/>
      <c r="CB93" s="121"/>
      <c r="CC93" s="121"/>
      <c r="CD93" s="121"/>
      <c r="CE93" s="121"/>
      <c r="CF93" s="121"/>
      <c r="CG93" s="121"/>
      <c r="CH93" s="121"/>
      <c r="CI93" s="121"/>
      <c r="CJ93" s="120"/>
      <c r="CK93" s="120"/>
      <c r="CL93" s="121"/>
      <c r="CM93" s="121"/>
      <c r="CN93" s="121"/>
      <c r="CO93" s="121"/>
      <c r="CP93" s="121"/>
      <c r="CQ93" s="121"/>
      <c r="CR93" s="121"/>
      <c r="CS93" s="121"/>
      <c r="CT93" s="121"/>
    </row>
    <row r="94">
      <c r="A94" s="120"/>
      <c r="B94" s="121"/>
      <c r="C94" s="121"/>
      <c r="D94" s="121"/>
      <c r="E94" s="120"/>
      <c r="F94" s="120"/>
      <c r="G94" s="120"/>
      <c r="H94" s="121"/>
      <c r="I94" s="120"/>
      <c r="J94" s="120"/>
      <c r="K94" s="121"/>
      <c r="L94" s="120"/>
      <c r="M94" s="121"/>
      <c r="N94" s="121"/>
      <c r="O94" s="121"/>
      <c r="P94" s="121"/>
      <c r="Q94" s="120"/>
      <c r="R94" s="121"/>
      <c r="S94" s="120"/>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0"/>
      <c r="AS94" s="121"/>
      <c r="AT94" s="121"/>
      <c r="AU94" s="121"/>
      <c r="AV94" s="121"/>
      <c r="AW94" s="120"/>
      <c r="AX94" s="120"/>
      <c r="AY94" s="121"/>
      <c r="AZ94" s="120"/>
      <c r="BA94" s="121"/>
      <c r="BB94" s="121"/>
      <c r="BC94" s="120"/>
      <c r="BD94" s="120"/>
      <c r="BE94" s="120"/>
      <c r="BF94" s="121"/>
      <c r="BG94" s="121"/>
      <c r="BH94" s="121"/>
      <c r="BI94" s="121"/>
      <c r="BJ94" s="121"/>
      <c r="BK94" s="121"/>
      <c r="BL94" s="121"/>
      <c r="BM94" s="121"/>
      <c r="BN94" s="121"/>
      <c r="BO94" s="120"/>
      <c r="BP94" s="120"/>
      <c r="BQ94" s="120"/>
      <c r="BR94" s="121"/>
      <c r="BS94" s="121"/>
      <c r="BT94" s="120"/>
      <c r="BU94" s="121"/>
      <c r="BV94" s="121"/>
      <c r="BW94" s="121"/>
      <c r="BX94" s="121"/>
      <c r="BY94" s="120"/>
      <c r="BZ94" s="121"/>
      <c r="CA94" s="121"/>
      <c r="CB94" s="121"/>
      <c r="CC94" s="121"/>
      <c r="CD94" s="121"/>
      <c r="CE94" s="121"/>
      <c r="CF94" s="121"/>
      <c r="CG94" s="121"/>
      <c r="CH94" s="121"/>
      <c r="CI94" s="121"/>
      <c r="CJ94" s="120"/>
      <c r="CK94" s="120"/>
      <c r="CL94" s="121"/>
      <c r="CM94" s="121"/>
      <c r="CN94" s="121"/>
      <c r="CO94" s="121"/>
      <c r="CP94" s="121"/>
      <c r="CQ94" s="121"/>
      <c r="CR94" s="121"/>
      <c r="CS94" s="121"/>
      <c r="CT94" s="121"/>
    </row>
    <row r="95">
      <c r="A95" s="120"/>
      <c r="B95" s="121"/>
      <c r="C95" s="121"/>
      <c r="D95" s="121"/>
      <c r="E95" s="120"/>
      <c r="F95" s="120"/>
      <c r="G95" s="120"/>
      <c r="H95" s="121"/>
      <c r="I95" s="120"/>
      <c r="J95" s="120"/>
      <c r="K95" s="121"/>
      <c r="L95" s="120"/>
      <c r="M95" s="121"/>
      <c r="N95" s="121"/>
      <c r="O95" s="121"/>
      <c r="P95" s="121"/>
      <c r="Q95" s="120"/>
      <c r="R95" s="121"/>
      <c r="S95" s="120"/>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0"/>
      <c r="AS95" s="121"/>
      <c r="AT95" s="121"/>
      <c r="AU95" s="121"/>
      <c r="AV95" s="121"/>
      <c r="AW95" s="120"/>
      <c r="AX95" s="120"/>
      <c r="AY95" s="121"/>
      <c r="AZ95" s="120"/>
      <c r="BA95" s="121"/>
      <c r="BB95" s="121"/>
      <c r="BC95" s="120"/>
      <c r="BD95" s="120"/>
      <c r="BE95" s="120"/>
      <c r="BF95" s="121"/>
      <c r="BG95" s="121"/>
      <c r="BH95" s="121"/>
      <c r="BI95" s="121"/>
      <c r="BJ95" s="121"/>
      <c r="BK95" s="121"/>
      <c r="BL95" s="121"/>
      <c r="BM95" s="121"/>
      <c r="BN95" s="121"/>
      <c r="BO95" s="120"/>
      <c r="BP95" s="120"/>
      <c r="BQ95" s="120"/>
      <c r="BR95" s="121"/>
      <c r="BS95" s="121"/>
      <c r="BT95" s="120"/>
      <c r="BU95" s="121"/>
      <c r="BV95" s="121"/>
      <c r="BW95" s="121"/>
      <c r="BX95" s="121"/>
      <c r="BY95" s="120"/>
      <c r="BZ95" s="121"/>
      <c r="CA95" s="121"/>
      <c r="CB95" s="121"/>
      <c r="CC95" s="121"/>
      <c r="CD95" s="121"/>
      <c r="CE95" s="121"/>
      <c r="CF95" s="121"/>
      <c r="CG95" s="121"/>
      <c r="CH95" s="121"/>
      <c r="CI95" s="121"/>
      <c r="CJ95" s="120"/>
      <c r="CK95" s="120"/>
      <c r="CL95" s="121"/>
      <c r="CM95" s="121"/>
      <c r="CN95" s="121"/>
      <c r="CO95" s="121"/>
      <c r="CP95" s="121"/>
      <c r="CQ95" s="121"/>
      <c r="CR95" s="121"/>
      <c r="CS95" s="121"/>
      <c r="CT95" s="121"/>
    </row>
    <row r="96">
      <c r="A96" s="120"/>
      <c r="B96" s="121"/>
      <c r="C96" s="121"/>
      <c r="D96" s="121"/>
      <c r="E96" s="120"/>
      <c r="F96" s="120"/>
      <c r="G96" s="120"/>
      <c r="H96" s="121"/>
      <c r="I96" s="120"/>
      <c r="J96" s="120"/>
      <c r="K96" s="121"/>
      <c r="L96" s="120"/>
      <c r="M96" s="121"/>
      <c r="N96" s="121"/>
      <c r="O96" s="121"/>
      <c r="P96" s="121"/>
      <c r="Q96" s="120"/>
      <c r="R96" s="121"/>
      <c r="S96" s="120"/>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0"/>
      <c r="AS96" s="121"/>
      <c r="AT96" s="121"/>
      <c r="AU96" s="121"/>
      <c r="AV96" s="121"/>
      <c r="AW96" s="120"/>
      <c r="AX96" s="120"/>
      <c r="AY96" s="121"/>
      <c r="AZ96" s="120"/>
      <c r="BA96" s="121"/>
      <c r="BB96" s="121"/>
      <c r="BC96" s="120"/>
      <c r="BD96" s="120"/>
      <c r="BE96" s="120"/>
      <c r="BF96" s="121"/>
      <c r="BG96" s="121"/>
      <c r="BH96" s="121"/>
      <c r="BI96" s="121"/>
      <c r="BJ96" s="121"/>
      <c r="BK96" s="121"/>
      <c r="BL96" s="121"/>
      <c r="BM96" s="121"/>
      <c r="BN96" s="121"/>
      <c r="BO96" s="120"/>
      <c r="BP96" s="120"/>
      <c r="BQ96" s="120"/>
      <c r="BR96" s="121"/>
      <c r="BS96" s="121"/>
      <c r="BT96" s="120"/>
      <c r="BU96" s="121"/>
      <c r="BV96" s="121"/>
      <c r="BW96" s="121"/>
      <c r="BX96" s="121"/>
      <c r="BY96" s="120"/>
      <c r="BZ96" s="121"/>
      <c r="CA96" s="121"/>
      <c r="CB96" s="121"/>
      <c r="CC96" s="121"/>
      <c r="CD96" s="121"/>
      <c r="CE96" s="121"/>
      <c r="CF96" s="121"/>
      <c r="CG96" s="121"/>
      <c r="CH96" s="121"/>
      <c r="CI96" s="121"/>
      <c r="CJ96" s="120"/>
      <c r="CK96" s="120"/>
      <c r="CL96" s="121"/>
      <c r="CM96" s="121"/>
      <c r="CN96" s="121"/>
      <c r="CO96" s="121"/>
      <c r="CP96" s="121"/>
      <c r="CQ96" s="121"/>
      <c r="CR96" s="121"/>
      <c r="CS96" s="121"/>
      <c r="CT96" s="121"/>
    </row>
    <row r="97">
      <c r="A97" s="120"/>
      <c r="B97" s="121"/>
      <c r="C97" s="121"/>
      <c r="D97" s="121"/>
      <c r="E97" s="120"/>
      <c r="F97" s="120"/>
      <c r="G97" s="120"/>
      <c r="H97" s="121"/>
      <c r="I97" s="120"/>
      <c r="J97" s="120"/>
      <c r="K97" s="121"/>
      <c r="L97" s="120"/>
      <c r="M97" s="121"/>
      <c r="N97" s="121"/>
      <c r="O97" s="121"/>
      <c r="P97" s="121"/>
      <c r="Q97" s="120"/>
      <c r="R97" s="121"/>
      <c r="S97" s="120"/>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0"/>
      <c r="AS97" s="121"/>
      <c r="AT97" s="121"/>
      <c r="AU97" s="121"/>
      <c r="AV97" s="121"/>
      <c r="AW97" s="120"/>
      <c r="AX97" s="120"/>
      <c r="AY97" s="121"/>
      <c r="AZ97" s="120"/>
      <c r="BA97" s="121"/>
      <c r="BB97" s="121"/>
      <c r="BC97" s="120"/>
      <c r="BD97" s="120"/>
      <c r="BE97" s="120"/>
      <c r="BF97" s="121"/>
      <c r="BG97" s="121"/>
      <c r="BH97" s="121"/>
      <c r="BI97" s="121"/>
      <c r="BJ97" s="121"/>
      <c r="BK97" s="121"/>
      <c r="BL97" s="121"/>
      <c r="BM97" s="121"/>
      <c r="BN97" s="121"/>
      <c r="BO97" s="120"/>
      <c r="BP97" s="120"/>
      <c r="BQ97" s="120"/>
      <c r="BR97" s="121"/>
      <c r="BS97" s="121"/>
      <c r="BT97" s="120"/>
      <c r="BU97" s="121"/>
      <c r="BV97" s="121"/>
      <c r="BW97" s="121"/>
      <c r="BX97" s="121"/>
      <c r="BY97" s="120"/>
      <c r="BZ97" s="121"/>
      <c r="CA97" s="121"/>
      <c r="CB97" s="121"/>
      <c r="CC97" s="121"/>
      <c r="CD97" s="121"/>
      <c r="CE97" s="121"/>
      <c r="CF97" s="121"/>
      <c r="CG97" s="121"/>
      <c r="CH97" s="121"/>
      <c r="CI97" s="121"/>
      <c r="CJ97" s="120"/>
      <c r="CK97" s="120"/>
      <c r="CL97" s="121"/>
      <c r="CM97" s="121"/>
      <c r="CN97" s="121"/>
      <c r="CO97" s="121"/>
      <c r="CP97" s="121"/>
      <c r="CQ97" s="121"/>
      <c r="CR97" s="121"/>
      <c r="CS97" s="121"/>
      <c r="CT97" s="121"/>
    </row>
    <row r="98">
      <c r="A98" s="120"/>
      <c r="B98" s="121"/>
      <c r="C98" s="121"/>
      <c r="D98" s="121"/>
      <c r="E98" s="120"/>
      <c r="F98" s="120"/>
      <c r="G98" s="120"/>
      <c r="H98" s="121"/>
      <c r="I98" s="120"/>
      <c r="J98" s="120"/>
      <c r="K98" s="121"/>
      <c r="L98" s="120"/>
      <c r="M98" s="121"/>
      <c r="N98" s="121"/>
      <c r="O98" s="121"/>
      <c r="P98" s="121"/>
      <c r="Q98" s="120"/>
      <c r="R98" s="121"/>
      <c r="S98" s="120"/>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0"/>
      <c r="AS98" s="121"/>
      <c r="AT98" s="121"/>
      <c r="AU98" s="121"/>
      <c r="AV98" s="121"/>
      <c r="AW98" s="120"/>
      <c r="AX98" s="120"/>
      <c r="AY98" s="121"/>
      <c r="AZ98" s="120"/>
      <c r="BA98" s="121"/>
      <c r="BB98" s="121"/>
      <c r="BC98" s="120"/>
      <c r="BD98" s="120"/>
      <c r="BE98" s="120"/>
      <c r="BF98" s="121"/>
      <c r="BG98" s="121"/>
      <c r="BH98" s="121"/>
      <c r="BI98" s="121"/>
      <c r="BJ98" s="121"/>
      <c r="BK98" s="121"/>
      <c r="BL98" s="121"/>
      <c r="BM98" s="121"/>
      <c r="BN98" s="121"/>
      <c r="BO98" s="120"/>
      <c r="BP98" s="120"/>
      <c r="BQ98" s="120"/>
      <c r="BR98" s="121"/>
      <c r="BS98" s="121"/>
      <c r="BT98" s="120"/>
      <c r="BU98" s="121"/>
      <c r="BV98" s="121"/>
      <c r="BW98" s="121"/>
      <c r="BX98" s="121"/>
      <c r="BY98" s="120"/>
      <c r="BZ98" s="121"/>
      <c r="CA98" s="121"/>
      <c r="CB98" s="121"/>
      <c r="CC98" s="121"/>
      <c r="CD98" s="121"/>
      <c r="CE98" s="121"/>
      <c r="CF98" s="121"/>
      <c r="CG98" s="121"/>
      <c r="CH98" s="121"/>
      <c r="CI98" s="121"/>
      <c r="CJ98" s="120"/>
      <c r="CK98" s="120"/>
      <c r="CL98" s="121"/>
      <c r="CM98" s="121"/>
      <c r="CN98" s="121"/>
      <c r="CO98" s="121"/>
      <c r="CP98" s="121"/>
      <c r="CQ98" s="121"/>
      <c r="CR98" s="121"/>
      <c r="CS98" s="121"/>
      <c r="CT98" s="121"/>
    </row>
    <row r="99">
      <c r="A99" s="120"/>
      <c r="B99" s="121"/>
      <c r="C99" s="121"/>
      <c r="D99" s="121"/>
      <c r="E99" s="120"/>
      <c r="F99" s="120"/>
      <c r="G99" s="120"/>
      <c r="H99" s="121"/>
      <c r="I99" s="120"/>
      <c r="J99" s="120"/>
      <c r="K99" s="121"/>
      <c r="L99" s="120"/>
      <c r="M99" s="121"/>
      <c r="N99" s="121"/>
      <c r="O99" s="121"/>
      <c r="P99" s="121"/>
      <c r="Q99" s="120"/>
      <c r="R99" s="121"/>
      <c r="S99" s="120"/>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0"/>
      <c r="AS99" s="121"/>
      <c r="AT99" s="121"/>
      <c r="AU99" s="121"/>
      <c r="AV99" s="121"/>
      <c r="AW99" s="120"/>
      <c r="AX99" s="120"/>
      <c r="AY99" s="121"/>
      <c r="AZ99" s="120"/>
      <c r="BA99" s="121"/>
      <c r="BB99" s="121"/>
      <c r="BC99" s="120"/>
      <c r="BD99" s="120"/>
      <c r="BE99" s="120"/>
      <c r="BF99" s="121"/>
      <c r="BG99" s="121"/>
      <c r="BH99" s="121"/>
      <c r="BI99" s="121"/>
      <c r="BJ99" s="121"/>
      <c r="BK99" s="121"/>
      <c r="BL99" s="121"/>
      <c r="BM99" s="121"/>
      <c r="BN99" s="121"/>
      <c r="BO99" s="120"/>
      <c r="BP99" s="120"/>
      <c r="BQ99" s="120"/>
      <c r="BR99" s="121"/>
      <c r="BS99" s="121"/>
      <c r="BT99" s="120"/>
      <c r="BU99" s="121"/>
      <c r="BV99" s="121"/>
      <c r="BW99" s="121"/>
      <c r="BX99" s="121"/>
      <c r="BY99" s="120"/>
      <c r="BZ99" s="121"/>
      <c r="CA99" s="121"/>
      <c r="CB99" s="121"/>
      <c r="CC99" s="121"/>
      <c r="CD99" s="121"/>
      <c r="CE99" s="121"/>
      <c r="CF99" s="121"/>
      <c r="CG99" s="121"/>
      <c r="CH99" s="121"/>
      <c r="CI99" s="121"/>
      <c r="CJ99" s="120"/>
      <c r="CK99" s="120"/>
      <c r="CL99" s="121"/>
      <c r="CM99" s="121"/>
      <c r="CN99" s="121"/>
      <c r="CO99" s="121"/>
      <c r="CP99" s="121"/>
      <c r="CQ99" s="121"/>
      <c r="CR99" s="121"/>
      <c r="CS99" s="121"/>
      <c r="CT99" s="121"/>
    </row>
    <row r="100">
      <c r="A100" s="120"/>
      <c r="B100" s="121"/>
      <c r="C100" s="121"/>
      <c r="D100" s="121"/>
      <c r="E100" s="120"/>
      <c r="F100" s="120"/>
      <c r="G100" s="120"/>
      <c r="H100" s="121"/>
      <c r="I100" s="120"/>
      <c r="J100" s="120"/>
      <c r="K100" s="121"/>
      <c r="L100" s="120"/>
      <c r="M100" s="121"/>
      <c r="N100" s="121"/>
      <c r="O100" s="121"/>
      <c r="P100" s="121"/>
      <c r="Q100" s="120"/>
      <c r="R100" s="121"/>
      <c r="S100" s="120"/>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0"/>
      <c r="AS100" s="121"/>
      <c r="AT100" s="121"/>
      <c r="AU100" s="121"/>
      <c r="AV100" s="121"/>
      <c r="AW100" s="120"/>
      <c r="AX100" s="120"/>
      <c r="AY100" s="121"/>
      <c r="AZ100" s="120"/>
      <c r="BA100" s="121"/>
      <c r="BB100" s="121"/>
      <c r="BC100" s="120"/>
      <c r="BD100" s="120"/>
      <c r="BE100" s="120"/>
      <c r="BF100" s="121"/>
      <c r="BG100" s="121"/>
      <c r="BH100" s="121"/>
      <c r="BI100" s="121"/>
      <c r="BJ100" s="121"/>
      <c r="BK100" s="121"/>
      <c r="BL100" s="121"/>
      <c r="BM100" s="121"/>
      <c r="BN100" s="121"/>
      <c r="BO100" s="120"/>
      <c r="BP100" s="120"/>
      <c r="BQ100" s="120"/>
      <c r="BR100" s="121"/>
      <c r="BS100" s="121"/>
      <c r="BT100" s="120"/>
      <c r="BU100" s="121"/>
      <c r="BV100" s="121"/>
      <c r="BW100" s="121"/>
      <c r="BX100" s="121"/>
      <c r="BY100" s="120"/>
      <c r="BZ100" s="121"/>
      <c r="CA100" s="121"/>
      <c r="CB100" s="121"/>
      <c r="CC100" s="121"/>
      <c r="CD100" s="121"/>
      <c r="CE100" s="121"/>
      <c r="CF100" s="121"/>
      <c r="CG100" s="121"/>
      <c r="CH100" s="121"/>
      <c r="CI100" s="121"/>
      <c r="CJ100" s="120"/>
      <c r="CK100" s="120"/>
      <c r="CL100" s="121"/>
      <c r="CM100" s="121"/>
      <c r="CN100" s="121"/>
      <c r="CO100" s="121"/>
      <c r="CP100" s="121"/>
      <c r="CQ100" s="121"/>
      <c r="CR100" s="121"/>
      <c r="CS100" s="121"/>
      <c r="CT100" s="121"/>
    </row>
    <row r="101">
      <c r="A101" s="120"/>
      <c r="B101" s="121"/>
      <c r="C101" s="121"/>
      <c r="D101" s="121"/>
      <c r="E101" s="120"/>
      <c r="F101" s="120"/>
      <c r="G101" s="120"/>
      <c r="H101" s="121"/>
      <c r="I101" s="120"/>
      <c r="J101" s="120"/>
      <c r="K101" s="121"/>
      <c r="L101" s="120"/>
      <c r="M101" s="121"/>
      <c r="N101" s="121"/>
      <c r="O101" s="121"/>
      <c r="P101" s="121"/>
      <c r="Q101" s="120"/>
      <c r="R101" s="121"/>
      <c r="S101" s="120"/>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0"/>
      <c r="AS101" s="121"/>
      <c r="AT101" s="121"/>
      <c r="AU101" s="121"/>
      <c r="AV101" s="121"/>
      <c r="AW101" s="120"/>
      <c r="AX101" s="120"/>
      <c r="AY101" s="121"/>
      <c r="AZ101" s="120"/>
      <c r="BA101" s="121"/>
      <c r="BB101" s="121"/>
      <c r="BC101" s="120"/>
      <c r="BD101" s="120"/>
      <c r="BE101" s="120"/>
      <c r="BF101" s="121"/>
      <c r="BG101" s="121"/>
      <c r="BH101" s="121"/>
      <c r="BI101" s="121"/>
      <c r="BJ101" s="121"/>
      <c r="BK101" s="121"/>
      <c r="BL101" s="121"/>
      <c r="BM101" s="121"/>
      <c r="BN101" s="121"/>
      <c r="BO101" s="120"/>
      <c r="BP101" s="120"/>
      <c r="BQ101" s="120"/>
      <c r="BR101" s="121"/>
      <c r="BS101" s="121"/>
      <c r="BT101" s="120"/>
      <c r="BU101" s="121"/>
      <c r="BV101" s="121"/>
      <c r="BW101" s="121"/>
      <c r="BX101" s="121"/>
      <c r="BY101" s="120"/>
      <c r="BZ101" s="121"/>
      <c r="CA101" s="121"/>
      <c r="CB101" s="121"/>
      <c r="CC101" s="121"/>
      <c r="CD101" s="121"/>
      <c r="CE101" s="121"/>
      <c r="CF101" s="121"/>
      <c r="CG101" s="121"/>
      <c r="CH101" s="121"/>
      <c r="CI101" s="121"/>
      <c r="CJ101" s="120"/>
      <c r="CK101" s="120"/>
      <c r="CL101" s="121"/>
      <c r="CM101" s="121"/>
      <c r="CN101" s="121"/>
      <c r="CO101" s="121"/>
      <c r="CP101" s="121"/>
      <c r="CQ101" s="121"/>
      <c r="CR101" s="121"/>
      <c r="CS101" s="121"/>
      <c r="CT101" s="121"/>
    </row>
    <row r="102">
      <c r="A102" s="120"/>
      <c r="B102" s="121"/>
      <c r="C102" s="121"/>
      <c r="D102" s="121"/>
      <c r="E102" s="120"/>
      <c r="F102" s="120"/>
      <c r="G102" s="120"/>
      <c r="H102" s="121"/>
      <c r="I102" s="120"/>
      <c r="J102" s="120"/>
      <c r="K102" s="121"/>
      <c r="L102" s="120"/>
      <c r="M102" s="121"/>
      <c r="N102" s="121"/>
      <c r="O102" s="121"/>
      <c r="P102" s="121"/>
      <c r="Q102" s="120"/>
      <c r="R102" s="121"/>
      <c r="S102" s="120"/>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0"/>
      <c r="AS102" s="121"/>
      <c r="AT102" s="121"/>
      <c r="AU102" s="121"/>
      <c r="AV102" s="121"/>
      <c r="AW102" s="120"/>
      <c r="AX102" s="120"/>
      <c r="AY102" s="121"/>
      <c r="AZ102" s="120"/>
      <c r="BA102" s="121"/>
      <c r="BB102" s="121"/>
      <c r="BC102" s="120"/>
      <c r="BD102" s="120"/>
      <c r="BE102" s="120"/>
      <c r="BF102" s="121"/>
      <c r="BG102" s="121"/>
      <c r="BH102" s="121"/>
      <c r="BI102" s="121"/>
      <c r="BJ102" s="121"/>
      <c r="BK102" s="121"/>
      <c r="BL102" s="121"/>
      <c r="BM102" s="121"/>
      <c r="BN102" s="121"/>
      <c r="BO102" s="120"/>
      <c r="BP102" s="120"/>
      <c r="BQ102" s="120"/>
      <c r="BR102" s="121"/>
      <c r="BS102" s="121"/>
      <c r="BT102" s="120"/>
      <c r="BU102" s="121"/>
      <c r="BV102" s="121"/>
      <c r="BW102" s="121"/>
      <c r="BX102" s="121"/>
      <c r="BY102" s="120"/>
      <c r="BZ102" s="121"/>
      <c r="CA102" s="121"/>
      <c r="CB102" s="121"/>
      <c r="CC102" s="121"/>
      <c r="CD102" s="121"/>
      <c r="CE102" s="121"/>
      <c r="CF102" s="121"/>
      <c r="CG102" s="121"/>
      <c r="CH102" s="121"/>
      <c r="CI102" s="121"/>
      <c r="CJ102" s="120"/>
      <c r="CK102" s="120"/>
      <c r="CL102" s="121"/>
      <c r="CM102" s="121"/>
      <c r="CN102" s="121"/>
      <c r="CO102" s="121"/>
      <c r="CP102" s="121"/>
      <c r="CQ102" s="121"/>
      <c r="CR102" s="121"/>
      <c r="CS102" s="121"/>
      <c r="CT102" s="121"/>
    </row>
    <row r="103">
      <c r="A103" s="120"/>
      <c r="B103" s="121"/>
      <c r="C103" s="121"/>
      <c r="D103" s="121"/>
      <c r="E103" s="120"/>
      <c r="F103" s="120"/>
      <c r="G103" s="120"/>
      <c r="H103" s="121"/>
      <c r="I103" s="120"/>
      <c r="J103" s="120"/>
      <c r="K103" s="121"/>
      <c r="L103" s="120"/>
      <c r="M103" s="121"/>
      <c r="N103" s="121"/>
      <c r="O103" s="121"/>
      <c r="P103" s="121"/>
      <c r="Q103" s="120"/>
      <c r="R103" s="121"/>
      <c r="S103" s="120"/>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0"/>
      <c r="AS103" s="121"/>
      <c r="AT103" s="121"/>
      <c r="AU103" s="121"/>
      <c r="AV103" s="121"/>
      <c r="AW103" s="120"/>
      <c r="AX103" s="120"/>
      <c r="AY103" s="121"/>
      <c r="AZ103" s="120"/>
      <c r="BA103" s="121"/>
      <c r="BB103" s="121"/>
      <c r="BC103" s="120"/>
      <c r="BD103" s="120"/>
      <c r="BE103" s="120"/>
      <c r="BF103" s="121"/>
      <c r="BG103" s="121"/>
      <c r="BH103" s="121"/>
      <c r="BI103" s="121"/>
      <c r="BJ103" s="121"/>
      <c r="BK103" s="121"/>
      <c r="BL103" s="121"/>
      <c r="BM103" s="121"/>
      <c r="BN103" s="121"/>
      <c r="BO103" s="120"/>
      <c r="BP103" s="120"/>
      <c r="BQ103" s="120"/>
      <c r="BR103" s="121"/>
      <c r="BS103" s="121"/>
      <c r="BT103" s="120"/>
      <c r="BU103" s="121"/>
      <c r="BV103" s="121"/>
      <c r="BW103" s="121"/>
      <c r="BX103" s="121"/>
      <c r="BY103" s="120"/>
      <c r="BZ103" s="121"/>
      <c r="CA103" s="121"/>
      <c r="CB103" s="121"/>
      <c r="CC103" s="121"/>
      <c r="CD103" s="121"/>
      <c r="CE103" s="121"/>
      <c r="CF103" s="121"/>
      <c r="CG103" s="121"/>
      <c r="CH103" s="121"/>
      <c r="CI103" s="121"/>
      <c r="CJ103" s="120"/>
      <c r="CK103" s="120"/>
      <c r="CL103" s="121"/>
      <c r="CM103" s="121"/>
      <c r="CN103" s="121"/>
      <c r="CO103" s="121"/>
      <c r="CP103" s="121"/>
      <c r="CQ103" s="121"/>
      <c r="CR103" s="121"/>
      <c r="CS103" s="121"/>
      <c r="CT103" s="121"/>
    </row>
    <row r="104">
      <c r="A104" s="120"/>
      <c r="B104" s="121"/>
      <c r="C104" s="121"/>
      <c r="D104" s="121"/>
      <c r="E104" s="120"/>
      <c r="F104" s="120"/>
      <c r="G104" s="120"/>
      <c r="H104" s="121"/>
      <c r="I104" s="120"/>
      <c r="J104" s="120"/>
      <c r="K104" s="121"/>
      <c r="L104" s="120"/>
      <c r="M104" s="121"/>
      <c r="N104" s="121"/>
      <c r="O104" s="121"/>
      <c r="P104" s="121"/>
      <c r="Q104" s="120"/>
      <c r="R104" s="121"/>
      <c r="S104" s="120"/>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0"/>
      <c r="AS104" s="121"/>
      <c r="AT104" s="121"/>
      <c r="AU104" s="121"/>
      <c r="AV104" s="121"/>
      <c r="AW104" s="120"/>
      <c r="AX104" s="120"/>
      <c r="AY104" s="121"/>
      <c r="AZ104" s="120"/>
      <c r="BA104" s="121"/>
      <c r="BB104" s="121"/>
      <c r="BC104" s="120"/>
      <c r="BD104" s="120"/>
      <c r="BE104" s="120"/>
      <c r="BF104" s="121"/>
      <c r="BG104" s="121"/>
      <c r="BH104" s="121"/>
      <c r="BI104" s="121"/>
      <c r="BJ104" s="121"/>
      <c r="BK104" s="121"/>
      <c r="BL104" s="121"/>
      <c r="BM104" s="121"/>
      <c r="BN104" s="121"/>
      <c r="BO104" s="120"/>
      <c r="BP104" s="120"/>
      <c r="BQ104" s="120"/>
      <c r="BR104" s="121"/>
      <c r="BS104" s="121"/>
      <c r="BT104" s="120"/>
      <c r="BU104" s="121"/>
      <c r="BV104" s="121"/>
      <c r="BW104" s="121"/>
      <c r="BX104" s="121"/>
      <c r="BY104" s="120"/>
      <c r="BZ104" s="121"/>
      <c r="CA104" s="121"/>
      <c r="CB104" s="121"/>
      <c r="CC104" s="121"/>
      <c r="CD104" s="121"/>
      <c r="CE104" s="121"/>
      <c r="CF104" s="121"/>
      <c r="CG104" s="121"/>
      <c r="CH104" s="121"/>
      <c r="CI104" s="121"/>
      <c r="CJ104" s="120"/>
      <c r="CK104" s="120"/>
      <c r="CL104" s="121"/>
      <c r="CM104" s="121"/>
      <c r="CN104" s="121"/>
      <c r="CO104" s="121"/>
      <c r="CP104" s="121"/>
      <c r="CQ104" s="121"/>
      <c r="CR104" s="121"/>
      <c r="CS104" s="121"/>
      <c r="CT104" s="121"/>
    </row>
    <row r="105">
      <c r="A105" s="120"/>
      <c r="B105" s="121"/>
      <c r="C105" s="121"/>
      <c r="D105" s="121"/>
      <c r="E105" s="120"/>
      <c r="F105" s="120"/>
      <c r="G105" s="120"/>
      <c r="H105" s="121"/>
      <c r="I105" s="120"/>
      <c r="J105" s="120"/>
      <c r="K105" s="121"/>
      <c r="L105" s="120"/>
      <c r="M105" s="121"/>
      <c r="N105" s="121"/>
      <c r="O105" s="121"/>
      <c r="P105" s="121"/>
      <c r="Q105" s="120"/>
      <c r="R105" s="121"/>
      <c r="S105" s="120"/>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0"/>
      <c r="AS105" s="121"/>
      <c r="AT105" s="121"/>
      <c r="AU105" s="121"/>
      <c r="AV105" s="121"/>
      <c r="AW105" s="120"/>
      <c r="AX105" s="120"/>
      <c r="AY105" s="121"/>
      <c r="AZ105" s="120"/>
      <c r="BA105" s="121"/>
      <c r="BB105" s="121"/>
      <c r="BC105" s="120"/>
      <c r="BD105" s="120"/>
      <c r="BE105" s="120"/>
      <c r="BF105" s="121"/>
      <c r="BG105" s="121"/>
      <c r="BH105" s="121"/>
      <c r="BI105" s="121"/>
      <c r="BJ105" s="121"/>
      <c r="BK105" s="121"/>
      <c r="BL105" s="121"/>
      <c r="BM105" s="121"/>
      <c r="BN105" s="121"/>
      <c r="BO105" s="120"/>
      <c r="BP105" s="120"/>
      <c r="BQ105" s="120"/>
      <c r="BR105" s="121"/>
      <c r="BS105" s="121"/>
      <c r="BT105" s="120"/>
      <c r="BU105" s="121"/>
      <c r="BV105" s="121"/>
      <c r="BW105" s="121"/>
      <c r="BX105" s="121"/>
      <c r="BY105" s="120"/>
      <c r="BZ105" s="121"/>
      <c r="CA105" s="121"/>
      <c r="CB105" s="121"/>
      <c r="CC105" s="121"/>
      <c r="CD105" s="121"/>
      <c r="CE105" s="121"/>
      <c r="CF105" s="121"/>
      <c r="CG105" s="121"/>
      <c r="CH105" s="121"/>
      <c r="CI105" s="121"/>
      <c r="CJ105" s="120"/>
      <c r="CK105" s="120"/>
      <c r="CL105" s="121"/>
      <c r="CM105" s="121"/>
      <c r="CN105" s="121"/>
      <c r="CO105" s="121"/>
      <c r="CP105" s="121"/>
      <c r="CQ105" s="121"/>
      <c r="CR105" s="121"/>
      <c r="CS105" s="121"/>
      <c r="CT105" s="121"/>
    </row>
    <row r="106">
      <c r="A106" s="120"/>
      <c r="B106" s="121"/>
      <c r="C106" s="121"/>
      <c r="D106" s="121"/>
      <c r="E106" s="120"/>
      <c r="F106" s="120"/>
      <c r="G106" s="120"/>
      <c r="H106" s="121"/>
      <c r="I106" s="120"/>
      <c r="J106" s="120"/>
      <c r="K106" s="121"/>
      <c r="L106" s="120"/>
      <c r="M106" s="121"/>
      <c r="N106" s="121"/>
      <c r="O106" s="121"/>
      <c r="P106" s="121"/>
      <c r="Q106" s="120"/>
      <c r="R106" s="121"/>
      <c r="S106" s="120"/>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0"/>
      <c r="AS106" s="121"/>
      <c r="AT106" s="121"/>
      <c r="AU106" s="121"/>
      <c r="AV106" s="121"/>
      <c r="AW106" s="120"/>
      <c r="AX106" s="120"/>
      <c r="AY106" s="121"/>
      <c r="AZ106" s="120"/>
      <c r="BA106" s="121"/>
      <c r="BB106" s="121"/>
      <c r="BC106" s="120"/>
      <c r="BD106" s="120"/>
      <c r="BE106" s="120"/>
      <c r="BF106" s="121"/>
      <c r="BG106" s="121"/>
      <c r="BH106" s="121"/>
      <c r="BI106" s="121"/>
      <c r="BJ106" s="121"/>
      <c r="BK106" s="121"/>
      <c r="BL106" s="121"/>
      <c r="BM106" s="121"/>
      <c r="BN106" s="121"/>
      <c r="BO106" s="120"/>
      <c r="BP106" s="120"/>
      <c r="BQ106" s="120"/>
      <c r="BR106" s="121"/>
      <c r="BS106" s="121"/>
      <c r="BT106" s="120"/>
      <c r="BU106" s="121"/>
      <c r="BV106" s="121"/>
      <c r="BW106" s="121"/>
      <c r="BX106" s="121"/>
      <c r="BY106" s="120"/>
      <c r="BZ106" s="121"/>
      <c r="CA106" s="121"/>
      <c r="CB106" s="121"/>
      <c r="CC106" s="121"/>
      <c r="CD106" s="121"/>
      <c r="CE106" s="121"/>
      <c r="CF106" s="121"/>
      <c r="CG106" s="121"/>
      <c r="CH106" s="121"/>
      <c r="CI106" s="121"/>
      <c r="CJ106" s="120"/>
      <c r="CK106" s="120"/>
      <c r="CL106" s="121"/>
      <c r="CM106" s="121"/>
      <c r="CN106" s="121"/>
      <c r="CO106" s="121"/>
      <c r="CP106" s="121"/>
      <c r="CQ106" s="121"/>
      <c r="CR106" s="121"/>
      <c r="CS106" s="121"/>
      <c r="CT106" s="121"/>
    </row>
    <row r="107">
      <c r="A107" s="120"/>
      <c r="B107" s="121"/>
      <c r="C107" s="121"/>
      <c r="D107" s="121"/>
      <c r="E107" s="120"/>
      <c r="F107" s="120"/>
      <c r="G107" s="120"/>
      <c r="H107" s="121"/>
      <c r="I107" s="120"/>
      <c r="J107" s="120"/>
      <c r="K107" s="121"/>
      <c r="L107" s="120"/>
      <c r="M107" s="121"/>
      <c r="N107" s="121"/>
      <c r="O107" s="121"/>
      <c r="P107" s="121"/>
      <c r="Q107" s="120"/>
      <c r="R107" s="121"/>
      <c r="S107" s="120"/>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0"/>
      <c r="AS107" s="121"/>
      <c r="AT107" s="121"/>
      <c r="AU107" s="121"/>
      <c r="AV107" s="121"/>
      <c r="AW107" s="120"/>
      <c r="AX107" s="120"/>
      <c r="AY107" s="121"/>
      <c r="AZ107" s="120"/>
      <c r="BA107" s="121"/>
      <c r="BB107" s="121"/>
      <c r="BC107" s="120"/>
      <c r="BD107" s="120"/>
      <c r="BE107" s="120"/>
      <c r="BF107" s="121"/>
      <c r="BG107" s="121"/>
      <c r="BH107" s="121"/>
      <c r="BI107" s="121"/>
      <c r="BJ107" s="121"/>
      <c r="BK107" s="121"/>
      <c r="BL107" s="121"/>
      <c r="BM107" s="121"/>
      <c r="BN107" s="121"/>
      <c r="BO107" s="120"/>
      <c r="BP107" s="120"/>
      <c r="BQ107" s="120"/>
      <c r="BR107" s="121"/>
      <c r="BS107" s="121"/>
      <c r="BT107" s="120"/>
      <c r="BU107" s="121"/>
      <c r="BV107" s="121"/>
      <c r="BW107" s="121"/>
      <c r="BX107" s="121"/>
      <c r="BY107" s="120"/>
      <c r="BZ107" s="121"/>
      <c r="CA107" s="121"/>
      <c r="CB107" s="121"/>
      <c r="CC107" s="121"/>
      <c r="CD107" s="121"/>
      <c r="CE107" s="121"/>
      <c r="CF107" s="121"/>
      <c r="CG107" s="121"/>
      <c r="CH107" s="121"/>
      <c r="CI107" s="121"/>
      <c r="CJ107" s="120"/>
      <c r="CK107" s="120"/>
      <c r="CL107" s="121"/>
      <c r="CM107" s="121"/>
      <c r="CN107" s="121"/>
      <c r="CO107" s="121"/>
      <c r="CP107" s="121"/>
      <c r="CQ107" s="121"/>
      <c r="CR107" s="121"/>
      <c r="CS107" s="121"/>
      <c r="CT107" s="121"/>
    </row>
    <row r="108">
      <c r="A108" s="120"/>
      <c r="B108" s="121"/>
      <c r="C108" s="121"/>
      <c r="D108" s="121"/>
      <c r="E108" s="120"/>
      <c r="F108" s="120"/>
      <c r="G108" s="120"/>
      <c r="H108" s="121"/>
      <c r="I108" s="120"/>
      <c r="J108" s="120"/>
      <c r="K108" s="121"/>
      <c r="L108" s="120"/>
      <c r="M108" s="121"/>
      <c r="N108" s="121"/>
      <c r="O108" s="121"/>
      <c r="P108" s="121"/>
      <c r="Q108" s="120"/>
      <c r="R108" s="121"/>
      <c r="S108" s="120"/>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0"/>
      <c r="AS108" s="121"/>
      <c r="AT108" s="121"/>
      <c r="AU108" s="121"/>
      <c r="AV108" s="121"/>
      <c r="AW108" s="120"/>
      <c r="AX108" s="120"/>
      <c r="AY108" s="121"/>
      <c r="AZ108" s="120"/>
      <c r="BA108" s="121"/>
      <c r="BB108" s="121"/>
      <c r="BC108" s="120"/>
      <c r="BD108" s="120"/>
      <c r="BE108" s="120"/>
      <c r="BF108" s="121"/>
      <c r="BG108" s="121"/>
      <c r="BH108" s="121"/>
      <c r="BI108" s="121"/>
      <c r="BJ108" s="121"/>
      <c r="BK108" s="121"/>
      <c r="BL108" s="121"/>
      <c r="BM108" s="121"/>
      <c r="BN108" s="121"/>
      <c r="BO108" s="120"/>
      <c r="BP108" s="120"/>
      <c r="BQ108" s="120"/>
      <c r="BR108" s="121"/>
      <c r="BS108" s="121"/>
      <c r="BT108" s="120"/>
      <c r="BU108" s="121"/>
      <c r="BV108" s="121"/>
      <c r="BW108" s="121"/>
      <c r="BX108" s="121"/>
      <c r="BY108" s="120"/>
      <c r="BZ108" s="121"/>
      <c r="CA108" s="121"/>
      <c r="CB108" s="121"/>
      <c r="CC108" s="121"/>
      <c r="CD108" s="121"/>
      <c r="CE108" s="121"/>
      <c r="CF108" s="121"/>
      <c r="CG108" s="121"/>
      <c r="CH108" s="121"/>
      <c r="CI108" s="121"/>
      <c r="CJ108" s="120"/>
      <c r="CK108" s="120"/>
      <c r="CL108" s="121"/>
      <c r="CM108" s="121"/>
      <c r="CN108" s="121"/>
      <c r="CO108" s="121"/>
      <c r="CP108" s="121"/>
      <c r="CQ108" s="121"/>
      <c r="CR108" s="121"/>
      <c r="CS108" s="121"/>
      <c r="CT108" s="121"/>
    </row>
    <row r="109">
      <c r="A109" s="120"/>
      <c r="B109" s="121"/>
      <c r="C109" s="121"/>
      <c r="D109" s="121"/>
      <c r="E109" s="120"/>
      <c r="F109" s="120"/>
      <c r="G109" s="120"/>
      <c r="H109" s="121"/>
      <c r="I109" s="120"/>
      <c r="J109" s="120"/>
      <c r="K109" s="121"/>
      <c r="L109" s="120"/>
      <c r="M109" s="121"/>
      <c r="N109" s="121"/>
      <c r="O109" s="121"/>
      <c r="P109" s="121"/>
      <c r="Q109" s="120"/>
      <c r="R109" s="121"/>
      <c r="S109" s="120"/>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0"/>
      <c r="AS109" s="121"/>
      <c r="AT109" s="121"/>
      <c r="AU109" s="121"/>
      <c r="AV109" s="121"/>
      <c r="AW109" s="120"/>
      <c r="AX109" s="120"/>
      <c r="AY109" s="121"/>
      <c r="AZ109" s="120"/>
      <c r="BA109" s="121"/>
      <c r="BB109" s="121"/>
      <c r="BC109" s="120"/>
      <c r="BD109" s="120"/>
      <c r="BE109" s="120"/>
      <c r="BF109" s="121"/>
      <c r="BG109" s="121"/>
      <c r="BH109" s="121"/>
      <c r="BI109" s="121"/>
      <c r="BJ109" s="121"/>
      <c r="BK109" s="121"/>
      <c r="BL109" s="121"/>
      <c r="BM109" s="121"/>
      <c r="BN109" s="121"/>
      <c r="BO109" s="120"/>
      <c r="BP109" s="120"/>
      <c r="BQ109" s="120"/>
      <c r="BR109" s="121"/>
      <c r="BS109" s="121"/>
      <c r="BT109" s="120"/>
      <c r="BU109" s="121"/>
      <c r="BV109" s="121"/>
      <c r="BW109" s="121"/>
      <c r="BX109" s="121"/>
      <c r="BY109" s="120"/>
      <c r="BZ109" s="121"/>
      <c r="CA109" s="121"/>
      <c r="CB109" s="121"/>
      <c r="CC109" s="121"/>
      <c r="CD109" s="121"/>
      <c r="CE109" s="121"/>
      <c r="CF109" s="121"/>
      <c r="CG109" s="121"/>
      <c r="CH109" s="121"/>
      <c r="CI109" s="121"/>
      <c r="CJ109" s="120"/>
      <c r="CK109" s="120"/>
      <c r="CL109" s="121"/>
      <c r="CM109" s="121"/>
      <c r="CN109" s="121"/>
      <c r="CO109" s="121"/>
      <c r="CP109" s="121"/>
      <c r="CQ109" s="121"/>
      <c r="CR109" s="121"/>
      <c r="CS109" s="121"/>
      <c r="CT109" s="121"/>
    </row>
    <row r="110">
      <c r="A110" s="120"/>
      <c r="B110" s="121"/>
      <c r="C110" s="121"/>
      <c r="D110" s="121"/>
      <c r="E110" s="120"/>
      <c r="F110" s="120"/>
      <c r="G110" s="120"/>
      <c r="H110" s="121"/>
      <c r="I110" s="120"/>
      <c r="J110" s="120"/>
      <c r="K110" s="121"/>
      <c r="L110" s="120"/>
      <c r="M110" s="121"/>
      <c r="N110" s="121"/>
      <c r="O110" s="121"/>
      <c r="P110" s="121"/>
      <c r="Q110" s="120"/>
      <c r="R110" s="121"/>
      <c r="S110" s="120"/>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0"/>
      <c r="AS110" s="121"/>
      <c r="AT110" s="121"/>
      <c r="AU110" s="121"/>
      <c r="AV110" s="121"/>
      <c r="AW110" s="120"/>
      <c r="AX110" s="120"/>
      <c r="AY110" s="121"/>
      <c r="AZ110" s="120"/>
      <c r="BA110" s="121"/>
      <c r="BB110" s="121"/>
      <c r="BC110" s="120"/>
      <c r="BD110" s="120"/>
      <c r="BE110" s="120"/>
      <c r="BF110" s="121"/>
      <c r="BG110" s="121"/>
      <c r="BH110" s="121"/>
      <c r="BI110" s="121"/>
      <c r="BJ110" s="121"/>
      <c r="BK110" s="121"/>
      <c r="BL110" s="121"/>
      <c r="BM110" s="121"/>
      <c r="BN110" s="121"/>
      <c r="BO110" s="120"/>
      <c r="BP110" s="120"/>
      <c r="BQ110" s="120"/>
      <c r="BR110" s="121"/>
      <c r="BS110" s="121"/>
      <c r="BT110" s="120"/>
      <c r="BU110" s="121"/>
      <c r="BV110" s="121"/>
      <c r="BW110" s="121"/>
      <c r="BX110" s="121"/>
      <c r="BY110" s="120"/>
      <c r="BZ110" s="121"/>
      <c r="CA110" s="121"/>
      <c r="CB110" s="121"/>
      <c r="CC110" s="121"/>
      <c r="CD110" s="121"/>
      <c r="CE110" s="121"/>
      <c r="CF110" s="121"/>
      <c r="CG110" s="121"/>
      <c r="CH110" s="121"/>
      <c r="CI110" s="121"/>
      <c r="CJ110" s="120"/>
      <c r="CK110" s="120"/>
      <c r="CL110" s="121"/>
      <c r="CM110" s="121"/>
      <c r="CN110" s="121"/>
      <c r="CO110" s="121"/>
      <c r="CP110" s="121"/>
      <c r="CQ110" s="121"/>
      <c r="CR110" s="121"/>
      <c r="CS110" s="121"/>
      <c r="CT110" s="121"/>
    </row>
    <row r="111">
      <c r="A111" s="120"/>
      <c r="B111" s="121"/>
      <c r="C111" s="121"/>
      <c r="D111" s="121"/>
      <c r="E111" s="120"/>
      <c r="F111" s="120"/>
      <c r="G111" s="120"/>
      <c r="H111" s="121"/>
      <c r="I111" s="120"/>
      <c r="J111" s="120"/>
      <c r="K111" s="121"/>
      <c r="L111" s="120"/>
      <c r="M111" s="121"/>
      <c r="N111" s="121"/>
      <c r="O111" s="121"/>
      <c r="P111" s="121"/>
      <c r="Q111" s="120"/>
      <c r="R111" s="121"/>
      <c r="S111" s="120"/>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0"/>
      <c r="AS111" s="121"/>
      <c r="AT111" s="121"/>
      <c r="AU111" s="121"/>
      <c r="AV111" s="121"/>
      <c r="AW111" s="120"/>
      <c r="AX111" s="120"/>
      <c r="AY111" s="121"/>
      <c r="AZ111" s="120"/>
      <c r="BA111" s="121"/>
      <c r="BB111" s="121"/>
      <c r="BC111" s="120"/>
      <c r="BD111" s="120"/>
      <c r="BE111" s="120"/>
      <c r="BF111" s="121"/>
      <c r="BG111" s="121"/>
      <c r="BH111" s="121"/>
      <c r="BI111" s="121"/>
      <c r="BJ111" s="121"/>
      <c r="BK111" s="121"/>
      <c r="BL111" s="121"/>
      <c r="BM111" s="121"/>
      <c r="BN111" s="121"/>
      <c r="BO111" s="120"/>
      <c r="BP111" s="120"/>
      <c r="BQ111" s="120"/>
      <c r="BR111" s="121"/>
      <c r="BS111" s="121"/>
      <c r="BT111" s="120"/>
      <c r="BU111" s="121"/>
      <c r="BV111" s="121"/>
      <c r="BW111" s="121"/>
      <c r="BX111" s="121"/>
      <c r="BY111" s="120"/>
      <c r="BZ111" s="121"/>
      <c r="CA111" s="121"/>
      <c r="CB111" s="121"/>
      <c r="CC111" s="121"/>
      <c r="CD111" s="121"/>
      <c r="CE111" s="121"/>
      <c r="CF111" s="121"/>
      <c r="CG111" s="121"/>
      <c r="CH111" s="121"/>
      <c r="CI111" s="121"/>
      <c r="CJ111" s="120"/>
      <c r="CK111" s="120"/>
      <c r="CL111" s="121"/>
      <c r="CM111" s="121"/>
      <c r="CN111" s="121"/>
      <c r="CO111" s="121"/>
      <c r="CP111" s="121"/>
      <c r="CQ111" s="121"/>
      <c r="CR111" s="121"/>
      <c r="CS111" s="121"/>
      <c r="CT111" s="121"/>
    </row>
    <row r="112">
      <c r="A112" s="120"/>
      <c r="B112" s="121"/>
      <c r="C112" s="121"/>
      <c r="D112" s="121"/>
      <c r="E112" s="120"/>
      <c r="F112" s="120"/>
      <c r="G112" s="120"/>
      <c r="H112" s="121"/>
      <c r="I112" s="120"/>
      <c r="J112" s="120"/>
      <c r="K112" s="121"/>
      <c r="L112" s="120"/>
      <c r="M112" s="121"/>
      <c r="N112" s="121"/>
      <c r="O112" s="121"/>
      <c r="P112" s="121"/>
      <c r="Q112" s="120"/>
      <c r="R112" s="121"/>
      <c r="S112" s="120"/>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0"/>
      <c r="AS112" s="121"/>
      <c r="AT112" s="121"/>
      <c r="AU112" s="121"/>
      <c r="AV112" s="121"/>
      <c r="AW112" s="120"/>
      <c r="AX112" s="120"/>
      <c r="AY112" s="121"/>
      <c r="AZ112" s="120"/>
      <c r="BA112" s="121"/>
      <c r="BB112" s="121"/>
      <c r="BC112" s="120"/>
      <c r="BD112" s="120"/>
      <c r="BE112" s="120"/>
      <c r="BF112" s="121"/>
      <c r="BG112" s="121"/>
      <c r="BH112" s="121"/>
      <c r="BI112" s="121"/>
      <c r="BJ112" s="121"/>
      <c r="BK112" s="121"/>
      <c r="BL112" s="121"/>
      <c r="BM112" s="121"/>
      <c r="BN112" s="121"/>
      <c r="BO112" s="120"/>
      <c r="BP112" s="120"/>
      <c r="BQ112" s="120"/>
      <c r="BR112" s="121"/>
      <c r="BS112" s="121"/>
      <c r="BT112" s="120"/>
      <c r="BU112" s="121"/>
      <c r="BV112" s="121"/>
      <c r="BW112" s="121"/>
      <c r="BX112" s="121"/>
      <c r="BY112" s="120"/>
      <c r="BZ112" s="121"/>
      <c r="CA112" s="121"/>
      <c r="CB112" s="121"/>
      <c r="CC112" s="121"/>
      <c r="CD112" s="121"/>
      <c r="CE112" s="121"/>
      <c r="CF112" s="121"/>
      <c r="CG112" s="121"/>
      <c r="CH112" s="121"/>
      <c r="CI112" s="121"/>
      <c r="CJ112" s="120"/>
      <c r="CK112" s="120"/>
      <c r="CL112" s="121"/>
      <c r="CM112" s="121"/>
      <c r="CN112" s="121"/>
      <c r="CO112" s="121"/>
      <c r="CP112" s="121"/>
      <c r="CQ112" s="121"/>
      <c r="CR112" s="121"/>
      <c r="CS112" s="121"/>
      <c r="CT112" s="121"/>
    </row>
    <row r="113">
      <c r="A113" s="120"/>
      <c r="B113" s="121"/>
      <c r="C113" s="121"/>
      <c r="D113" s="121"/>
      <c r="E113" s="120"/>
      <c r="F113" s="120"/>
      <c r="G113" s="120"/>
      <c r="H113" s="121"/>
      <c r="I113" s="120"/>
      <c r="J113" s="120"/>
      <c r="K113" s="121"/>
      <c r="L113" s="120"/>
      <c r="M113" s="121"/>
      <c r="N113" s="121"/>
      <c r="O113" s="121"/>
      <c r="P113" s="121"/>
      <c r="Q113" s="120"/>
      <c r="R113" s="121"/>
      <c r="S113" s="120"/>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0"/>
      <c r="AS113" s="121"/>
      <c r="AT113" s="121"/>
      <c r="AU113" s="121"/>
      <c r="AV113" s="121"/>
      <c r="AW113" s="120"/>
      <c r="AX113" s="120"/>
      <c r="AY113" s="121"/>
      <c r="AZ113" s="120"/>
      <c r="BA113" s="121"/>
      <c r="BB113" s="121"/>
      <c r="BC113" s="120"/>
      <c r="BD113" s="120"/>
      <c r="BE113" s="120"/>
      <c r="BF113" s="121"/>
      <c r="BG113" s="121"/>
      <c r="BH113" s="121"/>
      <c r="BI113" s="121"/>
      <c r="BJ113" s="121"/>
      <c r="BK113" s="121"/>
      <c r="BL113" s="121"/>
      <c r="BM113" s="121"/>
      <c r="BN113" s="121"/>
      <c r="BO113" s="120"/>
      <c r="BP113" s="120"/>
      <c r="BQ113" s="120"/>
      <c r="BR113" s="121"/>
      <c r="BS113" s="121"/>
      <c r="BT113" s="120"/>
      <c r="BU113" s="121"/>
      <c r="BV113" s="121"/>
      <c r="BW113" s="121"/>
      <c r="BX113" s="121"/>
      <c r="BY113" s="120"/>
      <c r="BZ113" s="121"/>
      <c r="CA113" s="121"/>
      <c r="CB113" s="121"/>
      <c r="CC113" s="121"/>
      <c r="CD113" s="121"/>
      <c r="CE113" s="121"/>
      <c r="CF113" s="121"/>
      <c r="CG113" s="121"/>
      <c r="CH113" s="121"/>
      <c r="CI113" s="121"/>
      <c r="CJ113" s="120"/>
      <c r="CK113" s="120"/>
      <c r="CL113" s="121"/>
      <c r="CM113" s="121"/>
      <c r="CN113" s="121"/>
      <c r="CO113" s="121"/>
      <c r="CP113" s="121"/>
      <c r="CQ113" s="121"/>
      <c r="CR113" s="121"/>
      <c r="CS113" s="121"/>
      <c r="CT113" s="121"/>
    </row>
    <row r="114">
      <c r="A114" s="120"/>
      <c r="B114" s="121"/>
      <c r="C114" s="121"/>
      <c r="D114" s="121"/>
      <c r="E114" s="120"/>
      <c r="F114" s="120"/>
      <c r="G114" s="120"/>
      <c r="H114" s="121"/>
      <c r="I114" s="120"/>
      <c r="J114" s="120"/>
      <c r="K114" s="121"/>
      <c r="L114" s="120"/>
      <c r="M114" s="121"/>
      <c r="N114" s="121"/>
      <c r="O114" s="121"/>
      <c r="P114" s="121"/>
      <c r="Q114" s="120"/>
      <c r="R114" s="121"/>
      <c r="S114" s="120"/>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0"/>
      <c r="AS114" s="121"/>
      <c r="AT114" s="121"/>
      <c r="AU114" s="121"/>
      <c r="AV114" s="121"/>
      <c r="AW114" s="120"/>
      <c r="AX114" s="120"/>
      <c r="AY114" s="121"/>
      <c r="AZ114" s="120"/>
      <c r="BA114" s="121"/>
      <c r="BB114" s="121"/>
      <c r="BC114" s="120"/>
      <c r="BD114" s="120"/>
      <c r="BE114" s="120"/>
      <c r="BF114" s="121"/>
      <c r="BG114" s="121"/>
      <c r="BH114" s="121"/>
      <c r="BI114" s="121"/>
      <c r="BJ114" s="121"/>
      <c r="BK114" s="121"/>
      <c r="BL114" s="121"/>
      <c r="BM114" s="121"/>
      <c r="BN114" s="121"/>
      <c r="BO114" s="120"/>
      <c r="BP114" s="120"/>
      <c r="BQ114" s="120"/>
      <c r="BR114" s="121"/>
      <c r="BS114" s="121"/>
      <c r="BT114" s="120"/>
      <c r="BU114" s="121"/>
      <c r="BV114" s="121"/>
      <c r="BW114" s="121"/>
      <c r="BX114" s="121"/>
      <c r="BY114" s="120"/>
      <c r="BZ114" s="121"/>
      <c r="CA114" s="121"/>
      <c r="CB114" s="121"/>
      <c r="CC114" s="121"/>
      <c r="CD114" s="121"/>
      <c r="CE114" s="121"/>
      <c r="CF114" s="121"/>
      <c r="CG114" s="121"/>
      <c r="CH114" s="121"/>
      <c r="CI114" s="121"/>
      <c r="CJ114" s="120"/>
      <c r="CK114" s="120"/>
      <c r="CL114" s="121"/>
      <c r="CM114" s="121"/>
      <c r="CN114" s="121"/>
      <c r="CO114" s="121"/>
      <c r="CP114" s="121"/>
      <c r="CQ114" s="121"/>
      <c r="CR114" s="121"/>
      <c r="CS114" s="121"/>
      <c r="CT114" s="121"/>
    </row>
    <row r="115">
      <c r="A115" s="120"/>
      <c r="B115" s="121"/>
      <c r="C115" s="121"/>
      <c r="D115" s="121"/>
      <c r="E115" s="120"/>
      <c r="F115" s="120"/>
      <c r="G115" s="120"/>
      <c r="H115" s="121"/>
      <c r="I115" s="120"/>
      <c r="J115" s="120"/>
      <c r="K115" s="121"/>
      <c r="L115" s="120"/>
      <c r="M115" s="121"/>
      <c r="N115" s="121"/>
      <c r="O115" s="121"/>
      <c r="P115" s="121"/>
      <c r="Q115" s="120"/>
      <c r="R115" s="121"/>
      <c r="S115" s="120"/>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0"/>
      <c r="AS115" s="121"/>
      <c r="AT115" s="121"/>
      <c r="AU115" s="121"/>
      <c r="AV115" s="121"/>
      <c r="AW115" s="120"/>
      <c r="AX115" s="120"/>
      <c r="AY115" s="121"/>
      <c r="AZ115" s="120"/>
      <c r="BA115" s="121"/>
      <c r="BB115" s="121"/>
      <c r="BC115" s="120"/>
      <c r="BD115" s="120"/>
      <c r="BE115" s="120"/>
      <c r="BF115" s="121"/>
      <c r="BG115" s="121"/>
      <c r="BH115" s="121"/>
      <c r="BI115" s="121"/>
      <c r="BJ115" s="121"/>
      <c r="BK115" s="121"/>
      <c r="BL115" s="121"/>
      <c r="BM115" s="121"/>
      <c r="BN115" s="121"/>
      <c r="BO115" s="120"/>
      <c r="BP115" s="120"/>
      <c r="BQ115" s="120"/>
      <c r="BR115" s="121"/>
      <c r="BS115" s="121"/>
      <c r="BT115" s="120"/>
      <c r="BU115" s="121"/>
      <c r="BV115" s="121"/>
      <c r="BW115" s="121"/>
      <c r="BX115" s="121"/>
      <c r="BY115" s="120"/>
      <c r="BZ115" s="121"/>
      <c r="CA115" s="121"/>
      <c r="CB115" s="121"/>
      <c r="CC115" s="121"/>
      <c r="CD115" s="121"/>
      <c r="CE115" s="121"/>
      <c r="CF115" s="121"/>
      <c r="CG115" s="121"/>
      <c r="CH115" s="121"/>
      <c r="CI115" s="121"/>
      <c r="CJ115" s="120"/>
      <c r="CK115" s="120"/>
      <c r="CL115" s="121"/>
      <c r="CM115" s="121"/>
      <c r="CN115" s="121"/>
      <c r="CO115" s="121"/>
      <c r="CP115" s="121"/>
      <c r="CQ115" s="121"/>
      <c r="CR115" s="121"/>
      <c r="CS115" s="121"/>
      <c r="CT115" s="121"/>
    </row>
    <row r="116">
      <c r="A116" s="120"/>
      <c r="B116" s="121"/>
      <c r="C116" s="121"/>
      <c r="D116" s="121"/>
      <c r="E116" s="120"/>
      <c r="F116" s="120"/>
      <c r="G116" s="120"/>
      <c r="H116" s="121"/>
      <c r="I116" s="120"/>
      <c r="J116" s="120"/>
      <c r="K116" s="121"/>
      <c r="L116" s="120"/>
      <c r="M116" s="121"/>
      <c r="N116" s="121"/>
      <c r="O116" s="121"/>
      <c r="P116" s="121"/>
      <c r="Q116" s="120"/>
      <c r="R116" s="121"/>
      <c r="S116" s="120"/>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0"/>
      <c r="AS116" s="121"/>
      <c r="AT116" s="121"/>
      <c r="AU116" s="121"/>
      <c r="AV116" s="121"/>
      <c r="AW116" s="120"/>
      <c r="AX116" s="120"/>
      <c r="AY116" s="121"/>
      <c r="AZ116" s="120"/>
      <c r="BA116" s="121"/>
      <c r="BB116" s="121"/>
      <c r="BC116" s="120"/>
      <c r="BD116" s="120"/>
      <c r="BE116" s="120"/>
      <c r="BF116" s="121"/>
      <c r="BG116" s="121"/>
      <c r="BH116" s="121"/>
      <c r="BI116" s="121"/>
      <c r="BJ116" s="121"/>
      <c r="BK116" s="121"/>
      <c r="BL116" s="121"/>
      <c r="BM116" s="121"/>
      <c r="BN116" s="121"/>
      <c r="BO116" s="120"/>
      <c r="BP116" s="120"/>
      <c r="BQ116" s="120"/>
      <c r="BR116" s="121"/>
      <c r="BS116" s="121"/>
      <c r="BT116" s="120"/>
      <c r="BU116" s="121"/>
      <c r="BV116" s="121"/>
      <c r="BW116" s="121"/>
      <c r="BX116" s="121"/>
      <c r="BY116" s="120"/>
      <c r="BZ116" s="121"/>
      <c r="CA116" s="121"/>
      <c r="CB116" s="121"/>
      <c r="CC116" s="121"/>
      <c r="CD116" s="121"/>
      <c r="CE116" s="121"/>
      <c r="CF116" s="121"/>
      <c r="CG116" s="121"/>
      <c r="CH116" s="121"/>
      <c r="CI116" s="121"/>
      <c r="CJ116" s="120"/>
      <c r="CK116" s="120"/>
      <c r="CL116" s="121"/>
      <c r="CM116" s="121"/>
      <c r="CN116" s="121"/>
      <c r="CO116" s="121"/>
      <c r="CP116" s="121"/>
      <c r="CQ116" s="121"/>
      <c r="CR116" s="121"/>
      <c r="CS116" s="121"/>
      <c r="CT116" s="121"/>
    </row>
    <row r="117">
      <c r="A117" s="120"/>
      <c r="B117" s="121"/>
      <c r="C117" s="121"/>
      <c r="D117" s="121"/>
      <c r="E117" s="120"/>
      <c r="F117" s="120"/>
      <c r="G117" s="120"/>
      <c r="H117" s="121"/>
      <c r="I117" s="120"/>
      <c r="J117" s="120"/>
      <c r="K117" s="121"/>
      <c r="L117" s="120"/>
      <c r="M117" s="121"/>
      <c r="N117" s="121"/>
      <c r="O117" s="121"/>
      <c r="P117" s="121"/>
      <c r="Q117" s="120"/>
      <c r="R117" s="121"/>
      <c r="S117" s="120"/>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0"/>
      <c r="AS117" s="121"/>
      <c r="AT117" s="121"/>
      <c r="AU117" s="121"/>
      <c r="AV117" s="121"/>
      <c r="AW117" s="120"/>
      <c r="AX117" s="120"/>
      <c r="AY117" s="121"/>
      <c r="AZ117" s="120"/>
      <c r="BA117" s="121"/>
      <c r="BB117" s="121"/>
      <c r="BC117" s="120"/>
      <c r="BD117" s="120"/>
      <c r="BE117" s="120"/>
      <c r="BF117" s="121"/>
      <c r="BG117" s="121"/>
      <c r="BH117" s="121"/>
      <c r="BI117" s="121"/>
      <c r="BJ117" s="121"/>
      <c r="BK117" s="121"/>
      <c r="BL117" s="121"/>
      <c r="BM117" s="121"/>
      <c r="BN117" s="121"/>
      <c r="BO117" s="120"/>
      <c r="BP117" s="120"/>
      <c r="BQ117" s="120"/>
      <c r="BR117" s="121"/>
      <c r="BS117" s="121"/>
      <c r="BT117" s="120"/>
      <c r="BU117" s="121"/>
      <c r="BV117" s="121"/>
      <c r="BW117" s="121"/>
      <c r="BX117" s="121"/>
      <c r="BY117" s="120"/>
      <c r="BZ117" s="121"/>
      <c r="CA117" s="121"/>
      <c r="CB117" s="121"/>
      <c r="CC117" s="121"/>
      <c r="CD117" s="121"/>
      <c r="CE117" s="121"/>
      <c r="CF117" s="121"/>
      <c r="CG117" s="121"/>
      <c r="CH117" s="121"/>
      <c r="CI117" s="121"/>
      <c r="CJ117" s="120"/>
      <c r="CK117" s="120"/>
      <c r="CL117" s="121"/>
      <c r="CM117" s="121"/>
      <c r="CN117" s="121"/>
      <c r="CO117" s="121"/>
      <c r="CP117" s="121"/>
      <c r="CQ117" s="121"/>
      <c r="CR117" s="121"/>
      <c r="CS117" s="121"/>
      <c r="CT117" s="121"/>
    </row>
    <row r="118">
      <c r="A118" s="120"/>
      <c r="B118" s="121"/>
      <c r="C118" s="121"/>
      <c r="D118" s="121"/>
      <c r="E118" s="120"/>
      <c r="F118" s="120"/>
      <c r="G118" s="120"/>
      <c r="H118" s="121"/>
      <c r="I118" s="120"/>
      <c r="J118" s="120"/>
      <c r="K118" s="121"/>
      <c r="L118" s="120"/>
      <c r="M118" s="121"/>
      <c r="N118" s="121"/>
      <c r="O118" s="121"/>
      <c r="P118" s="121"/>
      <c r="Q118" s="120"/>
      <c r="R118" s="121"/>
      <c r="S118" s="120"/>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0"/>
      <c r="AS118" s="121"/>
      <c r="AT118" s="121"/>
      <c r="AU118" s="121"/>
      <c r="AV118" s="121"/>
      <c r="AW118" s="120"/>
      <c r="AX118" s="120"/>
      <c r="AY118" s="121"/>
      <c r="AZ118" s="120"/>
      <c r="BA118" s="121"/>
      <c r="BB118" s="121"/>
      <c r="BC118" s="120"/>
      <c r="BD118" s="120"/>
      <c r="BE118" s="120"/>
      <c r="BF118" s="121"/>
      <c r="BG118" s="121"/>
      <c r="BH118" s="121"/>
      <c r="BI118" s="121"/>
      <c r="BJ118" s="121"/>
      <c r="BK118" s="121"/>
      <c r="BL118" s="121"/>
      <c r="BM118" s="121"/>
      <c r="BN118" s="121"/>
      <c r="BO118" s="120"/>
      <c r="BP118" s="120"/>
      <c r="BQ118" s="120"/>
      <c r="BR118" s="121"/>
      <c r="BS118" s="121"/>
      <c r="BT118" s="120"/>
      <c r="BU118" s="121"/>
      <c r="BV118" s="121"/>
      <c r="BW118" s="121"/>
      <c r="BX118" s="121"/>
      <c r="BY118" s="120"/>
      <c r="BZ118" s="121"/>
      <c r="CA118" s="121"/>
      <c r="CB118" s="121"/>
      <c r="CC118" s="121"/>
      <c r="CD118" s="121"/>
      <c r="CE118" s="121"/>
      <c r="CF118" s="121"/>
      <c r="CG118" s="121"/>
      <c r="CH118" s="121"/>
      <c r="CI118" s="121"/>
      <c r="CJ118" s="120"/>
      <c r="CK118" s="120"/>
      <c r="CL118" s="121"/>
      <c r="CM118" s="121"/>
      <c r="CN118" s="121"/>
      <c r="CO118" s="121"/>
      <c r="CP118" s="121"/>
      <c r="CQ118" s="121"/>
      <c r="CR118" s="121"/>
      <c r="CS118" s="121"/>
      <c r="CT118" s="121"/>
    </row>
    <row r="119">
      <c r="A119" s="120"/>
      <c r="B119" s="121"/>
      <c r="C119" s="121"/>
      <c r="D119" s="121"/>
      <c r="E119" s="120"/>
      <c r="F119" s="120"/>
      <c r="G119" s="120"/>
      <c r="H119" s="121"/>
      <c r="I119" s="120"/>
      <c r="J119" s="120"/>
      <c r="K119" s="121"/>
      <c r="L119" s="120"/>
      <c r="M119" s="121"/>
      <c r="N119" s="121"/>
      <c r="O119" s="121"/>
      <c r="P119" s="121"/>
      <c r="Q119" s="120"/>
      <c r="R119" s="121"/>
      <c r="S119" s="120"/>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0"/>
      <c r="AS119" s="121"/>
      <c r="AT119" s="121"/>
      <c r="AU119" s="121"/>
      <c r="AV119" s="121"/>
      <c r="AW119" s="120"/>
      <c r="AX119" s="120"/>
      <c r="AY119" s="121"/>
      <c r="AZ119" s="120"/>
      <c r="BA119" s="121"/>
      <c r="BB119" s="121"/>
      <c r="BC119" s="120"/>
      <c r="BD119" s="120"/>
      <c r="BE119" s="120"/>
      <c r="BF119" s="121"/>
      <c r="BG119" s="121"/>
      <c r="BH119" s="121"/>
      <c r="BI119" s="121"/>
      <c r="BJ119" s="121"/>
      <c r="BK119" s="121"/>
      <c r="BL119" s="121"/>
      <c r="BM119" s="121"/>
      <c r="BN119" s="121"/>
      <c r="BO119" s="120"/>
      <c r="BP119" s="120"/>
      <c r="BQ119" s="120"/>
      <c r="BR119" s="121"/>
      <c r="BS119" s="121"/>
      <c r="BT119" s="120"/>
      <c r="BU119" s="121"/>
      <c r="BV119" s="121"/>
      <c r="BW119" s="121"/>
      <c r="BX119" s="121"/>
      <c r="BY119" s="120"/>
      <c r="BZ119" s="121"/>
      <c r="CA119" s="121"/>
      <c r="CB119" s="121"/>
      <c r="CC119" s="121"/>
      <c r="CD119" s="121"/>
      <c r="CE119" s="121"/>
      <c r="CF119" s="121"/>
      <c r="CG119" s="121"/>
      <c r="CH119" s="121"/>
      <c r="CI119" s="121"/>
      <c r="CJ119" s="120"/>
      <c r="CK119" s="120"/>
      <c r="CL119" s="121"/>
      <c r="CM119" s="121"/>
      <c r="CN119" s="121"/>
      <c r="CO119" s="121"/>
      <c r="CP119" s="121"/>
      <c r="CQ119" s="121"/>
      <c r="CR119" s="121"/>
      <c r="CS119" s="121"/>
      <c r="CT119" s="121"/>
    </row>
    <row r="120">
      <c r="A120" s="120"/>
      <c r="B120" s="121"/>
      <c r="C120" s="121"/>
      <c r="D120" s="121"/>
      <c r="E120" s="120"/>
      <c r="F120" s="120"/>
      <c r="G120" s="120"/>
      <c r="H120" s="121"/>
      <c r="I120" s="120"/>
      <c r="J120" s="120"/>
      <c r="K120" s="121"/>
      <c r="L120" s="120"/>
      <c r="M120" s="121"/>
      <c r="N120" s="121"/>
      <c r="O120" s="121"/>
      <c r="P120" s="121"/>
      <c r="Q120" s="120"/>
      <c r="R120" s="121"/>
      <c r="S120" s="120"/>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0"/>
      <c r="AS120" s="121"/>
      <c r="AT120" s="121"/>
      <c r="AU120" s="121"/>
      <c r="AV120" s="121"/>
      <c r="AW120" s="120"/>
      <c r="AX120" s="120"/>
      <c r="AY120" s="121"/>
      <c r="AZ120" s="120"/>
      <c r="BA120" s="121"/>
      <c r="BB120" s="121"/>
      <c r="BC120" s="120"/>
      <c r="BD120" s="120"/>
      <c r="BE120" s="120"/>
      <c r="BF120" s="121"/>
      <c r="BG120" s="121"/>
      <c r="BH120" s="121"/>
      <c r="BI120" s="121"/>
      <c r="BJ120" s="121"/>
      <c r="BK120" s="121"/>
      <c r="BL120" s="121"/>
      <c r="BM120" s="121"/>
      <c r="BN120" s="121"/>
      <c r="BO120" s="120"/>
      <c r="BP120" s="120"/>
      <c r="BQ120" s="120"/>
      <c r="BR120" s="121"/>
      <c r="BS120" s="121"/>
      <c r="BT120" s="120"/>
      <c r="BU120" s="121"/>
      <c r="BV120" s="121"/>
      <c r="BW120" s="121"/>
      <c r="BX120" s="121"/>
      <c r="BY120" s="120"/>
      <c r="BZ120" s="121"/>
      <c r="CA120" s="121"/>
      <c r="CB120" s="121"/>
      <c r="CC120" s="121"/>
      <c r="CD120" s="121"/>
      <c r="CE120" s="121"/>
      <c r="CF120" s="121"/>
      <c r="CG120" s="121"/>
      <c r="CH120" s="121"/>
      <c r="CI120" s="121"/>
      <c r="CJ120" s="120"/>
      <c r="CK120" s="120"/>
      <c r="CL120" s="121"/>
      <c r="CM120" s="121"/>
      <c r="CN120" s="121"/>
      <c r="CO120" s="121"/>
      <c r="CP120" s="121"/>
      <c r="CQ120" s="121"/>
      <c r="CR120" s="121"/>
      <c r="CS120" s="121"/>
      <c r="CT120" s="121"/>
    </row>
    <row r="121">
      <c r="A121" s="120"/>
      <c r="B121" s="121"/>
      <c r="C121" s="121"/>
      <c r="D121" s="121"/>
      <c r="E121" s="120"/>
      <c r="F121" s="120"/>
      <c r="G121" s="120"/>
      <c r="H121" s="121"/>
      <c r="I121" s="120"/>
      <c r="J121" s="120"/>
      <c r="K121" s="121"/>
      <c r="L121" s="120"/>
      <c r="M121" s="121"/>
      <c r="N121" s="121"/>
      <c r="O121" s="121"/>
      <c r="P121" s="121"/>
      <c r="Q121" s="120"/>
      <c r="R121" s="121"/>
      <c r="S121" s="120"/>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0"/>
      <c r="AS121" s="121"/>
      <c r="AT121" s="121"/>
      <c r="AU121" s="121"/>
      <c r="AV121" s="121"/>
      <c r="AW121" s="120"/>
      <c r="AX121" s="120"/>
      <c r="AY121" s="121"/>
      <c r="AZ121" s="120"/>
      <c r="BA121" s="121"/>
      <c r="BB121" s="121"/>
      <c r="BC121" s="120"/>
      <c r="BD121" s="120"/>
      <c r="BE121" s="120"/>
      <c r="BF121" s="121"/>
      <c r="BG121" s="121"/>
      <c r="BH121" s="121"/>
      <c r="BI121" s="121"/>
      <c r="BJ121" s="121"/>
      <c r="BK121" s="121"/>
      <c r="BL121" s="121"/>
      <c r="BM121" s="121"/>
      <c r="BN121" s="121"/>
      <c r="BO121" s="120"/>
      <c r="BP121" s="120"/>
      <c r="BQ121" s="120"/>
      <c r="BR121" s="121"/>
      <c r="BS121" s="121"/>
      <c r="BT121" s="120"/>
      <c r="BU121" s="121"/>
      <c r="BV121" s="121"/>
      <c r="BW121" s="121"/>
      <c r="BX121" s="121"/>
      <c r="BY121" s="120"/>
      <c r="BZ121" s="121"/>
      <c r="CA121" s="121"/>
      <c r="CB121" s="121"/>
      <c r="CC121" s="121"/>
      <c r="CD121" s="121"/>
      <c r="CE121" s="121"/>
      <c r="CF121" s="121"/>
      <c r="CG121" s="121"/>
      <c r="CH121" s="121"/>
      <c r="CI121" s="121"/>
      <c r="CJ121" s="120"/>
      <c r="CK121" s="120"/>
      <c r="CL121" s="121"/>
      <c r="CM121" s="121"/>
      <c r="CN121" s="121"/>
      <c r="CO121" s="121"/>
      <c r="CP121" s="121"/>
      <c r="CQ121" s="121"/>
      <c r="CR121" s="121"/>
      <c r="CS121" s="121"/>
      <c r="CT121" s="121"/>
    </row>
    <row r="122">
      <c r="A122" s="120"/>
      <c r="B122" s="121"/>
      <c r="C122" s="121"/>
      <c r="D122" s="121"/>
      <c r="E122" s="120"/>
      <c r="F122" s="120"/>
      <c r="G122" s="120"/>
      <c r="H122" s="121"/>
      <c r="I122" s="120"/>
      <c r="J122" s="120"/>
      <c r="K122" s="121"/>
      <c r="L122" s="120"/>
      <c r="M122" s="121"/>
      <c r="N122" s="121"/>
      <c r="O122" s="121"/>
      <c r="P122" s="121"/>
      <c r="Q122" s="120"/>
      <c r="R122" s="121"/>
      <c r="S122" s="120"/>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0"/>
      <c r="AS122" s="121"/>
      <c r="AT122" s="121"/>
      <c r="AU122" s="121"/>
      <c r="AV122" s="121"/>
      <c r="AW122" s="120"/>
      <c r="AX122" s="120"/>
      <c r="AY122" s="121"/>
      <c r="AZ122" s="120"/>
      <c r="BA122" s="121"/>
      <c r="BB122" s="121"/>
      <c r="BC122" s="120"/>
      <c r="BD122" s="120"/>
      <c r="BE122" s="120"/>
      <c r="BF122" s="121"/>
      <c r="BG122" s="121"/>
      <c r="BH122" s="121"/>
      <c r="BI122" s="121"/>
      <c r="BJ122" s="121"/>
      <c r="BK122" s="121"/>
      <c r="BL122" s="121"/>
      <c r="BM122" s="121"/>
      <c r="BN122" s="121"/>
      <c r="BO122" s="120"/>
      <c r="BP122" s="120"/>
      <c r="BQ122" s="120"/>
      <c r="BR122" s="121"/>
      <c r="BS122" s="121"/>
      <c r="BT122" s="120"/>
      <c r="BU122" s="121"/>
      <c r="BV122" s="121"/>
      <c r="BW122" s="121"/>
      <c r="BX122" s="121"/>
      <c r="BY122" s="120"/>
      <c r="BZ122" s="121"/>
      <c r="CA122" s="121"/>
      <c r="CB122" s="121"/>
      <c r="CC122" s="121"/>
      <c r="CD122" s="121"/>
      <c r="CE122" s="121"/>
      <c r="CF122" s="121"/>
      <c r="CG122" s="121"/>
      <c r="CH122" s="121"/>
      <c r="CI122" s="121"/>
      <c r="CJ122" s="120"/>
      <c r="CK122" s="120"/>
      <c r="CL122" s="121"/>
      <c r="CM122" s="121"/>
      <c r="CN122" s="121"/>
      <c r="CO122" s="121"/>
      <c r="CP122" s="121"/>
      <c r="CQ122" s="121"/>
      <c r="CR122" s="121"/>
      <c r="CS122" s="121"/>
      <c r="CT122" s="121"/>
    </row>
    <row r="123">
      <c r="A123" s="120"/>
      <c r="B123" s="121"/>
      <c r="C123" s="121"/>
      <c r="D123" s="121"/>
      <c r="E123" s="120"/>
      <c r="F123" s="120"/>
      <c r="G123" s="120"/>
      <c r="H123" s="121"/>
      <c r="I123" s="120"/>
      <c r="J123" s="120"/>
      <c r="K123" s="121"/>
      <c r="L123" s="120"/>
      <c r="M123" s="121"/>
      <c r="N123" s="121"/>
      <c r="O123" s="121"/>
      <c r="P123" s="121"/>
      <c r="Q123" s="120"/>
      <c r="R123" s="121"/>
      <c r="S123" s="120"/>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0"/>
      <c r="AS123" s="121"/>
      <c r="AT123" s="121"/>
      <c r="AU123" s="121"/>
      <c r="AV123" s="121"/>
      <c r="AW123" s="120"/>
      <c r="AX123" s="120"/>
      <c r="AY123" s="121"/>
      <c r="AZ123" s="120"/>
      <c r="BA123" s="121"/>
      <c r="BB123" s="121"/>
      <c r="BC123" s="120"/>
      <c r="BD123" s="120"/>
      <c r="BE123" s="120"/>
      <c r="BF123" s="121"/>
      <c r="BG123" s="121"/>
      <c r="BH123" s="121"/>
      <c r="BI123" s="121"/>
      <c r="BJ123" s="121"/>
      <c r="BK123" s="121"/>
      <c r="BL123" s="121"/>
      <c r="BM123" s="121"/>
      <c r="BN123" s="121"/>
      <c r="BO123" s="120"/>
      <c r="BP123" s="120"/>
      <c r="BQ123" s="120"/>
      <c r="BR123" s="121"/>
      <c r="BS123" s="121"/>
      <c r="BT123" s="120"/>
      <c r="BU123" s="121"/>
      <c r="BV123" s="121"/>
      <c r="BW123" s="121"/>
      <c r="BX123" s="121"/>
      <c r="BY123" s="120"/>
      <c r="BZ123" s="121"/>
      <c r="CA123" s="121"/>
      <c r="CB123" s="121"/>
      <c r="CC123" s="121"/>
      <c r="CD123" s="121"/>
      <c r="CE123" s="121"/>
      <c r="CF123" s="121"/>
      <c r="CG123" s="121"/>
      <c r="CH123" s="121"/>
      <c r="CI123" s="121"/>
      <c r="CJ123" s="120"/>
      <c r="CK123" s="120"/>
      <c r="CL123" s="121"/>
      <c r="CM123" s="121"/>
      <c r="CN123" s="121"/>
      <c r="CO123" s="121"/>
      <c r="CP123" s="121"/>
      <c r="CQ123" s="121"/>
      <c r="CR123" s="121"/>
      <c r="CS123" s="121"/>
      <c r="CT123" s="121"/>
    </row>
    <row r="124">
      <c r="A124" s="120"/>
      <c r="B124" s="121"/>
      <c r="C124" s="121"/>
      <c r="D124" s="121"/>
      <c r="E124" s="120"/>
      <c r="F124" s="120"/>
      <c r="G124" s="120"/>
      <c r="H124" s="121"/>
      <c r="I124" s="120"/>
      <c r="J124" s="120"/>
      <c r="K124" s="121"/>
      <c r="L124" s="120"/>
      <c r="M124" s="121"/>
      <c r="N124" s="121"/>
      <c r="O124" s="121"/>
      <c r="P124" s="121"/>
      <c r="Q124" s="120"/>
      <c r="R124" s="121"/>
      <c r="S124" s="120"/>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0"/>
      <c r="AS124" s="121"/>
      <c r="AT124" s="121"/>
      <c r="AU124" s="121"/>
      <c r="AV124" s="121"/>
      <c r="AW124" s="120"/>
      <c r="AX124" s="120"/>
      <c r="AY124" s="121"/>
      <c r="AZ124" s="120"/>
      <c r="BA124" s="121"/>
      <c r="BB124" s="121"/>
      <c r="BC124" s="120"/>
      <c r="BD124" s="120"/>
      <c r="BE124" s="120"/>
      <c r="BF124" s="121"/>
      <c r="BG124" s="121"/>
      <c r="BH124" s="121"/>
      <c r="BI124" s="121"/>
      <c r="BJ124" s="121"/>
      <c r="BK124" s="121"/>
      <c r="BL124" s="121"/>
      <c r="BM124" s="121"/>
      <c r="BN124" s="121"/>
      <c r="BO124" s="120"/>
      <c r="BP124" s="120"/>
      <c r="BQ124" s="120"/>
      <c r="BR124" s="121"/>
      <c r="BS124" s="121"/>
      <c r="BT124" s="120"/>
      <c r="BU124" s="121"/>
      <c r="BV124" s="121"/>
      <c r="BW124" s="121"/>
      <c r="BX124" s="121"/>
      <c r="BY124" s="120"/>
      <c r="BZ124" s="121"/>
      <c r="CA124" s="121"/>
      <c r="CB124" s="121"/>
      <c r="CC124" s="121"/>
      <c r="CD124" s="121"/>
      <c r="CE124" s="121"/>
      <c r="CF124" s="121"/>
      <c r="CG124" s="121"/>
      <c r="CH124" s="121"/>
      <c r="CI124" s="121"/>
      <c r="CJ124" s="120"/>
      <c r="CK124" s="120"/>
      <c r="CL124" s="121"/>
      <c r="CM124" s="121"/>
      <c r="CN124" s="121"/>
      <c r="CO124" s="121"/>
      <c r="CP124" s="121"/>
      <c r="CQ124" s="121"/>
      <c r="CR124" s="121"/>
      <c r="CS124" s="121"/>
      <c r="CT124" s="121"/>
    </row>
    <row r="125">
      <c r="A125" s="120"/>
      <c r="B125" s="121"/>
      <c r="C125" s="121"/>
      <c r="D125" s="121"/>
      <c r="E125" s="120"/>
      <c r="F125" s="120"/>
      <c r="G125" s="120"/>
      <c r="H125" s="121"/>
      <c r="I125" s="120"/>
      <c r="J125" s="120"/>
      <c r="K125" s="121"/>
      <c r="L125" s="120"/>
      <c r="M125" s="121"/>
      <c r="N125" s="121"/>
      <c r="O125" s="121"/>
      <c r="P125" s="121"/>
      <c r="Q125" s="120"/>
      <c r="R125" s="121"/>
      <c r="S125" s="120"/>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0"/>
      <c r="AS125" s="121"/>
      <c r="AT125" s="121"/>
      <c r="AU125" s="121"/>
      <c r="AV125" s="121"/>
      <c r="AW125" s="120"/>
      <c r="AX125" s="120"/>
      <c r="AY125" s="121"/>
      <c r="AZ125" s="120"/>
      <c r="BA125" s="121"/>
      <c r="BB125" s="121"/>
      <c r="BC125" s="120"/>
      <c r="BD125" s="120"/>
      <c r="BE125" s="120"/>
      <c r="BF125" s="121"/>
      <c r="BG125" s="121"/>
      <c r="BH125" s="121"/>
      <c r="BI125" s="121"/>
      <c r="BJ125" s="121"/>
      <c r="BK125" s="121"/>
      <c r="BL125" s="121"/>
      <c r="BM125" s="121"/>
      <c r="BN125" s="121"/>
      <c r="BO125" s="120"/>
      <c r="BP125" s="120"/>
      <c r="BQ125" s="120"/>
      <c r="BR125" s="121"/>
      <c r="BS125" s="121"/>
      <c r="BT125" s="120"/>
      <c r="BU125" s="121"/>
      <c r="BV125" s="121"/>
      <c r="BW125" s="121"/>
      <c r="BX125" s="121"/>
      <c r="BY125" s="120"/>
      <c r="BZ125" s="121"/>
      <c r="CA125" s="121"/>
      <c r="CB125" s="121"/>
      <c r="CC125" s="121"/>
      <c r="CD125" s="121"/>
      <c r="CE125" s="121"/>
      <c r="CF125" s="121"/>
      <c r="CG125" s="121"/>
      <c r="CH125" s="121"/>
      <c r="CI125" s="121"/>
      <c r="CJ125" s="120"/>
      <c r="CK125" s="120"/>
      <c r="CL125" s="121"/>
      <c r="CM125" s="121"/>
      <c r="CN125" s="121"/>
      <c r="CO125" s="121"/>
      <c r="CP125" s="121"/>
      <c r="CQ125" s="121"/>
      <c r="CR125" s="121"/>
      <c r="CS125" s="121"/>
      <c r="CT125" s="121"/>
    </row>
    <row r="126">
      <c r="A126" s="120"/>
      <c r="B126" s="121"/>
      <c r="C126" s="121"/>
      <c r="D126" s="121"/>
      <c r="E126" s="120"/>
      <c r="F126" s="120"/>
      <c r="G126" s="120"/>
      <c r="H126" s="121"/>
      <c r="I126" s="120"/>
      <c r="J126" s="120"/>
      <c r="K126" s="121"/>
      <c r="L126" s="120"/>
      <c r="M126" s="121"/>
      <c r="N126" s="121"/>
      <c r="O126" s="121"/>
      <c r="P126" s="121"/>
      <c r="Q126" s="120"/>
      <c r="R126" s="121"/>
      <c r="S126" s="120"/>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0"/>
      <c r="AS126" s="121"/>
      <c r="AT126" s="121"/>
      <c r="AU126" s="121"/>
      <c r="AV126" s="121"/>
      <c r="AW126" s="120"/>
      <c r="AX126" s="120"/>
      <c r="AY126" s="121"/>
      <c r="AZ126" s="120"/>
      <c r="BA126" s="121"/>
      <c r="BB126" s="121"/>
      <c r="BC126" s="120"/>
      <c r="BD126" s="120"/>
      <c r="BE126" s="120"/>
      <c r="BF126" s="121"/>
      <c r="BG126" s="121"/>
      <c r="BH126" s="121"/>
      <c r="BI126" s="121"/>
      <c r="BJ126" s="121"/>
      <c r="BK126" s="121"/>
      <c r="BL126" s="121"/>
      <c r="BM126" s="121"/>
      <c r="BN126" s="121"/>
      <c r="BO126" s="120"/>
      <c r="BP126" s="120"/>
      <c r="BQ126" s="120"/>
      <c r="BR126" s="121"/>
      <c r="BS126" s="121"/>
      <c r="BT126" s="120"/>
      <c r="BU126" s="121"/>
      <c r="BV126" s="121"/>
      <c r="BW126" s="121"/>
      <c r="BX126" s="121"/>
      <c r="BY126" s="120"/>
      <c r="BZ126" s="121"/>
      <c r="CA126" s="121"/>
      <c r="CB126" s="121"/>
      <c r="CC126" s="121"/>
      <c r="CD126" s="121"/>
      <c r="CE126" s="121"/>
      <c r="CF126" s="121"/>
      <c r="CG126" s="121"/>
      <c r="CH126" s="121"/>
      <c r="CI126" s="121"/>
      <c r="CJ126" s="120"/>
      <c r="CK126" s="120"/>
      <c r="CL126" s="121"/>
      <c r="CM126" s="121"/>
      <c r="CN126" s="121"/>
      <c r="CO126" s="121"/>
      <c r="CP126" s="121"/>
      <c r="CQ126" s="121"/>
      <c r="CR126" s="121"/>
      <c r="CS126" s="121"/>
      <c r="CT126" s="121"/>
    </row>
    <row r="127">
      <c r="A127" s="120"/>
      <c r="B127" s="121"/>
      <c r="C127" s="121"/>
      <c r="D127" s="121"/>
      <c r="E127" s="120"/>
      <c r="F127" s="120"/>
      <c r="G127" s="120"/>
      <c r="H127" s="121"/>
      <c r="I127" s="120"/>
      <c r="J127" s="120"/>
      <c r="K127" s="121"/>
      <c r="L127" s="120"/>
      <c r="M127" s="121"/>
      <c r="N127" s="121"/>
      <c r="O127" s="121"/>
      <c r="P127" s="121"/>
      <c r="Q127" s="120"/>
      <c r="R127" s="121"/>
      <c r="S127" s="120"/>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0"/>
      <c r="AS127" s="121"/>
      <c r="AT127" s="121"/>
      <c r="AU127" s="121"/>
      <c r="AV127" s="121"/>
      <c r="AW127" s="120"/>
      <c r="AX127" s="120"/>
      <c r="AY127" s="121"/>
      <c r="AZ127" s="120"/>
      <c r="BA127" s="121"/>
      <c r="BB127" s="121"/>
      <c r="BC127" s="120"/>
      <c r="BD127" s="120"/>
      <c r="BE127" s="120"/>
      <c r="BF127" s="121"/>
      <c r="BG127" s="121"/>
      <c r="BH127" s="121"/>
      <c r="BI127" s="121"/>
      <c r="BJ127" s="121"/>
      <c r="BK127" s="121"/>
      <c r="BL127" s="121"/>
      <c r="BM127" s="121"/>
      <c r="BN127" s="121"/>
      <c r="BO127" s="120"/>
      <c r="BP127" s="120"/>
      <c r="BQ127" s="120"/>
      <c r="BR127" s="121"/>
      <c r="BS127" s="121"/>
      <c r="BT127" s="120"/>
      <c r="BU127" s="121"/>
      <c r="BV127" s="121"/>
      <c r="BW127" s="121"/>
      <c r="BX127" s="121"/>
      <c r="BY127" s="120"/>
      <c r="BZ127" s="121"/>
      <c r="CA127" s="121"/>
      <c r="CB127" s="121"/>
      <c r="CC127" s="121"/>
      <c r="CD127" s="121"/>
      <c r="CE127" s="121"/>
      <c r="CF127" s="121"/>
      <c r="CG127" s="121"/>
      <c r="CH127" s="121"/>
      <c r="CI127" s="121"/>
      <c r="CJ127" s="120"/>
      <c r="CK127" s="120"/>
      <c r="CL127" s="121"/>
      <c r="CM127" s="121"/>
      <c r="CN127" s="121"/>
      <c r="CO127" s="121"/>
      <c r="CP127" s="121"/>
      <c r="CQ127" s="121"/>
      <c r="CR127" s="121"/>
      <c r="CS127" s="121"/>
      <c r="CT127" s="121"/>
    </row>
    <row r="128">
      <c r="A128" s="120"/>
      <c r="B128" s="121"/>
      <c r="C128" s="121"/>
      <c r="D128" s="121"/>
      <c r="E128" s="120"/>
      <c r="F128" s="120"/>
      <c r="G128" s="120"/>
      <c r="H128" s="121"/>
      <c r="I128" s="120"/>
      <c r="J128" s="120"/>
      <c r="K128" s="121"/>
      <c r="L128" s="120"/>
      <c r="M128" s="121"/>
      <c r="N128" s="121"/>
      <c r="O128" s="121"/>
      <c r="P128" s="121"/>
      <c r="Q128" s="120"/>
      <c r="R128" s="121"/>
      <c r="S128" s="120"/>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0"/>
      <c r="AS128" s="121"/>
      <c r="AT128" s="121"/>
      <c r="AU128" s="121"/>
      <c r="AV128" s="121"/>
      <c r="AW128" s="120"/>
      <c r="AX128" s="120"/>
      <c r="AY128" s="121"/>
      <c r="AZ128" s="120"/>
      <c r="BA128" s="121"/>
      <c r="BB128" s="121"/>
      <c r="BC128" s="120"/>
      <c r="BD128" s="120"/>
      <c r="BE128" s="120"/>
      <c r="BF128" s="121"/>
      <c r="BG128" s="121"/>
      <c r="BH128" s="121"/>
      <c r="BI128" s="121"/>
      <c r="BJ128" s="121"/>
      <c r="BK128" s="121"/>
      <c r="BL128" s="121"/>
      <c r="BM128" s="121"/>
      <c r="BN128" s="121"/>
      <c r="BO128" s="120"/>
      <c r="BP128" s="120"/>
      <c r="BQ128" s="120"/>
      <c r="BR128" s="121"/>
      <c r="BS128" s="121"/>
      <c r="BT128" s="120"/>
      <c r="BU128" s="121"/>
      <c r="BV128" s="121"/>
      <c r="BW128" s="121"/>
      <c r="BX128" s="121"/>
      <c r="BY128" s="120"/>
      <c r="BZ128" s="121"/>
      <c r="CA128" s="121"/>
      <c r="CB128" s="121"/>
      <c r="CC128" s="121"/>
      <c r="CD128" s="121"/>
      <c r="CE128" s="121"/>
      <c r="CF128" s="121"/>
      <c r="CG128" s="121"/>
      <c r="CH128" s="121"/>
      <c r="CI128" s="121"/>
      <c r="CJ128" s="120"/>
      <c r="CK128" s="120"/>
      <c r="CL128" s="121"/>
      <c r="CM128" s="121"/>
      <c r="CN128" s="121"/>
      <c r="CO128" s="121"/>
      <c r="CP128" s="121"/>
      <c r="CQ128" s="121"/>
      <c r="CR128" s="121"/>
      <c r="CS128" s="121"/>
      <c r="CT128" s="121"/>
    </row>
    <row r="129">
      <c r="A129" s="120"/>
      <c r="B129" s="121"/>
      <c r="C129" s="121"/>
      <c r="D129" s="121"/>
      <c r="E129" s="120"/>
      <c r="F129" s="120"/>
      <c r="G129" s="120"/>
      <c r="H129" s="121"/>
      <c r="I129" s="120"/>
      <c r="J129" s="120"/>
      <c r="K129" s="121"/>
      <c r="L129" s="120"/>
      <c r="M129" s="121"/>
      <c r="N129" s="121"/>
      <c r="O129" s="121"/>
      <c r="P129" s="121"/>
      <c r="Q129" s="120"/>
      <c r="R129" s="121"/>
      <c r="S129" s="120"/>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0"/>
      <c r="AS129" s="121"/>
      <c r="AT129" s="121"/>
      <c r="AU129" s="121"/>
      <c r="AV129" s="121"/>
      <c r="AW129" s="120"/>
      <c r="AX129" s="120"/>
      <c r="AY129" s="121"/>
      <c r="AZ129" s="120"/>
      <c r="BA129" s="121"/>
      <c r="BB129" s="121"/>
      <c r="BC129" s="120"/>
      <c r="BD129" s="120"/>
      <c r="BE129" s="120"/>
      <c r="BF129" s="121"/>
      <c r="BG129" s="121"/>
      <c r="BH129" s="121"/>
      <c r="BI129" s="121"/>
      <c r="BJ129" s="121"/>
      <c r="BK129" s="121"/>
      <c r="BL129" s="121"/>
      <c r="BM129" s="121"/>
      <c r="BN129" s="121"/>
      <c r="BO129" s="120"/>
      <c r="BP129" s="120"/>
      <c r="BQ129" s="120"/>
      <c r="BR129" s="121"/>
      <c r="BS129" s="121"/>
      <c r="BT129" s="120"/>
      <c r="BU129" s="121"/>
      <c r="BV129" s="121"/>
      <c r="BW129" s="121"/>
      <c r="BX129" s="121"/>
      <c r="BY129" s="120"/>
      <c r="BZ129" s="121"/>
      <c r="CA129" s="121"/>
      <c r="CB129" s="121"/>
      <c r="CC129" s="121"/>
      <c r="CD129" s="121"/>
      <c r="CE129" s="121"/>
      <c r="CF129" s="121"/>
      <c r="CG129" s="121"/>
      <c r="CH129" s="121"/>
      <c r="CI129" s="121"/>
      <c r="CJ129" s="120"/>
      <c r="CK129" s="120"/>
      <c r="CL129" s="121"/>
      <c r="CM129" s="121"/>
      <c r="CN129" s="121"/>
      <c r="CO129" s="121"/>
      <c r="CP129" s="121"/>
      <c r="CQ129" s="121"/>
      <c r="CR129" s="121"/>
      <c r="CS129" s="121"/>
      <c r="CT129" s="121"/>
    </row>
    <row r="130">
      <c r="A130" s="120"/>
      <c r="B130" s="121"/>
      <c r="C130" s="121"/>
      <c r="D130" s="121"/>
      <c r="E130" s="120"/>
      <c r="F130" s="120"/>
      <c r="G130" s="120"/>
      <c r="H130" s="121"/>
      <c r="I130" s="120"/>
      <c r="J130" s="120"/>
      <c r="K130" s="121"/>
      <c r="L130" s="120"/>
      <c r="M130" s="121"/>
      <c r="N130" s="121"/>
      <c r="O130" s="121"/>
      <c r="P130" s="121"/>
      <c r="Q130" s="120"/>
      <c r="R130" s="121"/>
      <c r="S130" s="120"/>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0"/>
      <c r="AS130" s="121"/>
      <c r="AT130" s="121"/>
      <c r="AU130" s="121"/>
      <c r="AV130" s="121"/>
      <c r="AW130" s="120"/>
      <c r="AX130" s="120"/>
      <c r="AY130" s="121"/>
      <c r="AZ130" s="120"/>
      <c r="BA130" s="121"/>
      <c r="BB130" s="121"/>
      <c r="BC130" s="120"/>
      <c r="BD130" s="120"/>
      <c r="BE130" s="120"/>
      <c r="BF130" s="121"/>
      <c r="BG130" s="121"/>
      <c r="BH130" s="121"/>
      <c r="BI130" s="121"/>
      <c r="BJ130" s="121"/>
      <c r="BK130" s="121"/>
      <c r="BL130" s="121"/>
      <c r="BM130" s="121"/>
      <c r="BN130" s="121"/>
      <c r="BO130" s="120"/>
      <c r="BP130" s="120"/>
      <c r="BQ130" s="120"/>
      <c r="BR130" s="121"/>
      <c r="BS130" s="121"/>
      <c r="BT130" s="120"/>
      <c r="BU130" s="121"/>
      <c r="BV130" s="121"/>
      <c r="BW130" s="121"/>
      <c r="BX130" s="121"/>
      <c r="BY130" s="120"/>
      <c r="BZ130" s="121"/>
      <c r="CA130" s="121"/>
      <c r="CB130" s="121"/>
      <c r="CC130" s="121"/>
      <c r="CD130" s="121"/>
      <c r="CE130" s="121"/>
      <c r="CF130" s="121"/>
      <c r="CG130" s="121"/>
      <c r="CH130" s="121"/>
      <c r="CI130" s="121"/>
      <c r="CJ130" s="120"/>
      <c r="CK130" s="120"/>
      <c r="CL130" s="121"/>
      <c r="CM130" s="121"/>
      <c r="CN130" s="121"/>
      <c r="CO130" s="121"/>
      <c r="CP130" s="121"/>
      <c r="CQ130" s="121"/>
      <c r="CR130" s="121"/>
      <c r="CS130" s="121"/>
      <c r="CT130" s="121"/>
    </row>
    <row r="131">
      <c r="A131" s="120"/>
      <c r="B131" s="121"/>
      <c r="C131" s="121"/>
      <c r="D131" s="121"/>
      <c r="E131" s="120"/>
      <c r="F131" s="120"/>
      <c r="G131" s="120"/>
      <c r="H131" s="121"/>
      <c r="I131" s="120"/>
      <c r="J131" s="120"/>
      <c r="K131" s="121"/>
      <c r="L131" s="120"/>
      <c r="M131" s="121"/>
      <c r="N131" s="121"/>
      <c r="O131" s="121"/>
      <c r="P131" s="121"/>
      <c r="Q131" s="120"/>
      <c r="R131" s="121"/>
      <c r="S131" s="120"/>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0"/>
      <c r="AS131" s="121"/>
      <c r="AT131" s="121"/>
      <c r="AU131" s="121"/>
      <c r="AV131" s="121"/>
      <c r="AW131" s="120"/>
      <c r="AX131" s="120"/>
      <c r="AY131" s="121"/>
      <c r="AZ131" s="120"/>
      <c r="BA131" s="121"/>
      <c r="BB131" s="121"/>
      <c r="BC131" s="120"/>
      <c r="BD131" s="120"/>
      <c r="BE131" s="120"/>
      <c r="BF131" s="121"/>
      <c r="BG131" s="121"/>
      <c r="BH131" s="121"/>
      <c r="BI131" s="121"/>
      <c r="BJ131" s="121"/>
      <c r="BK131" s="121"/>
      <c r="BL131" s="121"/>
      <c r="BM131" s="121"/>
      <c r="BN131" s="121"/>
      <c r="BO131" s="120"/>
      <c r="BP131" s="120"/>
      <c r="BQ131" s="120"/>
      <c r="BR131" s="121"/>
      <c r="BS131" s="121"/>
      <c r="BT131" s="120"/>
      <c r="BU131" s="121"/>
      <c r="BV131" s="121"/>
      <c r="BW131" s="121"/>
      <c r="BX131" s="121"/>
      <c r="BY131" s="120"/>
      <c r="BZ131" s="121"/>
      <c r="CA131" s="121"/>
      <c r="CB131" s="121"/>
      <c r="CC131" s="121"/>
      <c r="CD131" s="121"/>
      <c r="CE131" s="121"/>
      <c r="CF131" s="121"/>
      <c r="CG131" s="121"/>
      <c r="CH131" s="121"/>
      <c r="CI131" s="121"/>
      <c r="CJ131" s="120"/>
      <c r="CK131" s="120"/>
      <c r="CL131" s="121"/>
      <c r="CM131" s="121"/>
      <c r="CN131" s="121"/>
      <c r="CO131" s="121"/>
      <c r="CP131" s="121"/>
      <c r="CQ131" s="121"/>
      <c r="CR131" s="121"/>
      <c r="CS131" s="121"/>
      <c r="CT131" s="121"/>
    </row>
    <row r="132">
      <c r="A132" s="120"/>
      <c r="B132" s="121"/>
      <c r="C132" s="121"/>
      <c r="D132" s="121"/>
      <c r="E132" s="120"/>
      <c r="F132" s="120"/>
      <c r="G132" s="120"/>
      <c r="H132" s="121"/>
      <c r="I132" s="120"/>
      <c r="J132" s="120"/>
      <c r="K132" s="121"/>
      <c r="L132" s="120"/>
      <c r="M132" s="121"/>
      <c r="N132" s="121"/>
      <c r="O132" s="121"/>
      <c r="P132" s="121"/>
      <c r="Q132" s="120"/>
      <c r="R132" s="121"/>
      <c r="S132" s="120"/>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0"/>
      <c r="AS132" s="121"/>
      <c r="AT132" s="121"/>
      <c r="AU132" s="121"/>
      <c r="AV132" s="121"/>
      <c r="AW132" s="120"/>
      <c r="AX132" s="120"/>
      <c r="AY132" s="121"/>
      <c r="AZ132" s="120"/>
      <c r="BA132" s="121"/>
      <c r="BB132" s="121"/>
      <c r="BC132" s="120"/>
      <c r="BD132" s="120"/>
      <c r="BE132" s="120"/>
      <c r="BF132" s="121"/>
      <c r="BG132" s="121"/>
      <c r="BH132" s="121"/>
      <c r="BI132" s="121"/>
      <c r="BJ132" s="121"/>
      <c r="BK132" s="121"/>
      <c r="BL132" s="121"/>
      <c r="BM132" s="121"/>
      <c r="BN132" s="121"/>
      <c r="BO132" s="120"/>
      <c r="BP132" s="120"/>
      <c r="BQ132" s="120"/>
      <c r="BR132" s="121"/>
      <c r="BS132" s="121"/>
      <c r="BT132" s="120"/>
      <c r="BU132" s="121"/>
      <c r="BV132" s="121"/>
      <c r="BW132" s="121"/>
      <c r="BX132" s="121"/>
      <c r="BY132" s="120"/>
      <c r="BZ132" s="121"/>
      <c r="CA132" s="121"/>
      <c r="CB132" s="121"/>
      <c r="CC132" s="121"/>
      <c r="CD132" s="121"/>
      <c r="CE132" s="121"/>
      <c r="CF132" s="121"/>
      <c r="CG132" s="121"/>
      <c r="CH132" s="121"/>
      <c r="CI132" s="121"/>
      <c r="CJ132" s="120"/>
      <c r="CK132" s="120"/>
      <c r="CL132" s="121"/>
      <c r="CM132" s="121"/>
      <c r="CN132" s="121"/>
      <c r="CO132" s="121"/>
      <c r="CP132" s="121"/>
      <c r="CQ132" s="121"/>
      <c r="CR132" s="121"/>
      <c r="CS132" s="121"/>
      <c r="CT132" s="121"/>
    </row>
    <row r="133">
      <c r="A133" s="120"/>
      <c r="B133" s="121"/>
      <c r="C133" s="121"/>
      <c r="D133" s="121"/>
      <c r="E133" s="120"/>
      <c r="F133" s="120"/>
      <c r="G133" s="120"/>
      <c r="H133" s="121"/>
      <c r="I133" s="120"/>
      <c r="J133" s="120"/>
      <c r="K133" s="121"/>
      <c r="L133" s="120"/>
      <c r="M133" s="121"/>
      <c r="N133" s="121"/>
      <c r="O133" s="121"/>
      <c r="P133" s="121"/>
      <c r="Q133" s="120"/>
      <c r="R133" s="121"/>
      <c r="S133" s="120"/>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0"/>
      <c r="AS133" s="121"/>
      <c r="AT133" s="121"/>
      <c r="AU133" s="121"/>
      <c r="AV133" s="121"/>
      <c r="AW133" s="120"/>
      <c r="AX133" s="120"/>
      <c r="AY133" s="121"/>
      <c r="AZ133" s="120"/>
      <c r="BA133" s="121"/>
      <c r="BB133" s="121"/>
      <c r="BC133" s="120"/>
      <c r="BD133" s="120"/>
      <c r="BE133" s="120"/>
      <c r="BF133" s="121"/>
      <c r="BG133" s="121"/>
      <c r="BH133" s="121"/>
      <c r="BI133" s="121"/>
      <c r="BJ133" s="121"/>
      <c r="BK133" s="121"/>
      <c r="BL133" s="121"/>
      <c r="BM133" s="121"/>
      <c r="BN133" s="121"/>
      <c r="BO133" s="120"/>
      <c r="BP133" s="120"/>
      <c r="BQ133" s="120"/>
      <c r="BR133" s="121"/>
      <c r="BS133" s="121"/>
      <c r="BT133" s="120"/>
      <c r="BU133" s="121"/>
      <c r="BV133" s="121"/>
      <c r="BW133" s="121"/>
      <c r="BX133" s="121"/>
      <c r="BY133" s="120"/>
      <c r="BZ133" s="121"/>
      <c r="CA133" s="121"/>
      <c r="CB133" s="121"/>
      <c r="CC133" s="121"/>
      <c r="CD133" s="121"/>
      <c r="CE133" s="121"/>
      <c r="CF133" s="121"/>
      <c r="CG133" s="121"/>
      <c r="CH133" s="121"/>
      <c r="CI133" s="121"/>
      <c r="CJ133" s="120"/>
      <c r="CK133" s="120"/>
      <c r="CL133" s="121"/>
      <c r="CM133" s="121"/>
      <c r="CN133" s="121"/>
      <c r="CO133" s="121"/>
      <c r="CP133" s="121"/>
      <c r="CQ133" s="121"/>
      <c r="CR133" s="121"/>
      <c r="CS133" s="121"/>
      <c r="CT133" s="121"/>
    </row>
    <row r="134">
      <c r="A134" s="120"/>
      <c r="B134" s="121"/>
      <c r="C134" s="121"/>
      <c r="D134" s="121"/>
      <c r="E134" s="120"/>
      <c r="F134" s="120"/>
      <c r="G134" s="120"/>
      <c r="H134" s="121"/>
      <c r="I134" s="120"/>
      <c r="J134" s="120"/>
      <c r="K134" s="121"/>
      <c r="L134" s="120"/>
      <c r="M134" s="121"/>
      <c r="N134" s="121"/>
      <c r="O134" s="121"/>
      <c r="P134" s="121"/>
      <c r="Q134" s="120"/>
      <c r="R134" s="121"/>
      <c r="S134" s="120"/>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0"/>
      <c r="AS134" s="121"/>
      <c r="AT134" s="121"/>
      <c r="AU134" s="121"/>
      <c r="AV134" s="121"/>
      <c r="AW134" s="120"/>
      <c r="AX134" s="120"/>
      <c r="AY134" s="121"/>
      <c r="AZ134" s="120"/>
      <c r="BA134" s="121"/>
      <c r="BB134" s="121"/>
      <c r="BC134" s="120"/>
      <c r="BD134" s="120"/>
      <c r="BE134" s="120"/>
      <c r="BF134" s="121"/>
      <c r="BG134" s="121"/>
      <c r="BH134" s="121"/>
      <c r="BI134" s="121"/>
      <c r="BJ134" s="121"/>
      <c r="BK134" s="121"/>
      <c r="BL134" s="121"/>
      <c r="BM134" s="121"/>
      <c r="BN134" s="121"/>
      <c r="BO134" s="120"/>
      <c r="BP134" s="120"/>
      <c r="BQ134" s="120"/>
      <c r="BR134" s="121"/>
      <c r="BS134" s="121"/>
      <c r="BT134" s="120"/>
      <c r="BU134" s="121"/>
      <c r="BV134" s="121"/>
      <c r="BW134" s="121"/>
      <c r="BX134" s="121"/>
      <c r="BY134" s="120"/>
      <c r="BZ134" s="121"/>
      <c r="CA134" s="121"/>
      <c r="CB134" s="121"/>
      <c r="CC134" s="121"/>
      <c r="CD134" s="121"/>
      <c r="CE134" s="121"/>
      <c r="CF134" s="121"/>
      <c r="CG134" s="121"/>
      <c r="CH134" s="121"/>
      <c r="CI134" s="121"/>
      <c r="CJ134" s="120"/>
      <c r="CK134" s="120"/>
      <c r="CL134" s="121"/>
      <c r="CM134" s="121"/>
      <c r="CN134" s="121"/>
      <c r="CO134" s="121"/>
      <c r="CP134" s="121"/>
      <c r="CQ134" s="121"/>
      <c r="CR134" s="121"/>
      <c r="CS134" s="121"/>
      <c r="CT134" s="121"/>
    </row>
    <row r="135">
      <c r="A135" s="120"/>
      <c r="B135" s="121"/>
      <c r="C135" s="121"/>
      <c r="D135" s="121"/>
      <c r="E135" s="120"/>
      <c r="F135" s="120"/>
      <c r="G135" s="120"/>
      <c r="H135" s="121"/>
      <c r="I135" s="120"/>
      <c r="J135" s="120"/>
      <c r="K135" s="121"/>
      <c r="L135" s="120"/>
      <c r="M135" s="121"/>
      <c r="N135" s="121"/>
      <c r="O135" s="121"/>
      <c r="P135" s="121"/>
      <c r="Q135" s="120"/>
      <c r="R135" s="121"/>
      <c r="S135" s="120"/>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0"/>
      <c r="AS135" s="121"/>
      <c r="AT135" s="121"/>
      <c r="AU135" s="121"/>
      <c r="AV135" s="121"/>
      <c r="AW135" s="120"/>
      <c r="AX135" s="120"/>
      <c r="AY135" s="121"/>
      <c r="AZ135" s="120"/>
      <c r="BA135" s="121"/>
      <c r="BB135" s="121"/>
      <c r="BC135" s="120"/>
      <c r="BD135" s="120"/>
      <c r="BE135" s="120"/>
      <c r="BF135" s="121"/>
      <c r="BG135" s="121"/>
      <c r="BH135" s="121"/>
      <c r="BI135" s="121"/>
      <c r="BJ135" s="121"/>
      <c r="BK135" s="121"/>
      <c r="BL135" s="121"/>
      <c r="BM135" s="121"/>
      <c r="BN135" s="121"/>
      <c r="BO135" s="120"/>
      <c r="BP135" s="120"/>
      <c r="BQ135" s="120"/>
      <c r="BR135" s="121"/>
      <c r="BS135" s="121"/>
      <c r="BT135" s="120"/>
      <c r="BU135" s="121"/>
      <c r="BV135" s="121"/>
      <c r="BW135" s="121"/>
      <c r="BX135" s="121"/>
      <c r="BY135" s="120"/>
      <c r="BZ135" s="121"/>
      <c r="CA135" s="121"/>
      <c r="CB135" s="121"/>
      <c r="CC135" s="121"/>
      <c r="CD135" s="121"/>
      <c r="CE135" s="121"/>
      <c r="CF135" s="121"/>
      <c r="CG135" s="121"/>
      <c r="CH135" s="121"/>
      <c r="CI135" s="121"/>
      <c r="CJ135" s="120"/>
      <c r="CK135" s="120"/>
      <c r="CL135" s="121"/>
      <c r="CM135" s="121"/>
      <c r="CN135" s="121"/>
      <c r="CO135" s="121"/>
      <c r="CP135" s="121"/>
      <c r="CQ135" s="121"/>
      <c r="CR135" s="121"/>
      <c r="CS135" s="121"/>
      <c r="CT135" s="121"/>
    </row>
    <row r="136">
      <c r="A136" s="120"/>
      <c r="B136" s="121"/>
      <c r="C136" s="121"/>
      <c r="D136" s="121"/>
      <c r="E136" s="120"/>
      <c r="F136" s="120"/>
      <c r="G136" s="120"/>
      <c r="H136" s="121"/>
      <c r="I136" s="120"/>
      <c r="J136" s="120"/>
      <c r="K136" s="121"/>
      <c r="L136" s="120"/>
      <c r="M136" s="121"/>
      <c r="N136" s="121"/>
      <c r="O136" s="121"/>
      <c r="P136" s="121"/>
      <c r="Q136" s="120"/>
      <c r="R136" s="121"/>
      <c r="S136" s="120"/>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0"/>
      <c r="AS136" s="121"/>
      <c r="AT136" s="121"/>
      <c r="AU136" s="121"/>
      <c r="AV136" s="121"/>
      <c r="AW136" s="120"/>
      <c r="AX136" s="120"/>
      <c r="AY136" s="121"/>
      <c r="AZ136" s="120"/>
      <c r="BA136" s="121"/>
      <c r="BB136" s="121"/>
      <c r="BC136" s="120"/>
      <c r="BD136" s="120"/>
      <c r="BE136" s="120"/>
      <c r="BF136" s="121"/>
      <c r="BG136" s="121"/>
      <c r="BH136" s="121"/>
      <c r="BI136" s="121"/>
      <c r="BJ136" s="121"/>
      <c r="BK136" s="121"/>
      <c r="BL136" s="121"/>
      <c r="BM136" s="121"/>
      <c r="BN136" s="121"/>
      <c r="BO136" s="120"/>
      <c r="BP136" s="120"/>
      <c r="BQ136" s="120"/>
      <c r="BR136" s="121"/>
      <c r="BS136" s="121"/>
      <c r="BT136" s="120"/>
      <c r="BU136" s="121"/>
      <c r="BV136" s="121"/>
      <c r="BW136" s="121"/>
      <c r="BX136" s="121"/>
      <c r="BY136" s="120"/>
      <c r="BZ136" s="121"/>
      <c r="CA136" s="121"/>
      <c r="CB136" s="121"/>
      <c r="CC136" s="121"/>
      <c r="CD136" s="121"/>
      <c r="CE136" s="121"/>
      <c r="CF136" s="121"/>
      <c r="CG136" s="121"/>
      <c r="CH136" s="121"/>
      <c r="CI136" s="121"/>
      <c r="CJ136" s="120"/>
      <c r="CK136" s="120"/>
      <c r="CL136" s="121"/>
      <c r="CM136" s="121"/>
      <c r="CN136" s="121"/>
      <c r="CO136" s="121"/>
      <c r="CP136" s="121"/>
      <c r="CQ136" s="121"/>
      <c r="CR136" s="121"/>
      <c r="CS136" s="121"/>
      <c r="CT136" s="121"/>
    </row>
    <row r="137">
      <c r="A137" s="120"/>
      <c r="B137" s="121"/>
      <c r="C137" s="121"/>
      <c r="D137" s="121"/>
      <c r="E137" s="120"/>
      <c r="F137" s="120"/>
      <c r="G137" s="120"/>
      <c r="H137" s="121"/>
      <c r="I137" s="120"/>
      <c r="J137" s="120"/>
      <c r="K137" s="121"/>
      <c r="L137" s="120"/>
      <c r="M137" s="121"/>
      <c r="N137" s="121"/>
      <c r="O137" s="121"/>
      <c r="P137" s="121"/>
      <c r="Q137" s="120"/>
      <c r="R137" s="121"/>
      <c r="S137" s="120"/>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0"/>
      <c r="AS137" s="121"/>
      <c r="AT137" s="121"/>
      <c r="AU137" s="121"/>
      <c r="AV137" s="121"/>
      <c r="AW137" s="120"/>
      <c r="AX137" s="120"/>
      <c r="AY137" s="121"/>
      <c r="AZ137" s="120"/>
      <c r="BA137" s="121"/>
      <c r="BB137" s="121"/>
      <c r="BC137" s="120"/>
      <c r="BD137" s="120"/>
      <c r="BE137" s="120"/>
      <c r="BF137" s="121"/>
      <c r="BG137" s="121"/>
      <c r="BH137" s="121"/>
      <c r="BI137" s="121"/>
      <c r="BJ137" s="121"/>
      <c r="BK137" s="121"/>
      <c r="BL137" s="121"/>
      <c r="BM137" s="121"/>
      <c r="BN137" s="121"/>
      <c r="BO137" s="120"/>
      <c r="BP137" s="120"/>
      <c r="BQ137" s="120"/>
      <c r="BR137" s="121"/>
      <c r="BS137" s="121"/>
      <c r="BT137" s="120"/>
      <c r="BU137" s="121"/>
      <c r="BV137" s="121"/>
      <c r="BW137" s="121"/>
      <c r="BX137" s="121"/>
      <c r="BY137" s="120"/>
      <c r="BZ137" s="121"/>
      <c r="CA137" s="121"/>
      <c r="CB137" s="121"/>
      <c r="CC137" s="121"/>
      <c r="CD137" s="121"/>
      <c r="CE137" s="121"/>
      <c r="CF137" s="121"/>
      <c r="CG137" s="121"/>
      <c r="CH137" s="121"/>
      <c r="CI137" s="121"/>
      <c r="CJ137" s="120"/>
      <c r="CK137" s="120"/>
      <c r="CL137" s="121"/>
      <c r="CM137" s="121"/>
      <c r="CN137" s="121"/>
      <c r="CO137" s="121"/>
      <c r="CP137" s="121"/>
      <c r="CQ137" s="121"/>
      <c r="CR137" s="121"/>
      <c r="CS137" s="121"/>
      <c r="CT137" s="121"/>
    </row>
    <row r="138">
      <c r="A138" s="120"/>
      <c r="B138" s="121"/>
      <c r="C138" s="121"/>
      <c r="D138" s="121"/>
      <c r="E138" s="120"/>
      <c r="F138" s="120"/>
      <c r="G138" s="120"/>
      <c r="H138" s="121"/>
      <c r="I138" s="120"/>
      <c r="J138" s="120"/>
      <c r="K138" s="121"/>
      <c r="L138" s="120"/>
      <c r="M138" s="121"/>
      <c r="N138" s="121"/>
      <c r="O138" s="121"/>
      <c r="P138" s="121"/>
      <c r="Q138" s="120"/>
      <c r="R138" s="121"/>
      <c r="S138" s="120"/>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0"/>
      <c r="AS138" s="121"/>
      <c r="AT138" s="121"/>
      <c r="AU138" s="121"/>
      <c r="AV138" s="121"/>
      <c r="AW138" s="120"/>
      <c r="AX138" s="120"/>
      <c r="AY138" s="121"/>
      <c r="AZ138" s="120"/>
      <c r="BA138" s="121"/>
      <c r="BB138" s="121"/>
      <c r="BC138" s="120"/>
      <c r="BD138" s="120"/>
      <c r="BE138" s="120"/>
      <c r="BF138" s="121"/>
      <c r="BG138" s="121"/>
      <c r="BH138" s="121"/>
      <c r="BI138" s="121"/>
      <c r="BJ138" s="121"/>
      <c r="BK138" s="121"/>
      <c r="BL138" s="121"/>
      <c r="BM138" s="121"/>
      <c r="BN138" s="121"/>
      <c r="BO138" s="120"/>
      <c r="BP138" s="120"/>
      <c r="BQ138" s="120"/>
      <c r="BR138" s="121"/>
      <c r="BS138" s="121"/>
      <c r="BT138" s="120"/>
      <c r="BU138" s="121"/>
      <c r="BV138" s="121"/>
      <c r="BW138" s="121"/>
      <c r="BX138" s="121"/>
      <c r="BY138" s="120"/>
      <c r="BZ138" s="121"/>
      <c r="CA138" s="121"/>
      <c r="CB138" s="121"/>
      <c r="CC138" s="121"/>
      <c r="CD138" s="121"/>
      <c r="CE138" s="121"/>
      <c r="CF138" s="121"/>
      <c r="CG138" s="121"/>
      <c r="CH138" s="121"/>
      <c r="CI138" s="121"/>
      <c r="CJ138" s="120"/>
      <c r="CK138" s="120"/>
      <c r="CL138" s="121"/>
      <c r="CM138" s="121"/>
      <c r="CN138" s="121"/>
      <c r="CO138" s="121"/>
      <c r="CP138" s="121"/>
      <c r="CQ138" s="121"/>
      <c r="CR138" s="121"/>
      <c r="CS138" s="121"/>
      <c r="CT138" s="121"/>
    </row>
    <row r="139">
      <c r="A139" s="120"/>
      <c r="B139" s="121"/>
      <c r="C139" s="121"/>
      <c r="D139" s="121"/>
      <c r="E139" s="120"/>
      <c r="F139" s="120"/>
      <c r="G139" s="120"/>
      <c r="H139" s="121"/>
      <c r="I139" s="120"/>
      <c r="J139" s="120"/>
      <c r="K139" s="121"/>
      <c r="L139" s="120"/>
      <c r="M139" s="121"/>
      <c r="N139" s="121"/>
      <c r="O139" s="121"/>
      <c r="P139" s="121"/>
      <c r="Q139" s="120"/>
      <c r="R139" s="121"/>
      <c r="S139" s="120"/>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0"/>
      <c r="AS139" s="121"/>
      <c r="AT139" s="121"/>
      <c r="AU139" s="121"/>
      <c r="AV139" s="121"/>
      <c r="AW139" s="120"/>
      <c r="AX139" s="120"/>
      <c r="AY139" s="121"/>
      <c r="AZ139" s="120"/>
      <c r="BA139" s="121"/>
      <c r="BB139" s="121"/>
      <c r="BC139" s="120"/>
      <c r="BD139" s="120"/>
      <c r="BE139" s="120"/>
      <c r="BF139" s="121"/>
      <c r="BG139" s="121"/>
      <c r="BH139" s="121"/>
      <c r="BI139" s="121"/>
      <c r="BJ139" s="121"/>
      <c r="BK139" s="121"/>
      <c r="BL139" s="121"/>
      <c r="BM139" s="121"/>
      <c r="BN139" s="121"/>
      <c r="BO139" s="120"/>
      <c r="BP139" s="120"/>
      <c r="BQ139" s="120"/>
      <c r="BR139" s="121"/>
      <c r="BS139" s="121"/>
      <c r="BT139" s="120"/>
      <c r="BU139" s="121"/>
      <c r="BV139" s="121"/>
      <c r="BW139" s="121"/>
      <c r="BX139" s="121"/>
      <c r="BY139" s="120"/>
      <c r="BZ139" s="121"/>
      <c r="CA139" s="121"/>
      <c r="CB139" s="121"/>
      <c r="CC139" s="121"/>
      <c r="CD139" s="121"/>
      <c r="CE139" s="121"/>
      <c r="CF139" s="121"/>
      <c r="CG139" s="121"/>
      <c r="CH139" s="121"/>
      <c r="CI139" s="121"/>
      <c r="CJ139" s="120"/>
      <c r="CK139" s="120"/>
      <c r="CL139" s="121"/>
      <c r="CM139" s="121"/>
      <c r="CN139" s="121"/>
      <c r="CO139" s="121"/>
      <c r="CP139" s="121"/>
      <c r="CQ139" s="121"/>
      <c r="CR139" s="121"/>
      <c r="CS139" s="121"/>
      <c r="CT139" s="121"/>
    </row>
    <row r="140">
      <c r="A140" s="120"/>
      <c r="B140" s="121"/>
      <c r="C140" s="121"/>
      <c r="D140" s="121"/>
      <c r="E140" s="120"/>
      <c r="F140" s="120"/>
      <c r="G140" s="120"/>
      <c r="H140" s="121"/>
      <c r="I140" s="120"/>
      <c r="J140" s="120"/>
      <c r="K140" s="121"/>
      <c r="L140" s="120"/>
      <c r="M140" s="121"/>
      <c r="N140" s="121"/>
      <c r="O140" s="121"/>
      <c r="P140" s="121"/>
      <c r="Q140" s="120"/>
      <c r="R140" s="121"/>
      <c r="S140" s="120"/>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0"/>
      <c r="AS140" s="121"/>
      <c r="AT140" s="121"/>
      <c r="AU140" s="121"/>
      <c r="AV140" s="121"/>
      <c r="AW140" s="120"/>
      <c r="AX140" s="120"/>
      <c r="AY140" s="121"/>
      <c r="AZ140" s="120"/>
      <c r="BA140" s="121"/>
      <c r="BB140" s="121"/>
      <c r="BC140" s="120"/>
      <c r="BD140" s="120"/>
      <c r="BE140" s="120"/>
      <c r="BF140" s="121"/>
      <c r="BG140" s="121"/>
      <c r="BH140" s="121"/>
      <c r="BI140" s="121"/>
      <c r="BJ140" s="121"/>
      <c r="BK140" s="121"/>
      <c r="BL140" s="121"/>
      <c r="BM140" s="121"/>
      <c r="BN140" s="121"/>
      <c r="BO140" s="120"/>
      <c r="BP140" s="120"/>
      <c r="BQ140" s="120"/>
      <c r="BR140" s="121"/>
      <c r="BS140" s="121"/>
      <c r="BT140" s="120"/>
      <c r="BU140" s="121"/>
      <c r="BV140" s="121"/>
      <c r="BW140" s="121"/>
      <c r="BX140" s="121"/>
      <c r="BY140" s="120"/>
      <c r="BZ140" s="121"/>
      <c r="CA140" s="121"/>
      <c r="CB140" s="121"/>
      <c r="CC140" s="121"/>
      <c r="CD140" s="121"/>
      <c r="CE140" s="121"/>
      <c r="CF140" s="121"/>
      <c r="CG140" s="121"/>
      <c r="CH140" s="121"/>
      <c r="CI140" s="121"/>
      <c r="CJ140" s="120"/>
      <c r="CK140" s="120"/>
      <c r="CL140" s="121"/>
      <c r="CM140" s="121"/>
      <c r="CN140" s="121"/>
      <c r="CO140" s="121"/>
      <c r="CP140" s="121"/>
      <c r="CQ140" s="121"/>
      <c r="CR140" s="121"/>
      <c r="CS140" s="121"/>
      <c r="CT140" s="121"/>
    </row>
    <row r="141">
      <c r="A141" s="120"/>
      <c r="B141" s="121"/>
      <c r="C141" s="121"/>
      <c r="D141" s="121"/>
      <c r="E141" s="120"/>
      <c r="F141" s="120"/>
      <c r="G141" s="120"/>
      <c r="H141" s="121"/>
      <c r="I141" s="120"/>
      <c r="J141" s="120"/>
      <c r="K141" s="121"/>
      <c r="L141" s="120"/>
      <c r="M141" s="121"/>
      <c r="N141" s="121"/>
      <c r="O141" s="121"/>
      <c r="P141" s="121"/>
      <c r="Q141" s="120"/>
      <c r="R141" s="121"/>
      <c r="S141" s="120"/>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0"/>
      <c r="AS141" s="121"/>
      <c r="AT141" s="121"/>
      <c r="AU141" s="121"/>
      <c r="AV141" s="121"/>
      <c r="AW141" s="120"/>
      <c r="AX141" s="120"/>
      <c r="AY141" s="121"/>
      <c r="AZ141" s="120"/>
      <c r="BA141" s="121"/>
      <c r="BB141" s="121"/>
      <c r="BC141" s="120"/>
      <c r="BD141" s="120"/>
      <c r="BE141" s="120"/>
      <c r="BF141" s="121"/>
      <c r="BG141" s="121"/>
      <c r="BH141" s="121"/>
      <c r="BI141" s="121"/>
      <c r="BJ141" s="121"/>
      <c r="BK141" s="121"/>
      <c r="BL141" s="121"/>
      <c r="BM141" s="121"/>
      <c r="BN141" s="121"/>
      <c r="BO141" s="120"/>
      <c r="BP141" s="120"/>
      <c r="BQ141" s="120"/>
      <c r="BR141" s="121"/>
      <c r="BS141" s="121"/>
      <c r="BT141" s="120"/>
      <c r="BU141" s="121"/>
      <c r="BV141" s="121"/>
      <c r="BW141" s="121"/>
      <c r="BX141" s="121"/>
      <c r="BY141" s="120"/>
      <c r="BZ141" s="121"/>
      <c r="CA141" s="121"/>
      <c r="CB141" s="121"/>
      <c r="CC141" s="121"/>
      <c r="CD141" s="121"/>
      <c r="CE141" s="121"/>
      <c r="CF141" s="121"/>
      <c r="CG141" s="121"/>
      <c r="CH141" s="121"/>
      <c r="CI141" s="121"/>
      <c r="CJ141" s="120"/>
      <c r="CK141" s="120"/>
      <c r="CL141" s="121"/>
      <c r="CM141" s="121"/>
      <c r="CN141" s="121"/>
      <c r="CO141" s="121"/>
      <c r="CP141" s="121"/>
      <c r="CQ141" s="121"/>
      <c r="CR141" s="121"/>
      <c r="CS141" s="121"/>
      <c r="CT141" s="121"/>
    </row>
    <row r="142">
      <c r="A142" s="120"/>
      <c r="B142" s="121"/>
      <c r="C142" s="121"/>
      <c r="D142" s="121"/>
      <c r="E142" s="120"/>
      <c r="F142" s="120"/>
      <c r="G142" s="120"/>
      <c r="H142" s="121"/>
      <c r="I142" s="120"/>
      <c r="J142" s="120"/>
      <c r="K142" s="121"/>
      <c r="L142" s="120"/>
      <c r="M142" s="121"/>
      <c r="N142" s="121"/>
      <c r="O142" s="121"/>
      <c r="P142" s="121"/>
      <c r="Q142" s="120"/>
      <c r="R142" s="121"/>
      <c r="S142" s="120"/>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0"/>
      <c r="AS142" s="121"/>
      <c r="AT142" s="121"/>
      <c r="AU142" s="121"/>
      <c r="AV142" s="121"/>
      <c r="AW142" s="120"/>
      <c r="AX142" s="120"/>
      <c r="AY142" s="121"/>
      <c r="AZ142" s="120"/>
      <c r="BA142" s="121"/>
      <c r="BB142" s="121"/>
      <c r="BC142" s="120"/>
      <c r="BD142" s="120"/>
      <c r="BE142" s="120"/>
      <c r="BF142" s="121"/>
      <c r="BG142" s="121"/>
      <c r="BH142" s="121"/>
      <c r="BI142" s="121"/>
      <c r="BJ142" s="121"/>
      <c r="BK142" s="121"/>
      <c r="BL142" s="121"/>
      <c r="BM142" s="121"/>
      <c r="BN142" s="121"/>
      <c r="BO142" s="120"/>
      <c r="BP142" s="120"/>
      <c r="BQ142" s="120"/>
      <c r="BR142" s="121"/>
      <c r="BS142" s="121"/>
      <c r="BT142" s="120"/>
      <c r="BU142" s="121"/>
      <c r="BV142" s="121"/>
      <c r="BW142" s="121"/>
      <c r="BX142" s="121"/>
      <c r="BY142" s="120"/>
      <c r="BZ142" s="121"/>
      <c r="CA142" s="121"/>
      <c r="CB142" s="121"/>
      <c r="CC142" s="121"/>
      <c r="CD142" s="121"/>
      <c r="CE142" s="121"/>
      <c r="CF142" s="121"/>
      <c r="CG142" s="121"/>
      <c r="CH142" s="121"/>
      <c r="CI142" s="121"/>
      <c r="CJ142" s="120"/>
      <c r="CK142" s="120"/>
      <c r="CL142" s="121"/>
      <c r="CM142" s="121"/>
      <c r="CN142" s="121"/>
      <c r="CO142" s="121"/>
      <c r="CP142" s="121"/>
      <c r="CQ142" s="121"/>
      <c r="CR142" s="121"/>
      <c r="CS142" s="121"/>
      <c r="CT142" s="121"/>
    </row>
    <row r="143">
      <c r="A143" s="120"/>
      <c r="B143" s="121"/>
      <c r="C143" s="121"/>
      <c r="D143" s="121"/>
      <c r="E143" s="120"/>
      <c r="F143" s="120"/>
      <c r="G143" s="120"/>
      <c r="H143" s="121"/>
      <c r="I143" s="120"/>
      <c r="J143" s="120"/>
      <c r="K143" s="121"/>
      <c r="L143" s="120"/>
      <c r="M143" s="121"/>
      <c r="N143" s="121"/>
      <c r="O143" s="121"/>
      <c r="P143" s="121"/>
      <c r="Q143" s="120"/>
      <c r="R143" s="121"/>
      <c r="S143" s="120"/>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0"/>
      <c r="AS143" s="121"/>
      <c r="AT143" s="121"/>
      <c r="AU143" s="121"/>
      <c r="AV143" s="121"/>
      <c r="AW143" s="120"/>
      <c r="AX143" s="120"/>
      <c r="AY143" s="121"/>
      <c r="AZ143" s="120"/>
      <c r="BA143" s="121"/>
      <c r="BB143" s="121"/>
      <c r="BC143" s="120"/>
      <c r="BD143" s="120"/>
      <c r="BE143" s="120"/>
      <c r="BF143" s="121"/>
      <c r="BG143" s="121"/>
      <c r="BH143" s="121"/>
      <c r="BI143" s="121"/>
      <c r="BJ143" s="121"/>
      <c r="BK143" s="121"/>
      <c r="BL143" s="121"/>
      <c r="BM143" s="121"/>
      <c r="BN143" s="121"/>
      <c r="BO143" s="120"/>
      <c r="BP143" s="120"/>
      <c r="BQ143" s="120"/>
      <c r="BR143" s="121"/>
      <c r="BS143" s="121"/>
      <c r="BT143" s="120"/>
      <c r="BU143" s="121"/>
      <c r="BV143" s="121"/>
      <c r="BW143" s="121"/>
      <c r="BX143" s="121"/>
      <c r="BY143" s="120"/>
      <c r="BZ143" s="121"/>
      <c r="CA143" s="121"/>
      <c r="CB143" s="121"/>
      <c r="CC143" s="121"/>
      <c r="CD143" s="121"/>
      <c r="CE143" s="121"/>
      <c r="CF143" s="121"/>
      <c r="CG143" s="121"/>
      <c r="CH143" s="121"/>
      <c r="CI143" s="121"/>
      <c r="CJ143" s="120"/>
      <c r="CK143" s="120"/>
      <c r="CL143" s="121"/>
      <c r="CM143" s="121"/>
      <c r="CN143" s="121"/>
      <c r="CO143" s="121"/>
      <c r="CP143" s="121"/>
      <c r="CQ143" s="121"/>
      <c r="CR143" s="121"/>
      <c r="CS143" s="121"/>
      <c r="CT143" s="121"/>
    </row>
    <row r="144">
      <c r="A144" s="120"/>
      <c r="B144" s="121"/>
      <c r="C144" s="121"/>
      <c r="D144" s="121"/>
      <c r="E144" s="120"/>
      <c r="F144" s="120"/>
      <c r="G144" s="120"/>
      <c r="H144" s="121"/>
      <c r="I144" s="120"/>
      <c r="J144" s="120"/>
      <c r="K144" s="121"/>
      <c r="L144" s="120"/>
      <c r="M144" s="121"/>
      <c r="N144" s="121"/>
      <c r="O144" s="121"/>
      <c r="P144" s="121"/>
      <c r="Q144" s="120"/>
      <c r="R144" s="121"/>
      <c r="S144" s="120"/>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0"/>
      <c r="AS144" s="121"/>
      <c r="AT144" s="121"/>
      <c r="AU144" s="121"/>
      <c r="AV144" s="121"/>
      <c r="AW144" s="120"/>
      <c r="AX144" s="120"/>
      <c r="AY144" s="121"/>
      <c r="AZ144" s="120"/>
      <c r="BA144" s="121"/>
      <c r="BB144" s="121"/>
      <c r="BC144" s="120"/>
      <c r="BD144" s="120"/>
      <c r="BE144" s="120"/>
      <c r="BF144" s="121"/>
      <c r="BG144" s="121"/>
      <c r="BH144" s="121"/>
      <c r="BI144" s="121"/>
      <c r="BJ144" s="121"/>
      <c r="BK144" s="121"/>
      <c r="BL144" s="121"/>
      <c r="BM144" s="121"/>
      <c r="BN144" s="121"/>
      <c r="BO144" s="120"/>
      <c r="BP144" s="120"/>
      <c r="BQ144" s="120"/>
      <c r="BR144" s="121"/>
      <c r="BS144" s="121"/>
      <c r="BT144" s="120"/>
      <c r="BU144" s="121"/>
      <c r="BV144" s="121"/>
      <c r="BW144" s="121"/>
      <c r="BX144" s="121"/>
      <c r="BY144" s="120"/>
      <c r="BZ144" s="121"/>
      <c r="CA144" s="121"/>
      <c r="CB144" s="121"/>
      <c r="CC144" s="121"/>
      <c r="CD144" s="121"/>
      <c r="CE144" s="121"/>
      <c r="CF144" s="121"/>
      <c r="CG144" s="121"/>
      <c r="CH144" s="121"/>
      <c r="CI144" s="121"/>
      <c r="CJ144" s="120"/>
      <c r="CK144" s="120"/>
      <c r="CL144" s="121"/>
      <c r="CM144" s="121"/>
      <c r="CN144" s="121"/>
      <c r="CO144" s="121"/>
      <c r="CP144" s="121"/>
      <c r="CQ144" s="121"/>
      <c r="CR144" s="121"/>
      <c r="CS144" s="121"/>
      <c r="CT144" s="121"/>
    </row>
    <row r="145">
      <c r="A145" s="120"/>
      <c r="B145" s="121"/>
      <c r="C145" s="121"/>
      <c r="D145" s="121"/>
      <c r="E145" s="120"/>
      <c r="F145" s="120"/>
      <c r="G145" s="120"/>
      <c r="H145" s="121"/>
      <c r="I145" s="120"/>
      <c r="J145" s="120"/>
      <c r="K145" s="121"/>
      <c r="L145" s="120"/>
      <c r="M145" s="121"/>
      <c r="N145" s="121"/>
      <c r="O145" s="121"/>
      <c r="P145" s="121"/>
      <c r="Q145" s="120"/>
      <c r="R145" s="121"/>
      <c r="S145" s="120"/>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0"/>
      <c r="AS145" s="121"/>
      <c r="AT145" s="121"/>
      <c r="AU145" s="121"/>
      <c r="AV145" s="121"/>
      <c r="AW145" s="120"/>
      <c r="AX145" s="120"/>
      <c r="AY145" s="121"/>
      <c r="AZ145" s="120"/>
      <c r="BA145" s="121"/>
      <c r="BB145" s="121"/>
      <c r="BC145" s="120"/>
      <c r="BD145" s="120"/>
      <c r="BE145" s="120"/>
      <c r="BF145" s="121"/>
      <c r="BG145" s="121"/>
      <c r="BH145" s="121"/>
      <c r="BI145" s="121"/>
      <c r="BJ145" s="121"/>
      <c r="BK145" s="121"/>
      <c r="BL145" s="121"/>
      <c r="BM145" s="121"/>
      <c r="BN145" s="121"/>
      <c r="BO145" s="120"/>
      <c r="BP145" s="120"/>
      <c r="BQ145" s="120"/>
      <c r="BR145" s="121"/>
      <c r="BS145" s="121"/>
      <c r="BT145" s="120"/>
      <c r="BU145" s="121"/>
      <c r="BV145" s="121"/>
      <c r="BW145" s="121"/>
      <c r="BX145" s="121"/>
      <c r="BY145" s="120"/>
      <c r="BZ145" s="121"/>
      <c r="CA145" s="121"/>
      <c r="CB145" s="121"/>
      <c r="CC145" s="121"/>
      <c r="CD145" s="121"/>
      <c r="CE145" s="121"/>
      <c r="CF145" s="121"/>
      <c r="CG145" s="121"/>
      <c r="CH145" s="121"/>
      <c r="CI145" s="121"/>
      <c r="CJ145" s="120"/>
      <c r="CK145" s="120"/>
      <c r="CL145" s="121"/>
      <c r="CM145" s="121"/>
      <c r="CN145" s="121"/>
      <c r="CO145" s="121"/>
      <c r="CP145" s="121"/>
      <c r="CQ145" s="121"/>
      <c r="CR145" s="121"/>
      <c r="CS145" s="121"/>
      <c r="CT145" s="121"/>
    </row>
    <row r="146">
      <c r="A146" s="120"/>
      <c r="B146" s="121"/>
      <c r="C146" s="121"/>
      <c r="D146" s="121"/>
      <c r="E146" s="120"/>
      <c r="F146" s="120"/>
      <c r="G146" s="120"/>
      <c r="H146" s="121"/>
      <c r="I146" s="120"/>
      <c r="J146" s="120"/>
      <c r="K146" s="121"/>
      <c r="L146" s="120"/>
      <c r="M146" s="121"/>
      <c r="N146" s="121"/>
      <c r="O146" s="121"/>
      <c r="P146" s="121"/>
      <c r="Q146" s="120"/>
      <c r="R146" s="121"/>
      <c r="S146" s="120"/>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0"/>
      <c r="AS146" s="121"/>
      <c r="AT146" s="121"/>
      <c r="AU146" s="121"/>
      <c r="AV146" s="121"/>
      <c r="AW146" s="120"/>
      <c r="AX146" s="120"/>
      <c r="AY146" s="121"/>
      <c r="AZ146" s="120"/>
      <c r="BA146" s="121"/>
      <c r="BB146" s="121"/>
      <c r="BC146" s="120"/>
      <c r="BD146" s="120"/>
      <c r="BE146" s="120"/>
      <c r="BF146" s="121"/>
      <c r="BG146" s="121"/>
      <c r="BH146" s="121"/>
      <c r="BI146" s="121"/>
      <c r="BJ146" s="121"/>
      <c r="BK146" s="121"/>
      <c r="BL146" s="121"/>
      <c r="BM146" s="121"/>
      <c r="BN146" s="121"/>
      <c r="BO146" s="120"/>
      <c r="BP146" s="120"/>
      <c r="BQ146" s="120"/>
      <c r="BR146" s="121"/>
      <c r="BS146" s="121"/>
      <c r="BT146" s="120"/>
      <c r="BU146" s="121"/>
      <c r="BV146" s="121"/>
      <c r="BW146" s="121"/>
      <c r="BX146" s="121"/>
      <c r="BY146" s="120"/>
      <c r="BZ146" s="121"/>
      <c r="CA146" s="121"/>
      <c r="CB146" s="121"/>
      <c r="CC146" s="121"/>
      <c r="CD146" s="121"/>
      <c r="CE146" s="121"/>
      <c r="CF146" s="121"/>
      <c r="CG146" s="121"/>
      <c r="CH146" s="121"/>
      <c r="CI146" s="121"/>
      <c r="CJ146" s="120"/>
      <c r="CK146" s="120"/>
      <c r="CL146" s="121"/>
      <c r="CM146" s="121"/>
      <c r="CN146" s="121"/>
      <c r="CO146" s="121"/>
      <c r="CP146" s="121"/>
      <c r="CQ146" s="121"/>
      <c r="CR146" s="121"/>
      <c r="CS146" s="121"/>
      <c r="CT146" s="121"/>
    </row>
    <row r="147">
      <c r="A147" s="120"/>
      <c r="B147" s="121"/>
      <c r="C147" s="121"/>
      <c r="D147" s="121"/>
      <c r="E147" s="120"/>
      <c r="F147" s="120"/>
      <c r="G147" s="120"/>
      <c r="H147" s="121"/>
      <c r="I147" s="120"/>
      <c r="J147" s="120"/>
      <c r="K147" s="121"/>
      <c r="L147" s="120"/>
      <c r="M147" s="121"/>
      <c r="N147" s="121"/>
      <c r="O147" s="121"/>
      <c r="P147" s="121"/>
      <c r="Q147" s="120"/>
      <c r="R147" s="121"/>
      <c r="S147" s="120"/>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0"/>
      <c r="AS147" s="121"/>
      <c r="AT147" s="121"/>
      <c r="AU147" s="121"/>
      <c r="AV147" s="121"/>
      <c r="AW147" s="120"/>
      <c r="AX147" s="120"/>
      <c r="AY147" s="121"/>
      <c r="AZ147" s="120"/>
      <c r="BA147" s="121"/>
      <c r="BB147" s="121"/>
      <c r="BC147" s="120"/>
      <c r="BD147" s="120"/>
      <c r="BE147" s="120"/>
      <c r="BF147" s="121"/>
      <c r="BG147" s="121"/>
      <c r="BH147" s="121"/>
      <c r="BI147" s="121"/>
      <c r="BJ147" s="121"/>
      <c r="BK147" s="121"/>
      <c r="BL147" s="121"/>
      <c r="BM147" s="121"/>
      <c r="BN147" s="121"/>
      <c r="BO147" s="120"/>
      <c r="BP147" s="120"/>
      <c r="BQ147" s="120"/>
      <c r="BR147" s="121"/>
      <c r="BS147" s="121"/>
      <c r="BT147" s="120"/>
      <c r="BU147" s="121"/>
      <c r="BV147" s="121"/>
      <c r="BW147" s="121"/>
      <c r="BX147" s="121"/>
      <c r="BY147" s="120"/>
      <c r="BZ147" s="121"/>
      <c r="CA147" s="121"/>
      <c r="CB147" s="121"/>
      <c r="CC147" s="121"/>
      <c r="CD147" s="121"/>
      <c r="CE147" s="121"/>
      <c r="CF147" s="121"/>
      <c r="CG147" s="121"/>
      <c r="CH147" s="121"/>
      <c r="CI147" s="121"/>
      <c r="CJ147" s="120"/>
      <c r="CK147" s="120"/>
      <c r="CL147" s="121"/>
      <c r="CM147" s="121"/>
      <c r="CN147" s="121"/>
      <c r="CO147" s="121"/>
      <c r="CP147" s="121"/>
      <c r="CQ147" s="121"/>
      <c r="CR147" s="121"/>
      <c r="CS147" s="121"/>
      <c r="CT147" s="121"/>
    </row>
    <row r="148">
      <c r="A148" s="120"/>
      <c r="B148" s="121"/>
      <c r="C148" s="121"/>
      <c r="D148" s="121"/>
      <c r="E148" s="120"/>
      <c r="F148" s="120"/>
      <c r="G148" s="120"/>
      <c r="H148" s="121"/>
      <c r="I148" s="120"/>
      <c r="J148" s="120"/>
      <c r="K148" s="121"/>
      <c r="L148" s="120"/>
      <c r="M148" s="121"/>
      <c r="N148" s="121"/>
      <c r="O148" s="121"/>
      <c r="P148" s="121"/>
      <c r="Q148" s="120"/>
      <c r="R148" s="121"/>
      <c r="S148" s="120"/>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0"/>
      <c r="AS148" s="121"/>
      <c r="AT148" s="121"/>
      <c r="AU148" s="121"/>
      <c r="AV148" s="121"/>
      <c r="AW148" s="120"/>
      <c r="AX148" s="120"/>
      <c r="AY148" s="121"/>
      <c r="AZ148" s="120"/>
      <c r="BA148" s="121"/>
      <c r="BB148" s="121"/>
      <c r="BC148" s="120"/>
      <c r="BD148" s="120"/>
      <c r="BE148" s="120"/>
      <c r="BF148" s="121"/>
      <c r="BG148" s="121"/>
      <c r="BH148" s="121"/>
      <c r="BI148" s="121"/>
      <c r="BJ148" s="121"/>
      <c r="BK148" s="121"/>
      <c r="BL148" s="121"/>
      <c r="BM148" s="121"/>
      <c r="BN148" s="121"/>
      <c r="BO148" s="120"/>
      <c r="BP148" s="120"/>
      <c r="BQ148" s="120"/>
      <c r="BR148" s="121"/>
      <c r="BS148" s="121"/>
      <c r="BT148" s="120"/>
      <c r="BU148" s="121"/>
      <c r="BV148" s="121"/>
      <c r="BW148" s="121"/>
      <c r="BX148" s="121"/>
      <c r="BY148" s="120"/>
      <c r="BZ148" s="121"/>
      <c r="CA148" s="121"/>
      <c r="CB148" s="121"/>
      <c r="CC148" s="121"/>
      <c r="CD148" s="121"/>
      <c r="CE148" s="121"/>
      <c r="CF148" s="121"/>
      <c r="CG148" s="121"/>
      <c r="CH148" s="121"/>
      <c r="CI148" s="121"/>
      <c r="CJ148" s="120"/>
      <c r="CK148" s="120"/>
      <c r="CL148" s="121"/>
      <c r="CM148" s="121"/>
      <c r="CN148" s="121"/>
      <c r="CO148" s="121"/>
      <c r="CP148" s="121"/>
      <c r="CQ148" s="121"/>
      <c r="CR148" s="121"/>
      <c r="CS148" s="121"/>
      <c r="CT148" s="121"/>
    </row>
    <row r="149">
      <c r="A149" s="120"/>
      <c r="B149" s="121"/>
      <c r="C149" s="121"/>
      <c r="D149" s="121"/>
      <c r="E149" s="120"/>
      <c r="F149" s="120"/>
      <c r="G149" s="120"/>
      <c r="H149" s="121"/>
      <c r="I149" s="120"/>
      <c r="J149" s="120"/>
      <c r="K149" s="121"/>
      <c r="L149" s="120"/>
      <c r="M149" s="121"/>
      <c r="N149" s="121"/>
      <c r="O149" s="121"/>
      <c r="P149" s="121"/>
      <c r="Q149" s="120"/>
      <c r="R149" s="121"/>
      <c r="S149" s="120"/>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0"/>
      <c r="AS149" s="121"/>
      <c r="AT149" s="121"/>
      <c r="AU149" s="121"/>
      <c r="AV149" s="121"/>
      <c r="AW149" s="120"/>
      <c r="AX149" s="120"/>
      <c r="AY149" s="121"/>
      <c r="AZ149" s="120"/>
      <c r="BA149" s="121"/>
      <c r="BB149" s="121"/>
      <c r="BC149" s="120"/>
      <c r="BD149" s="120"/>
      <c r="BE149" s="120"/>
      <c r="BF149" s="121"/>
      <c r="BG149" s="121"/>
      <c r="BH149" s="121"/>
      <c r="BI149" s="121"/>
      <c r="BJ149" s="121"/>
      <c r="BK149" s="121"/>
      <c r="BL149" s="121"/>
      <c r="BM149" s="121"/>
      <c r="BN149" s="121"/>
      <c r="BO149" s="120"/>
      <c r="BP149" s="120"/>
      <c r="BQ149" s="120"/>
      <c r="BR149" s="121"/>
      <c r="BS149" s="121"/>
      <c r="BT149" s="120"/>
      <c r="BU149" s="121"/>
      <c r="BV149" s="121"/>
      <c r="BW149" s="121"/>
      <c r="BX149" s="121"/>
      <c r="BY149" s="120"/>
      <c r="BZ149" s="121"/>
      <c r="CA149" s="121"/>
      <c r="CB149" s="121"/>
      <c r="CC149" s="121"/>
      <c r="CD149" s="121"/>
      <c r="CE149" s="121"/>
      <c r="CF149" s="121"/>
      <c r="CG149" s="121"/>
      <c r="CH149" s="121"/>
      <c r="CI149" s="121"/>
      <c r="CJ149" s="120"/>
      <c r="CK149" s="120"/>
      <c r="CL149" s="121"/>
      <c r="CM149" s="121"/>
      <c r="CN149" s="121"/>
      <c r="CO149" s="121"/>
      <c r="CP149" s="121"/>
      <c r="CQ149" s="121"/>
      <c r="CR149" s="121"/>
      <c r="CS149" s="121"/>
      <c r="CT149" s="121"/>
    </row>
    <row r="150">
      <c r="A150" s="120"/>
      <c r="B150" s="121"/>
      <c r="C150" s="121"/>
      <c r="D150" s="121"/>
      <c r="E150" s="120"/>
      <c r="F150" s="120"/>
      <c r="G150" s="120"/>
      <c r="H150" s="121"/>
      <c r="I150" s="120"/>
      <c r="J150" s="120"/>
      <c r="K150" s="121"/>
      <c r="L150" s="120"/>
      <c r="M150" s="121"/>
      <c r="N150" s="121"/>
      <c r="O150" s="121"/>
      <c r="P150" s="121"/>
      <c r="Q150" s="120"/>
      <c r="R150" s="121"/>
      <c r="S150" s="120"/>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0"/>
      <c r="AS150" s="121"/>
      <c r="AT150" s="121"/>
      <c r="AU150" s="121"/>
      <c r="AV150" s="121"/>
      <c r="AW150" s="120"/>
      <c r="AX150" s="120"/>
      <c r="AY150" s="121"/>
      <c r="AZ150" s="120"/>
      <c r="BA150" s="121"/>
      <c r="BB150" s="121"/>
      <c r="BC150" s="120"/>
      <c r="BD150" s="120"/>
      <c r="BE150" s="120"/>
      <c r="BF150" s="121"/>
      <c r="BG150" s="121"/>
      <c r="BH150" s="121"/>
      <c r="BI150" s="121"/>
      <c r="BJ150" s="121"/>
      <c r="BK150" s="121"/>
      <c r="BL150" s="121"/>
      <c r="BM150" s="121"/>
      <c r="BN150" s="121"/>
      <c r="BO150" s="120"/>
      <c r="BP150" s="120"/>
      <c r="BQ150" s="120"/>
      <c r="BR150" s="121"/>
      <c r="BS150" s="121"/>
      <c r="BT150" s="120"/>
      <c r="BU150" s="121"/>
      <c r="BV150" s="121"/>
      <c r="BW150" s="121"/>
      <c r="BX150" s="121"/>
      <c r="BY150" s="120"/>
      <c r="BZ150" s="121"/>
      <c r="CA150" s="121"/>
      <c r="CB150" s="121"/>
      <c r="CC150" s="121"/>
      <c r="CD150" s="121"/>
      <c r="CE150" s="121"/>
      <c r="CF150" s="121"/>
      <c r="CG150" s="121"/>
      <c r="CH150" s="121"/>
      <c r="CI150" s="121"/>
      <c r="CJ150" s="120"/>
      <c r="CK150" s="120"/>
      <c r="CL150" s="121"/>
      <c r="CM150" s="121"/>
      <c r="CN150" s="121"/>
      <c r="CO150" s="121"/>
      <c r="CP150" s="121"/>
      <c r="CQ150" s="121"/>
      <c r="CR150" s="121"/>
      <c r="CS150" s="121"/>
      <c r="CT150" s="121"/>
    </row>
    <row r="151">
      <c r="A151" s="120"/>
      <c r="B151" s="121"/>
      <c r="C151" s="121"/>
      <c r="D151" s="121"/>
      <c r="E151" s="120"/>
      <c r="F151" s="120"/>
      <c r="G151" s="120"/>
      <c r="H151" s="121"/>
      <c r="I151" s="120"/>
      <c r="J151" s="120"/>
      <c r="K151" s="121"/>
      <c r="L151" s="120"/>
      <c r="M151" s="121"/>
      <c r="N151" s="121"/>
      <c r="O151" s="121"/>
      <c r="P151" s="121"/>
      <c r="Q151" s="120"/>
      <c r="R151" s="121"/>
      <c r="S151" s="120"/>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0"/>
      <c r="AS151" s="121"/>
      <c r="AT151" s="121"/>
      <c r="AU151" s="121"/>
      <c r="AV151" s="121"/>
      <c r="AW151" s="120"/>
      <c r="AX151" s="120"/>
      <c r="AY151" s="121"/>
      <c r="AZ151" s="120"/>
      <c r="BA151" s="121"/>
      <c r="BB151" s="121"/>
      <c r="BC151" s="120"/>
      <c r="BD151" s="120"/>
      <c r="BE151" s="120"/>
      <c r="BF151" s="121"/>
      <c r="BG151" s="121"/>
      <c r="BH151" s="121"/>
      <c r="BI151" s="121"/>
      <c r="BJ151" s="121"/>
      <c r="BK151" s="121"/>
      <c r="BL151" s="121"/>
      <c r="BM151" s="121"/>
      <c r="BN151" s="121"/>
      <c r="BO151" s="120"/>
      <c r="BP151" s="120"/>
      <c r="BQ151" s="120"/>
      <c r="BR151" s="121"/>
      <c r="BS151" s="121"/>
      <c r="BT151" s="120"/>
      <c r="BU151" s="121"/>
      <c r="BV151" s="121"/>
      <c r="BW151" s="121"/>
      <c r="BX151" s="121"/>
      <c r="BY151" s="120"/>
      <c r="BZ151" s="121"/>
      <c r="CA151" s="121"/>
      <c r="CB151" s="121"/>
      <c r="CC151" s="121"/>
      <c r="CD151" s="121"/>
      <c r="CE151" s="121"/>
      <c r="CF151" s="121"/>
      <c r="CG151" s="121"/>
      <c r="CH151" s="121"/>
      <c r="CI151" s="121"/>
      <c r="CJ151" s="120"/>
      <c r="CK151" s="120"/>
      <c r="CL151" s="121"/>
      <c r="CM151" s="121"/>
      <c r="CN151" s="121"/>
      <c r="CO151" s="121"/>
      <c r="CP151" s="121"/>
      <c r="CQ151" s="121"/>
      <c r="CR151" s="121"/>
      <c r="CS151" s="121"/>
      <c r="CT151" s="121"/>
    </row>
    <row r="152">
      <c r="A152" s="120"/>
      <c r="B152" s="121"/>
      <c r="C152" s="121"/>
      <c r="D152" s="121"/>
      <c r="E152" s="120"/>
      <c r="F152" s="120"/>
      <c r="G152" s="120"/>
      <c r="H152" s="121"/>
      <c r="I152" s="120"/>
      <c r="J152" s="120"/>
      <c r="K152" s="121"/>
      <c r="L152" s="120"/>
      <c r="M152" s="121"/>
      <c r="N152" s="121"/>
      <c r="O152" s="121"/>
      <c r="P152" s="121"/>
      <c r="Q152" s="120"/>
      <c r="R152" s="121"/>
      <c r="S152" s="120"/>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0"/>
      <c r="AS152" s="121"/>
      <c r="AT152" s="121"/>
      <c r="AU152" s="121"/>
      <c r="AV152" s="121"/>
      <c r="AW152" s="120"/>
      <c r="AX152" s="120"/>
      <c r="AY152" s="121"/>
      <c r="AZ152" s="120"/>
      <c r="BA152" s="121"/>
      <c r="BB152" s="121"/>
      <c r="BC152" s="120"/>
      <c r="BD152" s="120"/>
      <c r="BE152" s="120"/>
      <c r="BF152" s="121"/>
      <c r="BG152" s="121"/>
      <c r="BH152" s="121"/>
      <c r="BI152" s="121"/>
      <c r="BJ152" s="121"/>
      <c r="BK152" s="121"/>
      <c r="BL152" s="121"/>
      <c r="BM152" s="121"/>
      <c r="BN152" s="121"/>
      <c r="BO152" s="120"/>
      <c r="BP152" s="120"/>
      <c r="BQ152" s="120"/>
      <c r="BR152" s="121"/>
      <c r="BS152" s="121"/>
      <c r="BT152" s="120"/>
      <c r="BU152" s="121"/>
      <c r="BV152" s="121"/>
      <c r="BW152" s="121"/>
      <c r="BX152" s="121"/>
      <c r="BY152" s="120"/>
      <c r="BZ152" s="121"/>
      <c r="CA152" s="121"/>
      <c r="CB152" s="121"/>
      <c r="CC152" s="121"/>
      <c r="CD152" s="121"/>
      <c r="CE152" s="121"/>
      <c r="CF152" s="121"/>
      <c r="CG152" s="121"/>
      <c r="CH152" s="121"/>
      <c r="CI152" s="121"/>
      <c r="CJ152" s="120"/>
      <c r="CK152" s="120"/>
      <c r="CL152" s="121"/>
      <c r="CM152" s="121"/>
      <c r="CN152" s="121"/>
      <c r="CO152" s="121"/>
      <c r="CP152" s="121"/>
      <c r="CQ152" s="121"/>
      <c r="CR152" s="121"/>
      <c r="CS152" s="121"/>
      <c r="CT152" s="121"/>
    </row>
    <row r="153">
      <c r="A153" s="120"/>
      <c r="B153" s="121"/>
      <c r="C153" s="121"/>
      <c r="D153" s="121"/>
      <c r="E153" s="120"/>
      <c r="F153" s="120"/>
      <c r="G153" s="120"/>
      <c r="H153" s="121"/>
      <c r="I153" s="120"/>
      <c r="J153" s="120"/>
      <c r="K153" s="121"/>
      <c r="L153" s="120"/>
      <c r="M153" s="121"/>
      <c r="N153" s="121"/>
      <c r="O153" s="121"/>
      <c r="P153" s="121"/>
      <c r="Q153" s="120"/>
      <c r="R153" s="121"/>
      <c r="S153" s="120"/>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0"/>
      <c r="AS153" s="121"/>
      <c r="AT153" s="121"/>
      <c r="AU153" s="121"/>
      <c r="AV153" s="121"/>
      <c r="AW153" s="120"/>
      <c r="AX153" s="120"/>
      <c r="AY153" s="121"/>
      <c r="AZ153" s="120"/>
      <c r="BA153" s="121"/>
      <c r="BB153" s="121"/>
      <c r="BC153" s="120"/>
      <c r="BD153" s="120"/>
      <c r="BE153" s="120"/>
      <c r="BF153" s="121"/>
      <c r="BG153" s="121"/>
      <c r="BH153" s="121"/>
      <c r="BI153" s="121"/>
      <c r="BJ153" s="121"/>
      <c r="BK153" s="121"/>
      <c r="BL153" s="121"/>
      <c r="BM153" s="121"/>
      <c r="BN153" s="121"/>
      <c r="BO153" s="120"/>
      <c r="BP153" s="120"/>
      <c r="BQ153" s="120"/>
      <c r="BR153" s="121"/>
      <c r="BS153" s="121"/>
      <c r="BT153" s="120"/>
      <c r="BU153" s="121"/>
      <c r="BV153" s="121"/>
      <c r="BW153" s="121"/>
      <c r="BX153" s="121"/>
      <c r="BY153" s="120"/>
      <c r="BZ153" s="121"/>
      <c r="CA153" s="121"/>
      <c r="CB153" s="121"/>
      <c r="CC153" s="121"/>
      <c r="CD153" s="121"/>
      <c r="CE153" s="121"/>
      <c r="CF153" s="121"/>
      <c r="CG153" s="121"/>
      <c r="CH153" s="121"/>
      <c r="CI153" s="121"/>
      <c r="CJ153" s="120"/>
      <c r="CK153" s="120"/>
      <c r="CL153" s="121"/>
      <c r="CM153" s="121"/>
      <c r="CN153" s="121"/>
      <c r="CO153" s="121"/>
      <c r="CP153" s="121"/>
      <c r="CQ153" s="121"/>
      <c r="CR153" s="121"/>
      <c r="CS153" s="121"/>
      <c r="CT153" s="121"/>
    </row>
    <row r="154">
      <c r="A154" s="120"/>
      <c r="B154" s="121"/>
      <c r="C154" s="121"/>
      <c r="D154" s="121"/>
      <c r="E154" s="120"/>
      <c r="F154" s="120"/>
      <c r="G154" s="120"/>
      <c r="H154" s="121"/>
      <c r="I154" s="120"/>
      <c r="J154" s="120"/>
      <c r="K154" s="121"/>
      <c r="L154" s="120"/>
      <c r="M154" s="121"/>
      <c r="N154" s="121"/>
      <c r="O154" s="121"/>
      <c r="P154" s="121"/>
      <c r="Q154" s="120"/>
      <c r="R154" s="121"/>
      <c r="S154" s="120"/>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0"/>
      <c r="AS154" s="121"/>
      <c r="AT154" s="121"/>
      <c r="AU154" s="121"/>
      <c r="AV154" s="121"/>
      <c r="AW154" s="120"/>
      <c r="AX154" s="120"/>
      <c r="AY154" s="121"/>
      <c r="AZ154" s="120"/>
      <c r="BA154" s="121"/>
      <c r="BB154" s="121"/>
      <c r="BC154" s="120"/>
      <c r="BD154" s="120"/>
      <c r="BE154" s="120"/>
      <c r="BF154" s="121"/>
      <c r="BG154" s="121"/>
      <c r="BH154" s="121"/>
      <c r="BI154" s="121"/>
      <c r="BJ154" s="121"/>
      <c r="BK154" s="121"/>
      <c r="BL154" s="121"/>
      <c r="BM154" s="121"/>
      <c r="BN154" s="121"/>
      <c r="BO154" s="120"/>
      <c r="BP154" s="120"/>
      <c r="BQ154" s="120"/>
      <c r="BR154" s="121"/>
      <c r="BS154" s="121"/>
      <c r="BT154" s="120"/>
      <c r="BU154" s="121"/>
      <c r="BV154" s="121"/>
      <c r="BW154" s="121"/>
      <c r="BX154" s="121"/>
      <c r="BY154" s="120"/>
      <c r="BZ154" s="121"/>
      <c r="CA154" s="121"/>
      <c r="CB154" s="121"/>
      <c r="CC154" s="121"/>
      <c r="CD154" s="121"/>
      <c r="CE154" s="121"/>
      <c r="CF154" s="121"/>
      <c r="CG154" s="121"/>
      <c r="CH154" s="121"/>
      <c r="CI154" s="121"/>
      <c r="CJ154" s="120"/>
      <c r="CK154" s="120"/>
      <c r="CL154" s="121"/>
      <c r="CM154" s="121"/>
      <c r="CN154" s="121"/>
      <c r="CO154" s="121"/>
      <c r="CP154" s="121"/>
      <c r="CQ154" s="121"/>
      <c r="CR154" s="121"/>
      <c r="CS154" s="121"/>
      <c r="CT154" s="121"/>
    </row>
    <row r="155">
      <c r="A155" s="120"/>
      <c r="B155" s="121"/>
      <c r="C155" s="121"/>
      <c r="D155" s="121"/>
      <c r="E155" s="120"/>
      <c r="F155" s="120"/>
      <c r="G155" s="120"/>
      <c r="H155" s="121"/>
      <c r="I155" s="120"/>
      <c r="J155" s="120"/>
      <c r="K155" s="121"/>
      <c r="L155" s="120"/>
      <c r="M155" s="121"/>
      <c r="N155" s="121"/>
      <c r="O155" s="121"/>
      <c r="P155" s="121"/>
      <c r="Q155" s="120"/>
      <c r="R155" s="121"/>
      <c r="S155" s="120"/>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0"/>
      <c r="AS155" s="121"/>
      <c r="AT155" s="121"/>
      <c r="AU155" s="121"/>
      <c r="AV155" s="121"/>
      <c r="AW155" s="120"/>
      <c r="AX155" s="120"/>
      <c r="AY155" s="121"/>
      <c r="AZ155" s="120"/>
      <c r="BA155" s="121"/>
      <c r="BB155" s="121"/>
      <c r="BC155" s="120"/>
      <c r="BD155" s="120"/>
      <c r="BE155" s="120"/>
      <c r="BF155" s="121"/>
      <c r="BG155" s="121"/>
      <c r="BH155" s="121"/>
      <c r="BI155" s="121"/>
      <c r="BJ155" s="121"/>
      <c r="BK155" s="121"/>
      <c r="BL155" s="121"/>
      <c r="BM155" s="121"/>
      <c r="BN155" s="121"/>
      <c r="BO155" s="120"/>
      <c r="BP155" s="120"/>
      <c r="BQ155" s="120"/>
      <c r="BR155" s="121"/>
      <c r="BS155" s="121"/>
      <c r="BT155" s="120"/>
      <c r="BU155" s="121"/>
      <c r="BV155" s="121"/>
      <c r="BW155" s="121"/>
      <c r="BX155" s="121"/>
      <c r="BY155" s="120"/>
      <c r="BZ155" s="121"/>
      <c r="CA155" s="121"/>
      <c r="CB155" s="121"/>
      <c r="CC155" s="121"/>
      <c r="CD155" s="121"/>
      <c r="CE155" s="121"/>
      <c r="CF155" s="121"/>
      <c r="CG155" s="121"/>
      <c r="CH155" s="121"/>
      <c r="CI155" s="121"/>
      <c r="CJ155" s="120"/>
      <c r="CK155" s="120"/>
      <c r="CL155" s="121"/>
      <c r="CM155" s="121"/>
      <c r="CN155" s="121"/>
      <c r="CO155" s="121"/>
      <c r="CP155" s="121"/>
      <c r="CQ155" s="121"/>
      <c r="CR155" s="121"/>
      <c r="CS155" s="121"/>
      <c r="CT155" s="121"/>
    </row>
    <row r="156">
      <c r="A156" s="120"/>
      <c r="B156" s="121"/>
      <c r="C156" s="121"/>
      <c r="D156" s="121"/>
      <c r="E156" s="120"/>
      <c r="F156" s="120"/>
      <c r="G156" s="120"/>
      <c r="H156" s="121"/>
      <c r="I156" s="120"/>
      <c r="J156" s="120"/>
      <c r="K156" s="121"/>
      <c r="L156" s="120"/>
      <c r="M156" s="121"/>
      <c r="N156" s="121"/>
      <c r="O156" s="121"/>
      <c r="P156" s="121"/>
      <c r="Q156" s="120"/>
      <c r="R156" s="121"/>
      <c r="S156" s="120"/>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0"/>
      <c r="AS156" s="121"/>
      <c r="AT156" s="121"/>
      <c r="AU156" s="121"/>
      <c r="AV156" s="121"/>
      <c r="AW156" s="120"/>
      <c r="AX156" s="120"/>
      <c r="AY156" s="121"/>
      <c r="AZ156" s="120"/>
      <c r="BA156" s="121"/>
      <c r="BB156" s="121"/>
      <c r="BC156" s="120"/>
      <c r="BD156" s="120"/>
      <c r="BE156" s="120"/>
      <c r="BF156" s="121"/>
      <c r="BG156" s="121"/>
      <c r="BH156" s="121"/>
      <c r="BI156" s="121"/>
      <c r="BJ156" s="121"/>
      <c r="BK156" s="121"/>
      <c r="BL156" s="121"/>
      <c r="BM156" s="121"/>
      <c r="BN156" s="121"/>
      <c r="BO156" s="120"/>
      <c r="BP156" s="120"/>
      <c r="BQ156" s="120"/>
      <c r="BR156" s="121"/>
      <c r="BS156" s="121"/>
      <c r="BT156" s="120"/>
      <c r="BU156" s="121"/>
      <c r="BV156" s="121"/>
      <c r="BW156" s="121"/>
      <c r="BX156" s="121"/>
      <c r="BY156" s="120"/>
      <c r="BZ156" s="121"/>
      <c r="CA156" s="121"/>
      <c r="CB156" s="121"/>
      <c r="CC156" s="121"/>
      <c r="CD156" s="121"/>
      <c r="CE156" s="121"/>
      <c r="CF156" s="121"/>
      <c r="CG156" s="121"/>
      <c r="CH156" s="121"/>
      <c r="CI156" s="121"/>
      <c r="CJ156" s="120"/>
      <c r="CK156" s="120"/>
      <c r="CL156" s="121"/>
      <c r="CM156" s="121"/>
      <c r="CN156" s="121"/>
      <c r="CO156" s="121"/>
      <c r="CP156" s="121"/>
      <c r="CQ156" s="121"/>
      <c r="CR156" s="121"/>
      <c r="CS156" s="121"/>
      <c r="CT156" s="121"/>
    </row>
    <row r="157">
      <c r="A157" s="120"/>
      <c r="B157" s="121"/>
      <c r="C157" s="121"/>
      <c r="D157" s="121"/>
      <c r="E157" s="120"/>
      <c r="F157" s="120"/>
      <c r="G157" s="120"/>
      <c r="H157" s="121"/>
      <c r="I157" s="120"/>
      <c r="J157" s="120"/>
      <c r="K157" s="121"/>
      <c r="L157" s="120"/>
      <c r="M157" s="121"/>
      <c r="N157" s="121"/>
      <c r="O157" s="121"/>
      <c r="P157" s="121"/>
      <c r="Q157" s="120"/>
      <c r="R157" s="121"/>
      <c r="S157" s="120"/>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0"/>
      <c r="AS157" s="121"/>
      <c r="AT157" s="121"/>
      <c r="AU157" s="121"/>
      <c r="AV157" s="121"/>
      <c r="AW157" s="120"/>
      <c r="AX157" s="120"/>
      <c r="AY157" s="121"/>
      <c r="AZ157" s="120"/>
      <c r="BA157" s="121"/>
      <c r="BB157" s="121"/>
      <c r="BC157" s="120"/>
      <c r="BD157" s="120"/>
      <c r="BE157" s="120"/>
      <c r="BF157" s="121"/>
      <c r="BG157" s="121"/>
      <c r="BH157" s="121"/>
      <c r="BI157" s="121"/>
      <c r="BJ157" s="121"/>
      <c r="BK157" s="121"/>
      <c r="BL157" s="121"/>
      <c r="BM157" s="121"/>
      <c r="BN157" s="121"/>
      <c r="BO157" s="120"/>
      <c r="BP157" s="120"/>
      <c r="BQ157" s="120"/>
      <c r="BR157" s="121"/>
      <c r="BS157" s="121"/>
      <c r="BT157" s="120"/>
      <c r="BU157" s="121"/>
      <c r="BV157" s="121"/>
      <c r="BW157" s="121"/>
      <c r="BX157" s="121"/>
      <c r="BY157" s="120"/>
      <c r="BZ157" s="121"/>
      <c r="CA157" s="121"/>
      <c r="CB157" s="121"/>
      <c r="CC157" s="121"/>
      <c r="CD157" s="121"/>
      <c r="CE157" s="121"/>
      <c r="CF157" s="121"/>
      <c r="CG157" s="121"/>
      <c r="CH157" s="121"/>
      <c r="CI157" s="121"/>
      <c r="CJ157" s="120"/>
      <c r="CK157" s="120"/>
      <c r="CL157" s="121"/>
      <c r="CM157" s="121"/>
      <c r="CN157" s="121"/>
      <c r="CO157" s="121"/>
      <c r="CP157" s="121"/>
      <c r="CQ157" s="121"/>
      <c r="CR157" s="121"/>
      <c r="CS157" s="121"/>
      <c r="CT157" s="121"/>
    </row>
    <row r="158">
      <c r="A158" s="120"/>
      <c r="B158" s="121"/>
      <c r="C158" s="121"/>
      <c r="D158" s="121"/>
      <c r="E158" s="120"/>
      <c r="F158" s="120"/>
      <c r="G158" s="120"/>
      <c r="H158" s="121"/>
      <c r="I158" s="120"/>
      <c r="J158" s="120"/>
      <c r="K158" s="121"/>
      <c r="L158" s="120"/>
      <c r="M158" s="121"/>
      <c r="N158" s="121"/>
      <c r="O158" s="121"/>
      <c r="P158" s="121"/>
      <c r="Q158" s="120"/>
      <c r="R158" s="121"/>
      <c r="S158" s="120"/>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0"/>
      <c r="AS158" s="121"/>
      <c r="AT158" s="121"/>
      <c r="AU158" s="121"/>
      <c r="AV158" s="121"/>
      <c r="AW158" s="120"/>
      <c r="AX158" s="120"/>
      <c r="AY158" s="121"/>
      <c r="AZ158" s="120"/>
      <c r="BA158" s="121"/>
      <c r="BB158" s="121"/>
      <c r="BC158" s="120"/>
      <c r="BD158" s="120"/>
      <c r="BE158" s="120"/>
      <c r="BF158" s="121"/>
      <c r="BG158" s="121"/>
      <c r="BH158" s="121"/>
      <c r="BI158" s="121"/>
      <c r="BJ158" s="121"/>
      <c r="BK158" s="121"/>
      <c r="BL158" s="121"/>
      <c r="BM158" s="121"/>
      <c r="BN158" s="121"/>
      <c r="BO158" s="120"/>
      <c r="BP158" s="120"/>
      <c r="BQ158" s="120"/>
      <c r="BR158" s="121"/>
      <c r="BS158" s="121"/>
      <c r="BT158" s="120"/>
      <c r="BU158" s="121"/>
      <c r="BV158" s="121"/>
      <c r="BW158" s="121"/>
      <c r="BX158" s="121"/>
      <c r="BY158" s="120"/>
      <c r="BZ158" s="121"/>
      <c r="CA158" s="121"/>
      <c r="CB158" s="121"/>
      <c r="CC158" s="121"/>
      <c r="CD158" s="121"/>
      <c r="CE158" s="121"/>
      <c r="CF158" s="121"/>
      <c r="CG158" s="121"/>
      <c r="CH158" s="121"/>
      <c r="CI158" s="121"/>
      <c r="CJ158" s="120"/>
      <c r="CK158" s="120"/>
      <c r="CL158" s="121"/>
      <c r="CM158" s="121"/>
      <c r="CN158" s="121"/>
      <c r="CO158" s="121"/>
      <c r="CP158" s="121"/>
      <c r="CQ158" s="121"/>
      <c r="CR158" s="121"/>
      <c r="CS158" s="121"/>
      <c r="CT158" s="121"/>
    </row>
    <row r="159">
      <c r="A159" s="120"/>
      <c r="B159" s="121"/>
      <c r="C159" s="121"/>
      <c r="D159" s="121"/>
      <c r="E159" s="120"/>
      <c r="F159" s="120"/>
      <c r="G159" s="120"/>
      <c r="H159" s="121"/>
      <c r="I159" s="120"/>
      <c r="J159" s="120"/>
      <c r="K159" s="121"/>
      <c r="L159" s="120"/>
      <c r="M159" s="121"/>
      <c r="N159" s="121"/>
      <c r="O159" s="121"/>
      <c r="P159" s="121"/>
      <c r="Q159" s="120"/>
      <c r="R159" s="121"/>
      <c r="S159" s="120"/>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0"/>
      <c r="AS159" s="121"/>
      <c r="AT159" s="121"/>
      <c r="AU159" s="121"/>
      <c r="AV159" s="121"/>
      <c r="AW159" s="120"/>
      <c r="AX159" s="120"/>
      <c r="AY159" s="121"/>
      <c r="AZ159" s="120"/>
      <c r="BA159" s="121"/>
      <c r="BB159" s="121"/>
      <c r="BC159" s="120"/>
      <c r="BD159" s="120"/>
      <c r="BE159" s="120"/>
      <c r="BF159" s="121"/>
      <c r="BG159" s="121"/>
      <c r="BH159" s="121"/>
      <c r="BI159" s="121"/>
      <c r="BJ159" s="121"/>
      <c r="BK159" s="121"/>
      <c r="BL159" s="121"/>
      <c r="BM159" s="121"/>
      <c r="BN159" s="121"/>
      <c r="BO159" s="120"/>
      <c r="BP159" s="120"/>
      <c r="BQ159" s="120"/>
      <c r="BR159" s="121"/>
      <c r="BS159" s="121"/>
      <c r="BT159" s="120"/>
      <c r="BU159" s="121"/>
      <c r="BV159" s="121"/>
      <c r="BW159" s="121"/>
      <c r="BX159" s="121"/>
      <c r="BY159" s="120"/>
      <c r="BZ159" s="121"/>
      <c r="CA159" s="121"/>
      <c r="CB159" s="121"/>
      <c r="CC159" s="121"/>
      <c r="CD159" s="121"/>
      <c r="CE159" s="121"/>
      <c r="CF159" s="121"/>
      <c r="CG159" s="121"/>
      <c r="CH159" s="121"/>
      <c r="CI159" s="121"/>
      <c r="CJ159" s="120"/>
      <c r="CK159" s="120"/>
      <c r="CL159" s="121"/>
      <c r="CM159" s="121"/>
      <c r="CN159" s="121"/>
      <c r="CO159" s="121"/>
      <c r="CP159" s="121"/>
      <c r="CQ159" s="121"/>
      <c r="CR159" s="121"/>
      <c r="CS159" s="121"/>
      <c r="CT159" s="121"/>
    </row>
    <row r="160">
      <c r="A160" s="120"/>
      <c r="B160" s="121"/>
      <c r="C160" s="121"/>
      <c r="D160" s="121"/>
      <c r="E160" s="120"/>
      <c r="F160" s="120"/>
      <c r="G160" s="120"/>
      <c r="H160" s="121"/>
      <c r="I160" s="120"/>
      <c r="J160" s="120"/>
      <c r="K160" s="121"/>
      <c r="L160" s="120"/>
      <c r="M160" s="121"/>
      <c r="N160" s="121"/>
      <c r="O160" s="121"/>
      <c r="P160" s="121"/>
      <c r="Q160" s="120"/>
      <c r="R160" s="121"/>
      <c r="S160" s="120"/>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0"/>
      <c r="AS160" s="121"/>
      <c r="AT160" s="121"/>
      <c r="AU160" s="121"/>
      <c r="AV160" s="121"/>
      <c r="AW160" s="120"/>
      <c r="AX160" s="120"/>
      <c r="AY160" s="121"/>
      <c r="AZ160" s="120"/>
      <c r="BA160" s="121"/>
      <c r="BB160" s="121"/>
      <c r="BC160" s="120"/>
      <c r="BD160" s="120"/>
      <c r="BE160" s="120"/>
      <c r="BF160" s="121"/>
      <c r="BG160" s="121"/>
      <c r="BH160" s="121"/>
      <c r="BI160" s="121"/>
      <c r="BJ160" s="121"/>
      <c r="BK160" s="121"/>
      <c r="BL160" s="121"/>
      <c r="BM160" s="121"/>
      <c r="BN160" s="121"/>
      <c r="BO160" s="120"/>
      <c r="BP160" s="120"/>
      <c r="BQ160" s="120"/>
      <c r="BR160" s="121"/>
      <c r="BS160" s="121"/>
      <c r="BT160" s="120"/>
      <c r="BU160" s="121"/>
      <c r="BV160" s="121"/>
      <c r="BW160" s="121"/>
      <c r="BX160" s="121"/>
      <c r="BY160" s="120"/>
      <c r="BZ160" s="121"/>
      <c r="CA160" s="121"/>
      <c r="CB160" s="121"/>
      <c r="CC160" s="121"/>
      <c r="CD160" s="121"/>
      <c r="CE160" s="121"/>
      <c r="CF160" s="121"/>
      <c r="CG160" s="121"/>
      <c r="CH160" s="121"/>
      <c r="CI160" s="121"/>
      <c r="CJ160" s="120"/>
      <c r="CK160" s="120"/>
      <c r="CL160" s="121"/>
      <c r="CM160" s="121"/>
      <c r="CN160" s="121"/>
      <c r="CO160" s="121"/>
      <c r="CP160" s="121"/>
      <c r="CQ160" s="121"/>
      <c r="CR160" s="121"/>
      <c r="CS160" s="121"/>
      <c r="CT160" s="121"/>
    </row>
    <row r="161">
      <c r="A161" s="120"/>
      <c r="B161" s="121"/>
      <c r="C161" s="121"/>
      <c r="D161" s="121"/>
      <c r="E161" s="120"/>
      <c r="F161" s="120"/>
      <c r="G161" s="120"/>
      <c r="H161" s="121"/>
      <c r="I161" s="120"/>
      <c r="J161" s="120"/>
      <c r="K161" s="121"/>
      <c r="L161" s="120"/>
      <c r="M161" s="121"/>
      <c r="N161" s="121"/>
      <c r="O161" s="121"/>
      <c r="P161" s="121"/>
      <c r="Q161" s="120"/>
      <c r="R161" s="121"/>
      <c r="S161" s="120"/>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0"/>
      <c r="AS161" s="121"/>
      <c r="AT161" s="121"/>
      <c r="AU161" s="121"/>
      <c r="AV161" s="121"/>
      <c r="AW161" s="120"/>
      <c r="AX161" s="120"/>
      <c r="AY161" s="121"/>
      <c r="AZ161" s="120"/>
      <c r="BA161" s="121"/>
      <c r="BB161" s="121"/>
      <c r="BC161" s="120"/>
      <c r="BD161" s="120"/>
      <c r="BE161" s="120"/>
      <c r="BF161" s="121"/>
      <c r="BG161" s="121"/>
      <c r="BH161" s="121"/>
      <c r="BI161" s="121"/>
      <c r="BJ161" s="121"/>
      <c r="BK161" s="121"/>
      <c r="BL161" s="121"/>
      <c r="BM161" s="121"/>
      <c r="BN161" s="121"/>
      <c r="BO161" s="120"/>
      <c r="BP161" s="120"/>
      <c r="BQ161" s="120"/>
      <c r="BR161" s="121"/>
      <c r="BS161" s="121"/>
      <c r="BT161" s="120"/>
      <c r="BU161" s="121"/>
      <c r="BV161" s="121"/>
      <c r="BW161" s="121"/>
      <c r="BX161" s="121"/>
      <c r="BY161" s="120"/>
      <c r="BZ161" s="121"/>
      <c r="CA161" s="121"/>
      <c r="CB161" s="121"/>
      <c r="CC161" s="121"/>
      <c r="CD161" s="121"/>
      <c r="CE161" s="121"/>
      <c r="CF161" s="121"/>
      <c r="CG161" s="121"/>
      <c r="CH161" s="121"/>
      <c r="CI161" s="121"/>
      <c r="CJ161" s="120"/>
      <c r="CK161" s="120"/>
      <c r="CL161" s="121"/>
      <c r="CM161" s="121"/>
      <c r="CN161" s="121"/>
      <c r="CO161" s="121"/>
      <c r="CP161" s="121"/>
      <c r="CQ161" s="121"/>
      <c r="CR161" s="121"/>
      <c r="CS161" s="121"/>
      <c r="CT161" s="121"/>
    </row>
    <row r="162">
      <c r="A162" s="120"/>
      <c r="B162" s="121"/>
      <c r="C162" s="121"/>
      <c r="D162" s="121"/>
      <c r="E162" s="120"/>
      <c r="F162" s="120"/>
      <c r="G162" s="120"/>
      <c r="H162" s="121"/>
      <c r="I162" s="120"/>
      <c r="J162" s="120"/>
      <c r="K162" s="121"/>
      <c r="L162" s="120"/>
      <c r="M162" s="121"/>
      <c r="N162" s="121"/>
      <c r="O162" s="121"/>
      <c r="P162" s="121"/>
      <c r="Q162" s="120"/>
      <c r="R162" s="121"/>
      <c r="S162" s="120"/>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0"/>
      <c r="AS162" s="121"/>
      <c r="AT162" s="121"/>
      <c r="AU162" s="121"/>
      <c r="AV162" s="121"/>
      <c r="AW162" s="120"/>
      <c r="AX162" s="120"/>
      <c r="AY162" s="121"/>
      <c r="AZ162" s="120"/>
      <c r="BA162" s="121"/>
      <c r="BB162" s="121"/>
      <c r="BC162" s="120"/>
      <c r="BD162" s="120"/>
      <c r="BE162" s="120"/>
      <c r="BF162" s="121"/>
      <c r="BG162" s="121"/>
      <c r="BH162" s="121"/>
      <c r="BI162" s="121"/>
      <c r="BJ162" s="121"/>
      <c r="BK162" s="121"/>
      <c r="BL162" s="121"/>
      <c r="BM162" s="121"/>
      <c r="BN162" s="121"/>
      <c r="BO162" s="120"/>
      <c r="BP162" s="120"/>
      <c r="BQ162" s="120"/>
      <c r="BR162" s="121"/>
      <c r="BS162" s="121"/>
      <c r="BT162" s="120"/>
      <c r="BU162" s="121"/>
      <c r="BV162" s="121"/>
      <c r="BW162" s="121"/>
      <c r="BX162" s="121"/>
      <c r="BY162" s="120"/>
      <c r="BZ162" s="121"/>
      <c r="CA162" s="121"/>
      <c r="CB162" s="121"/>
      <c r="CC162" s="121"/>
      <c r="CD162" s="121"/>
      <c r="CE162" s="121"/>
      <c r="CF162" s="121"/>
      <c r="CG162" s="121"/>
      <c r="CH162" s="121"/>
      <c r="CI162" s="121"/>
      <c r="CJ162" s="120"/>
      <c r="CK162" s="120"/>
      <c r="CL162" s="121"/>
      <c r="CM162" s="121"/>
      <c r="CN162" s="121"/>
      <c r="CO162" s="121"/>
      <c r="CP162" s="121"/>
      <c r="CQ162" s="121"/>
      <c r="CR162" s="121"/>
      <c r="CS162" s="121"/>
      <c r="CT162" s="121"/>
    </row>
    <row r="163">
      <c r="A163" s="120"/>
      <c r="B163" s="121"/>
      <c r="C163" s="121"/>
      <c r="D163" s="121"/>
      <c r="E163" s="120"/>
      <c r="F163" s="120"/>
      <c r="G163" s="120"/>
      <c r="H163" s="121"/>
      <c r="I163" s="120"/>
      <c r="J163" s="120"/>
      <c r="K163" s="121"/>
      <c r="L163" s="120"/>
      <c r="M163" s="121"/>
      <c r="N163" s="121"/>
      <c r="O163" s="121"/>
      <c r="P163" s="121"/>
      <c r="Q163" s="120"/>
      <c r="R163" s="121"/>
      <c r="S163" s="120"/>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0"/>
      <c r="AS163" s="121"/>
      <c r="AT163" s="121"/>
      <c r="AU163" s="121"/>
      <c r="AV163" s="121"/>
      <c r="AW163" s="120"/>
      <c r="AX163" s="120"/>
      <c r="AY163" s="121"/>
      <c r="AZ163" s="120"/>
      <c r="BA163" s="121"/>
      <c r="BB163" s="121"/>
      <c r="BC163" s="120"/>
      <c r="BD163" s="120"/>
      <c r="BE163" s="120"/>
      <c r="BF163" s="121"/>
      <c r="BG163" s="121"/>
      <c r="BH163" s="121"/>
      <c r="BI163" s="121"/>
      <c r="BJ163" s="121"/>
      <c r="BK163" s="121"/>
      <c r="BL163" s="121"/>
      <c r="BM163" s="121"/>
      <c r="BN163" s="121"/>
      <c r="BO163" s="120"/>
      <c r="BP163" s="120"/>
      <c r="BQ163" s="120"/>
      <c r="BR163" s="121"/>
      <c r="BS163" s="121"/>
      <c r="BT163" s="120"/>
      <c r="BU163" s="121"/>
      <c r="BV163" s="121"/>
      <c r="BW163" s="121"/>
      <c r="BX163" s="121"/>
      <c r="BY163" s="120"/>
      <c r="BZ163" s="121"/>
      <c r="CA163" s="121"/>
      <c r="CB163" s="121"/>
      <c r="CC163" s="121"/>
      <c r="CD163" s="121"/>
      <c r="CE163" s="121"/>
      <c r="CF163" s="121"/>
      <c r="CG163" s="121"/>
      <c r="CH163" s="121"/>
      <c r="CI163" s="121"/>
      <c r="CJ163" s="120"/>
      <c r="CK163" s="120"/>
      <c r="CL163" s="121"/>
      <c r="CM163" s="121"/>
      <c r="CN163" s="121"/>
      <c r="CO163" s="121"/>
      <c r="CP163" s="121"/>
      <c r="CQ163" s="121"/>
      <c r="CR163" s="121"/>
      <c r="CS163" s="121"/>
      <c r="CT163" s="121"/>
    </row>
    <row r="164">
      <c r="A164" s="120"/>
      <c r="B164" s="121"/>
      <c r="C164" s="121"/>
      <c r="D164" s="121"/>
      <c r="E164" s="120"/>
      <c r="F164" s="120"/>
      <c r="G164" s="120"/>
      <c r="H164" s="121"/>
      <c r="I164" s="120"/>
      <c r="J164" s="120"/>
      <c r="K164" s="121"/>
      <c r="L164" s="120"/>
      <c r="M164" s="121"/>
      <c r="N164" s="121"/>
      <c r="O164" s="121"/>
      <c r="P164" s="121"/>
      <c r="Q164" s="120"/>
      <c r="R164" s="121"/>
      <c r="S164" s="120"/>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0"/>
      <c r="AS164" s="121"/>
      <c r="AT164" s="121"/>
      <c r="AU164" s="121"/>
      <c r="AV164" s="121"/>
      <c r="AW164" s="120"/>
      <c r="AX164" s="120"/>
      <c r="AY164" s="121"/>
      <c r="AZ164" s="120"/>
      <c r="BA164" s="121"/>
      <c r="BB164" s="121"/>
      <c r="BC164" s="120"/>
      <c r="BD164" s="120"/>
      <c r="BE164" s="120"/>
      <c r="BF164" s="121"/>
      <c r="BG164" s="121"/>
      <c r="BH164" s="121"/>
      <c r="BI164" s="121"/>
      <c r="BJ164" s="121"/>
      <c r="BK164" s="121"/>
      <c r="BL164" s="121"/>
      <c r="BM164" s="121"/>
      <c r="BN164" s="121"/>
      <c r="BO164" s="120"/>
      <c r="BP164" s="120"/>
      <c r="BQ164" s="120"/>
      <c r="BR164" s="121"/>
      <c r="BS164" s="121"/>
      <c r="BT164" s="120"/>
      <c r="BU164" s="121"/>
      <c r="BV164" s="121"/>
      <c r="BW164" s="121"/>
      <c r="BX164" s="121"/>
      <c r="BY164" s="120"/>
      <c r="BZ164" s="121"/>
      <c r="CA164" s="121"/>
      <c r="CB164" s="121"/>
      <c r="CC164" s="121"/>
      <c r="CD164" s="121"/>
      <c r="CE164" s="121"/>
      <c r="CF164" s="121"/>
      <c r="CG164" s="121"/>
      <c r="CH164" s="121"/>
      <c r="CI164" s="121"/>
      <c r="CJ164" s="120"/>
      <c r="CK164" s="120"/>
      <c r="CL164" s="121"/>
      <c r="CM164" s="121"/>
      <c r="CN164" s="121"/>
      <c r="CO164" s="121"/>
      <c r="CP164" s="121"/>
      <c r="CQ164" s="121"/>
      <c r="CR164" s="121"/>
      <c r="CS164" s="121"/>
      <c r="CT164" s="121"/>
    </row>
    <row r="165">
      <c r="A165" s="120"/>
      <c r="B165" s="121"/>
      <c r="C165" s="121"/>
      <c r="D165" s="121"/>
      <c r="E165" s="120"/>
      <c r="F165" s="120"/>
      <c r="G165" s="120"/>
      <c r="H165" s="121"/>
      <c r="I165" s="120"/>
      <c r="J165" s="120"/>
      <c r="K165" s="121"/>
      <c r="L165" s="120"/>
      <c r="M165" s="121"/>
      <c r="N165" s="121"/>
      <c r="O165" s="121"/>
      <c r="P165" s="121"/>
      <c r="Q165" s="120"/>
      <c r="R165" s="121"/>
      <c r="S165" s="120"/>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0"/>
      <c r="AS165" s="121"/>
      <c r="AT165" s="121"/>
      <c r="AU165" s="121"/>
      <c r="AV165" s="121"/>
      <c r="AW165" s="120"/>
      <c r="AX165" s="120"/>
      <c r="AY165" s="121"/>
      <c r="AZ165" s="120"/>
      <c r="BA165" s="121"/>
      <c r="BB165" s="121"/>
      <c r="BC165" s="120"/>
      <c r="BD165" s="120"/>
      <c r="BE165" s="120"/>
      <c r="BF165" s="121"/>
      <c r="BG165" s="121"/>
      <c r="BH165" s="121"/>
      <c r="BI165" s="121"/>
      <c r="BJ165" s="121"/>
      <c r="BK165" s="121"/>
      <c r="BL165" s="121"/>
      <c r="BM165" s="121"/>
      <c r="BN165" s="121"/>
      <c r="BO165" s="120"/>
      <c r="BP165" s="120"/>
      <c r="BQ165" s="120"/>
      <c r="BR165" s="121"/>
      <c r="BS165" s="121"/>
      <c r="BT165" s="120"/>
      <c r="BU165" s="121"/>
      <c r="BV165" s="121"/>
      <c r="BW165" s="121"/>
      <c r="BX165" s="121"/>
      <c r="BY165" s="120"/>
      <c r="BZ165" s="121"/>
      <c r="CA165" s="121"/>
      <c r="CB165" s="121"/>
      <c r="CC165" s="121"/>
      <c r="CD165" s="121"/>
      <c r="CE165" s="121"/>
      <c r="CF165" s="121"/>
      <c r="CG165" s="121"/>
      <c r="CH165" s="121"/>
      <c r="CI165" s="121"/>
      <c r="CJ165" s="120"/>
      <c r="CK165" s="120"/>
      <c r="CL165" s="121"/>
      <c r="CM165" s="121"/>
      <c r="CN165" s="121"/>
      <c r="CO165" s="121"/>
      <c r="CP165" s="121"/>
      <c r="CQ165" s="121"/>
      <c r="CR165" s="121"/>
      <c r="CS165" s="121"/>
      <c r="CT165" s="121"/>
    </row>
    <row r="166">
      <c r="A166" s="120"/>
      <c r="B166" s="121"/>
      <c r="C166" s="121"/>
      <c r="D166" s="121"/>
      <c r="E166" s="120"/>
      <c r="F166" s="120"/>
      <c r="G166" s="120"/>
      <c r="H166" s="121"/>
      <c r="I166" s="120"/>
      <c r="J166" s="120"/>
      <c r="K166" s="121"/>
      <c r="L166" s="120"/>
      <c r="M166" s="121"/>
      <c r="N166" s="121"/>
      <c r="O166" s="121"/>
      <c r="P166" s="121"/>
      <c r="Q166" s="120"/>
      <c r="R166" s="121"/>
      <c r="S166" s="120"/>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0"/>
      <c r="AS166" s="121"/>
      <c r="AT166" s="121"/>
      <c r="AU166" s="121"/>
      <c r="AV166" s="121"/>
      <c r="AW166" s="120"/>
      <c r="AX166" s="120"/>
      <c r="AY166" s="121"/>
      <c r="AZ166" s="120"/>
      <c r="BA166" s="121"/>
      <c r="BB166" s="121"/>
      <c r="BC166" s="120"/>
      <c r="BD166" s="120"/>
      <c r="BE166" s="120"/>
      <c r="BF166" s="121"/>
      <c r="BG166" s="121"/>
      <c r="BH166" s="121"/>
      <c r="BI166" s="121"/>
      <c r="BJ166" s="121"/>
      <c r="BK166" s="121"/>
      <c r="BL166" s="121"/>
      <c r="BM166" s="121"/>
      <c r="BN166" s="121"/>
      <c r="BO166" s="120"/>
      <c r="BP166" s="120"/>
      <c r="BQ166" s="120"/>
      <c r="BR166" s="121"/>
      <c r="BS166" s="121"/>
      <c r="BT166" s="120"/>
      <c r="BU166" s="121"/>
      <c r="BV166" s="121"/>
      <c r="BW166" s="121"/>
      <c r="BX166" s="121"/>
      <c r="BY166" s="120"/>
      <c r="BZ166" s="121"/>
      <c r="CA166" s="121"/>
      <c r="CB166" s="121"/>
      <c r="CC166" s="121"/>
      <c r="CD166" s="121"/>
      <c r="CE166" s="121"/>
      <c r="CF166" s="121"/>
      <c r="CG166" s="121"/>
      <c r="CH166" s="121"/>
      <c r="CI166" s="121"/>
      <c r="CJ166" s="120"/>
      <c r="CK166" s="120"/>
      <c r="CL166" s="121"/>
      <c r="CM166" s="121"/>
      <c r="CN166" s="121"/>
      <c r="CO166" s="121"/>
      <c r="CP166" s="121"/>
      <c r="CQ166" s="121"/>
      <c r="CR166" s="121"/>
      <c r="CS166" s="121"/>
      <c r="CT166" s="121"/>
    </row>
    <row r="167">
      <c r="A167" s="120"/>
      <c r="B167" s="121"/>
      <c r="C167" s="121"/>
      <c r="D167" s="121"/>
      <c r="E167" s="120"/>
      <c r="F167" s="120"/>
      <c r="G167" s="120"/>
      <c r="H167" s="121"/>
      <c r="I167" s="120"/>
      <c r="J167" s="120"/>
      <c r="K167" s="121"/>
      <c r="L167" s="120"/>
      <c r="M167" s="121"/>
      <c r="N167" s="121"/>
      <c r="O167" s="121"/>
      <c r="P167" s="121"/>
      <c r="Q167" s="120"/>
      <c r="R167" s="121"/>
      <c r="S167" s="120"/>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0"/>
      <c r="AS167" s="121"/>
      <c r="AT167" s="121"/>
      <c r="AU167" s="121"/>
      <c r="AV167" s="121"/>
      <c r="AW167" s="120"/>
      <c r="AX167" s="120"/>
      <c r="AY167" s="121"/>
      <c r="AZ167" s="120"/>
      <c r="BA167" s="121"/>
      <c r="BB167" s="121"/>
      <c r="BC167" s="120"/>
      <c r="BD167" s="120"/>
      <c r="BE167" s="120"/>
      <c r="BF167" s="121"/>
      <c r="BG167" s="121"/>
      <c r="BH167" s="121"/>
      <c r="BI167" s="121"/>
      <c r="BJ167" s="121"/>
      <c r="BK167" s="121"/>
      <c r="BL167" s="121"/>
      <c r="BM167" s="121"/>
      <c r="BN167" s="121"/>
      <c r="BO167" s="120"/>
      <c r="BP167" s="120"/>
      <c r="BQ167" s="120"/>
      <c r="BR167" s="121"/>
      <c r="BS167" s="121"/>
      <c r="BT167" s="120"/>
      <c r="BU167" s="121"/>
      <c r="BV167" s="121"/>
      <c r="BW167" s="121"/>
      <c r="BX167" s="121"/>
      <c r="BY167" s="120"/>
      <c r="BZ167" s="121"/>
      <c r="CA167" s="121"/>
      <c r="CB167" s="121"/>
      <c r="CC167" s="121"/>
      <c r="CD167" s="121"/>
      <c r="CE167" s="121"/>
      <c r="CF167" s="121"/>
      <c r="CG167" s="121"/>
      <c r="CH167" s="121"/>
      <c r="CI167" s="121"/>
      <c r="CJ167" s="120"/>
      <c r="CK167" s="120"/>
      <c r="CL167" s="121"/>
      <c r="CM167" s="121"/>
      <c r="CN167" s="121"/>
      <c r="CO167" s="121"/>
      <c r="CP167" s="121"/>
      <c r="CQ167" s="121"/>
      <c r="CR167" s="121"/>
      <c r="CS167" s="121"/>
      <c r="CT167" s="121"/>
    </row>
    <row r="168">
      <c r="A168" s="120"/>
      <c r="B168" s="121"/>
      <c r="C168" s="121"/>
      <c r="D168" s="121"/>
      <c r="E168" s="120"/>
      <c r="F168" s="120"/>
      <c r="G168" s="120"/>
      <c r="H168" s="121"/>
      <c r="I168" s="120"/>
      <c r="J168" s="120"/>
      <c r="K168" s="121"/>
      <c r="L168" s="120"/>
      <c r="M168" s="121"/>
      <c r="N168" s="121"/>
      <c r="O168" s="121"/>
      <c r="P168" s="121"/>
      <c r="Q168" s="120"/>
      <c r="R168" s="121"/>
      <c r="S168" s="120"/>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0"/>
      <c r="AS168" s="121"/>
      <c r="AT168" s="121"/>
      <c r="AU168" s="121"/>
      <c r="AV168" s="121"/>
      <c r="AW168" s="120"/>
      <c r="AX168" s="120"/>
      <c r="AY168" s="121"/>
      <c r="AZ168" s="120"/>
      <c r="BA168" s="121"/>
      <c r="BB168" s="121"/>
      <c r="BC168" s="120"/>
      <c r="BD168" s="120"/>
      <c r="BE168" s="120"/>
      <c r="BF168" s="121"/>
      <c r="BG168" s="121"/>
      <c r="BH168" s="121"/>
      <c r="BI168" s="121"/>
      <c r="BJ168" s="121"/>
      <c r="BK168" s="121"/>
      <c r="BL168" s="121"/>
      <c r="BM168" s="121"/>
      <c r="BN168" s="121"/>
      <c r="BO168" s="120"/>
      <c r="BP168" s="120"/>
      <c r="BQ168" s="120"/>
      <c r="BR168" s="121"/>
      <c r="BS168" s="121"/>
      <c r="BT168" s="120"/>
      <c r="BU168" s="121"/>
      <c r="BV168" s="121"/>
      <c r="BW168" s="121"/>
      <c r="BX168" s="121"/>
      <c r="BY168" s="120"/>
      <c r="BZ168" s="121"/>
      <c r="CA168" s="121"/>
      <c r="CB168" s="121"/>
      <c r="CC168" s="121"/>
      <c r="CD168" s="121"/>
      <c r="CE168" s="121"/>
      <c r="CF168" s="121"/>
      <c r="CG168" s="121"/>
      <c r="CH168" s="121"/>
      <c r="CI168" s="121"/>
      <c r="CJ168" s="120"/>
      <c r="CK168" s="120"/>
      <c r="CL168" s="121"/>
      <c r="CM168" s="121"/>
      <c r="CN168" s="121"/>
      <c r="CO168" s="121"/>
      <c r="CP168" s="121"/>
      <c r="CQ168" s="121"/>
      <c r="CR168" s="121"/>
      <c r="CS168" s="121"/>
      <c r="CT168" s="121"/>
    </row>
    <row r="169">
      <c r="A169" s="120"/>
      <c r="B169" s="121"/>
      <c r="C169" s="121"/>
      <c r="D169" s="121"/>
      <c r="E169" s="120"/>
      <c r="F169" s="120"/>
      <c r="G169" s="120"/>
      <c r="H169" s="121"/>
      <c r="I169" s="120"/>
      <c r="J169" s="120"/>
      <c r="K169" s="121"/>
      <c r="L169" s="120"/>
      <c r="M169" s="121"/>
      <c r="N169" s="121"/>
      <c r="O169" s="121"/>
      <c r="P169" s="121"/>
      <c r="Q169" s="120"/>
      <c r="R169" s="121"/>
      <c r="S169" s="120"/>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0"/>
      <c r="AS169" s="121"/>
      <c r="AT169" s="121"/>
      <c r="AU169" s="121"/>
      <c r="AV169" s="121"/>
      <c r="AW169" s="120"/>
      <c r="AX169" s="120"/>
      <c r="AY169" s="121"/>
      <c r="AZ169" s="120"/>
      <c r="BA169" s="121"/>
      <c r="BB169" s="121"/>
      <c r="BC169" s="120"/>
      <c r="BD169" s="120"/>
      <c r="BE169" s="120"/>
      <c r="BF169" s="121"/>
      <c r="BG169" s="121"/>
      <c r="BH169" s="121"/>
      <c r="BI169" s="121"/>
      <c r="BJ169" s="121"/>
      <c r="BK169" s="121"/>
      <c r="BL169" s="121"/>
      <c r="BM169" s="121"/>
      <c r="BN169" s="121"/>
      <c r="BO169" s="120"/>
      <c r="BP169" s="120"/>
      <c r="BQ169" s="120"/>
      <c r="BR169" s="121"/>
      <c r="BS169" s="121"/>
      <c r="BT169" s="120"/>
      <c r="BU169" s="121"/>
      <c r="BV169" s="121"/>
      <c r="BW169" s="121"/>
      <c r="BX169" s="121"/>
      <c r="BY169" s="120"/>
      <c r="BZ169" s="121"/>
      <c r="CA169" s="121"/>
      <c r="CB169" s="121"/>
      <c r="CC169" s="121"/>
      <c r="CD169" s="121"/>
      <c r="CE169" s="121"/>
      <c r="CF169" s="121"/>
      <c r="CG169" s="121"/>
      <c r="CH169" s="121"/>
      <c r="CI169" s="121"/>
      <c r="CJ169" s="120"/>
      <c r="CK169" s="120"/>
      <c r="CL169" s="121"/>
      <c r="CM169" s="121"/>
      <c r="CN169" s="121"/>
      <c r="CO169" s="121"/>
      <c r="CP169" s="121"/>
      <c r="CQ169" s="121"/>
      <c r="CR169" s="121"/>
      <c r="CS169" s="121"/>
      <c r="CT169" s="121"/>
    </row>
    <row r="170">
      <c r="A170" s="120"/>
      <c r="B170" s="121"/>
      <c r="C170" s="121"/>
      <c r="D170" s="121"/>
      <c r="E170" s="120"/>
      <c r="F170" s="120"/>
      <c r="G170" s="120"/>
      <c r="H170" s="121"/>
      <c r="I170" s="120"/>
      <c r="J170" s="120"/>
      <c r="K170" s="121"/>
      <c r="L170" s="120"/>
      <c r="M170" s="121"/>
      <c r="N170" s="121"/>
      <c r="O170" s="121"/>
      <c r="P170" s="121"/>
      <c r="Q170" s="120"/>
      <c r="R170" s="121"/>
      <c r="S170" s="120"/>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0"/>
      <c r="AS170" s="121"/>
      <c r="AT170" s="121"/>
      <c r="AU170" s="121"/>
      <c r="AV170" s="121"/>
      <c r="AW170" s="120"/>
      <c r="AX170" s="120"/>
      <c r="AY170" s="121"/>
      <c r="AZ170" s="120"/>
      <c r="BA170" s="121"/>
      <c r="BB170" s="121"/>
      <c r="BC170" s="120"/>
      <c r="BD170" s="120"/>
      <c r="BE170" s="120"/>
      <c r="BF170" s="121"/>
      <c r="BG170" s="121"/>
      <c r="BH170" s="121"/>
      <c r="BI170" s="121"/>
      <c r="BJ170" s="121"/>
      <c r="BK170" s="121"/>
      <c r="BL170" s="121"/>
      <c r="BM170" s="121"/>
      <c r="BN170" s="121"/>
      <c r="BO170" s="120"/>
      <c r="BP170" s="120"/>
      <c r="BQ170" s="120"/>
      <c r="BR170" s="121"/>
      <c r="BS170" s="121"/>
      <c r="BT170" s="120"/>
      <c r="BU170" s="121"/>
      <c r="BV170" s="121"/>
      <c r="BW170" s="121"/>
      <c r="BX170" s="121"/>
      <c r="BY170" s="120"/>
      <c r="BZ170" s="121"/>
      <c r="CA170" s="121"/>
      <c r="CB170" s="121"/>
      <c r="CC170" s="121"/>
      <c r="CD170" s="121"/>
      <c r="CE170" s="121"/>
      <c r="CF170" s="121"/>
      <c r="CG170" s="121"/>
      <c r="CH170" s="121"/>
      <c r="CI170" s="121"/>
      <c r="CJ170" s="120"/>
      <c r="CK170" s="120"/>
      <c r="CL170" s="121"/>
      <c r="CM170" s="121"/>
      <c r="CN170" s="121"/>
      <c r="CO170" s="121"/>
      <c r="CP170" s="121"/>
      <c r="CQ170" s="121"/>
      <c r="CR170" s="121"/>
      <c r="CS170" s="121"/>
      <c r="CT170" s="121"/>
    </row>
    <row r="171">
      <c r="A171" s="120"/>
      <c r="B171" s="121"/>
      <c r="C171" s="121"/>
      <c r="D171" s="121"/>
      <c r="E171" s="120"/>
      <c r="F171" s="120"/>
      <c r="G171" s="120"/>
      <c r="H171" s="121"/>
      <c r="I171" s="120"/>
      <c r="J171" s="120"/>
      <c r="K171" s="121"/>
      <c r="L171" s="120"/>
      <c r="M171" s="121"/>
      <c r="N171" s="121"/>
      <c r="O171" s="121"/>
      <c r="P171" s="121"/>
      <c r="Q171" s="120"/>
      <c r="R171" s="121"/>
      <c r="S171" s="120"/>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0"/>
      <c r="AS171" s="121"/>
      <c r="AT171" s="121"/>
      <c r="AU171" s="121"/>
      <c r="AV171" s="121"/>
      <c r="AW171" s="120"/>
      <c r="AX171" s="120"/>
      <c r="AY171" s="121"/>
      <c r="AZ171" s="120"/>
      <c r="BA171" s="121"/>
      <c r="BB171" s="121"/>
      <c r="BC171" s="120"/>
      <c r="BD171" s="120"/>
      <c r="BE171" s="120"/>
      <c r="BF171" s="121"/>
      <c r="BG171" s="121"/>
      <c r="BH171" s="121"/>
      <c r="BI171" s="121"/>
      <c r="BJ171" s="121"/>
      <c r="BK171" s="121"/>
      <c r="BL171" s="121"/>
      <c r="BM171" s="121"/>
      <c r="BN171" s="121"/>
      <c r="BO171" s="120"/>
      <c r="BP171" s="120"/>
      <c r="BQ171" s="120"/>
      <c r="BR171" s="121"/>
      <c r="BS171" s="121"/>
      <c r="BT171" s="120"/>
      <c r="BU171" s="121"/>
      <c r="BV171" s="121"/>
      <c r="BW171" s="121"/>
      <c r="BX171" s="121"/>
      <c r="BY171" s="120"/>
      <c r="BZ171" s="121"/>
      <c r="CA171" s="121"/>
      <c r="CB171" s="121"/>
      <c r="CC171" s="121"/>
      <c r="CD171" s="121"/>
      <c r="CE171" s="121"/>
      <c r="CF171" s="121"/>
      <c r="CG171" s="121"/>
      <c r="CH171" s="121"/>
      <c r="CI171" s="121"/>
      <c r="CJ171" s="120"/>
      <c r="CK171" s="120"/>
      <c r="CL171" s="121"/>
      <c r="CM171" s="121"/>
      <c r="CN171" s="121"/>
      <c r="CO171" s="121"/>
      <c r="CP171" s="121"/>
      <c r="CQ171" s="121"/>
      <c r="CR171" s="121"/>
      <c r="CS171" s="121"/>
      <c r="CT171" s="121"/>
    </row>
    <row r="172">
      <c r="A172" s="120"/>
      <c r="B172" s="121"/>
      <c r="C172" s="121"/>
      <c r="D172" s="121"/>
      <c r="E172" s="120"/>
      <c r="F172" s="120"/>
      <c r="G172" s="120"/>
      <c r="H172" s="121"/>
      <c r="I172" s="120"/>
      <c r="J172" s="120"/>
      <c r="K172" s="121"/>
      <c r="L172" s="120"/>
      <c r="M172" s="121"/>
      <c r="N172" s="121"/>
      <c r="O172" s="121"/>
      <c r="P172" s="121"/>
      <c r="Q172" s="120"/>
      <c r="R172" s="121"/>
      <c r="S172" s="120"/>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0"/>
      <c r="AS172" s="121"/>
      <c r="AT172" s="121"/>
      <c r="AU172" s="121"/>
      <c r="AV172" s="121"/>
      <c r="AW172" s="120"/>
      <c r="AX172" s="120"/>
      <c r="AY172" s="121"/>
      <c r="AZ172" s="120"/>
      <c r="BA172" s="121"/>
      <c r="BB172" s="121"/>
      <c r="BC172" s="120"/>
      <c r="BD172" s="120"/>
      <c r="BE172" s="120"/>
      <c r="BF172" s="121"/>
      <c r="BG172" s="121"/>
      <c r="BH172" s="121"/>
      <c r="BI172" s="121"/>
      <c r="BJ172" s="121"/>
      <c r="BK172" s="121"/>
      <c r="BL172" s="121"/>
      <c r="BM172" s="121"/>
      <c r="BN172" s="121"/>
      <c r="BO172" s="120"/>
      <c r="BP172" s="120"/>
      <c r="BQ172" s="120"/>
      <c r="BR172" s="121"/>
      <c r="BS172" s="121"/>
      <c r="BT172" s="120"/>
      <c r="BU172" s="121"/>
      <c r="BV172" s="121"/>
      <c r="BW172" s="121"/>
      <c r="BX172" s="121"/>
      <c r="BY172" s="120"/>
      <c r="BZ172" s="121"/>
      <c r="CA172" s="121"/>
      <c r="CB172" s="121"/>
      <c r="CC172" s="121"/>
      <c r="CD172" s="121"/>
      <c r="CE172" s="121"/>
      <c r="CF172" s="121"/>
      <c r="CG172" s="121"/>
      <c r="CH172" s="121"/>
      <c r="CI172" s="121"/>
      <c r="CJ172" s="120"/>
      <c r="CK172" s="120"/>
      <c r="CL172" s="121"/>
      <c r="CM172" s="121"/>
      <c r="CN172" s="121"/>
      <c r="CO172" s="121"/>
      <c r="CP172" s="121"/>
      <c r="CQ172" s="121"/>
      <c r="CR172" s="121"/>
      <c r="CS172" s="121"/>
      <c r="CT172" s="121"/>
    </row>
    <row r="173">
      <c r="A173" s="120"/>
      <c r="B173" s="121"/>
      <c r="C173" s="121"/>
      <c r="D173" s="121"/>
      <c r="E173" s="120"/>
      <c r="F173" s="120"/>
      <c r="G173" s="120"/>
      <c r="H173" s="121"/>
      <c r="I173" s="120"/>
      <c r="J173" s="120"/>
      <c r="K173" s="121"/>
      <c r="L173" s="120"/>
      <c r="M173" s="121"/>
      <c r="N173" s="121"/>
      <c r="O173" s="121"/>
      <c r="P173" s="121"/>
      <c r="Q173" s="120"/>
      <c r="R173" s="121"/>
      <c r="S173" s="120"/>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0"/>
      <c r="AS173" s="121"/>
      <c r="AT173" s="121"/>
      <c r="AU173" s="121"/>
      <c r="AV173" s="121"/>
      <c r="AW173" s="120"/>
      <c r="AX173" s="120"/>
      <c r="AY173" s="121"/>
      <c r="AZ173" s="120"/>
      <c r="BA173" s="121"/>
      <c r="BB173" s="121"/>
      <c r="BC173" s="120"/>
      <c r="BD173" s="120"/>
      <c r="BE173" s="120"/>
      <c r="BF173" s="121"/>
      <c r="BG173" s="121"/>
      <c r="BH173" s="121"/>
      <c r="BI173" s="121"/>
      <c r="BJ173" s="121"/>
      <c r="BK173" s="121"/>
      <c r="BL173" s="121"/>
      <c r="BM173" s="121"/>
      <c r="BN173" s="121"/>
      <c r="BO173" s="120"/>
      <c r="BP173" s="120"/>
      <c r="BQ173" s="120"/>
      <c r="BR173" s="121"/>
      <c r="BS173" s="121"/>
      <c r="BT173" s="120"/>
      <c r="BU173" s="121"/>
      <c r="BV173" s="121"/>
      <c r="BW173" s="121"/>
      <c r="BX173" s="121"/>
      <c r="BY173" s="120"/>
      <c r="BZ173" s="121"/>
      <c r="CA173" s="121"/>
      <c r="CB173" s="121"/>
      <c r="CC173" s="121"/>
      <c r="CD173" s="121"/>
      <c r="CE173" s="121"/>
      <c r="CF173" s="121"/>
      <c r="CG173" s="121"/>
      <c r="CH173" s="121"/>
      <c r="CI173" s="121"/>
      <c r="CJ173" s="120"/>
      <c r="CK173" s="120"/>
      <c r="CL173" s="121"/>
      <c r="CM173" s="121"/>
      <c r="CN173" s="121"/>
      <c r="CO173" s="121"/>
      <c r="CP173" s="121"/>
      <c r="CQ173" s="121"/>
      <c r="CR173" s="121"/>
      <c r="CS173" s="121"/>
      <c r="CT173" s="121"/>
    </row>
    <row r="174">
      <c r="A174" s="120"/>
      <c r="B174" s="121"/>
      <c r="C174" s="121"/>
      <c r="D174" s="121"/>
      <c r="E174" s="120"/>
      <c r="F174" s="120"/>
      <c r="G174" s="120"/>
      <c r="H174" s="121"/>
      <c r="I174" s="120"/>
      <c r="J174" s="120"/>
      <c r="K174" s="121"/>
      <c r="L174" s="120"/>
      <c r="M174" s="121"/>
      <c r="N174" s="121"/>
      <c r="O174" s="121"/>
      <c r="P174" s="121"/>
      <c r="Q174" s="120"/>
      <c r="R174" s="121"/>
      <c r="S174" s="120"/>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0"/>
      <c r="AS174" s="121"/>
      <c r="AT174" s="121"/>
      <c r="AU174" s="121"/>
      <c r="AV174" s="121"/>
      <c r="AW174" s="120"/>
      <c r="AX174" s="120"/>
      <c r="AY174" s="121"/>
      <c r="AZ174" s="120"/>
      <c r="BA174" s="121"/>
      <c r="BB174" s="121"/>
      <c r="BC174" s="120"/>
      <c r="BD174" s="120"/>
      <c r="BE174" s="120"/>
      <c r="BF174" s="121"/>
      <c r="BG174" s="121"/>
      <c r="BH174" s="121"/>
      <c r="BI174" s="121"/>
      <c r="BJ174" s="121"/>
      <c r="BK174" s="121"/>
      <c r="BL174" s="121"/>
      <c r="BM174" s="121"/>
      <c r="BN174" s="121"/>
      <c r="BO174" s="120"/>
      <c r="BP174" s="120"/>
      <c r="BQ174" s="120"/>
      <c r="BR174" s="121"/>
      <c r="BS174" s="121"/>
      <c r="BT174" s="120"/>
      <c r="BU174" s="121"/>
      <c r="BV174" s="121"/>
      <c r="BW174" s="121"/>
      <c r="BX174" s="121"/>
      <c r="BY174" s="120"/>
      <c r="BZ174" s="121"/>
      <c r="CA174" s="121"/>
      <c r="CB174" s="121"/>
      <c r="CC174" s="121"/>
      <c r="CD174" s="121"/>
      <c r="CE174" s="121"/>
      <c r="CF174" s="121"/>
      <c r="CG174" s="121"/>
      <c r="CH174" s="121"/>
      <c r="CI174" s="121"/>
      <c r="CJ174" s="120"/>
      <c r="CK174" s="120"/>
      <c r="CL174" s="121"/>
      <c r="CM174" s="121"/>
      <c r="CN174" s="121"/>
      <c r="CO174" s="121"/>
      <c r="CP174" s="121"/>
      <c r="CQ174" s="121"/>
      <c r="CR174" s="121"/>
      <c r="CS174" s="121"/>
      <c r="CT174" s="121"/>
    </row>
    <row r="175">
      <c r="A175" s="120"/>
      <c r="B175" s="121"/>
      <c r="C175" s="121"/>
      <c r="D175" s="121"/>
      <c r="E175" s="120"/>
      <c r="F175" s="120"/>
      <c r="G175" s="120"/>
      <c r="H175" s="121"/>
      <c r="I175" s="120"/>
      <c r="J175" s="120"/>
      <c r="K175" s="121"/>
      <c r="L175" s="120"/>
      <c r="M175" s="121"/>
      <c r="N175" s="121"/>
      <c r="O175" s="121"/>
      <c r="P175" s="121"/>
      <c r="Q175" s="120"/>
      <c r="R175" s="121"/>
      <c r="S175" s="120"/>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0"/>
      <c r="AS175" s="121"/>
      <c r="AT175" s="121"/>
      <c r="AU175" s="121"/>
      <c r="AV175" s="121"/>
      <c r="AW175" s="120"/>
      <c r="AX175" s="120"/>
      <c r="AY175" s="121"/>
      <c r="AZ175" s="120"/>
      <c r="BA175" s="121"/>
      <c r="BB175" s="121"/>
      <c r="BC175" s="120"/>
      <c r="BD175" s="120"/>
      <c r="BE175" s="120"/>
      <c r="BF175" s="121"/>
      <c r="BG175" s="121"/>
      <c r="BH175" s="121"/>
      <c r="BI175" s="121"/>
      <c r="BJ175" s="121"/>
      <c r="BK175" s="121"/>
      <c r="BL175" s="121"/>
      <c r="BM175" s="121"/>
      <c r="BN175" s="121"/>
      <c r="BO175" s="120"/>
      <c r="BP175" s="120"/>
      <c r="BQ175" s="120"/>
      <c r="BR175" s="121"/>
      <c r="BS175" s="121"/>
      <c r="BT175" s="120"/>
      <c r="BU175" s="121"/>
      <c r="BV175" s="121"/>
      <c r="BW175" s="121"/>
      <c r="BX175" s="121"/>
      <c r="BY175" s="120"/>
      <c r="BZ175" s="121"/>
      <c r="CA175" s="121"/>
      <c r="CB175" s="121"/>
      <c r="CC175" s="121"/>
      <c r="CD175" s="121"/>
      <c r="CE175" s="121"/>
      <c r="CF175" s="121"/>
      <c r="CG175" s="121"/>
      <c r="CH175" s="121"/>
      <c r="CI175" s="121"/>
      <c r="CJ175" s="120"/>
      <c r="CK175" s="120"/>
      <c r="CL175" s="121"/>
      <c r="CM175" s="121"/>
      <c r="CN175" s="121"/>
      <c r="CO175" s="121"/>
      <c r="CP175" s="121"/>
      <c r="CQ175" s="121"/>
      <c r="CR175" s="121"/>
      <c r="CS175" s="121"/>
      <c r="CT175" s="121"/>
    </row>
    <row r="176">
      <c r="A176" s="120"/>
      <c r="B176" s="121"/>
      <c r="C176" s="121"/>
      <c r="D176" s="121"/>
      <c r="E176" s="120"/>
      <c r="F176" s="120"/>
      <c r="G176" s="120"/>
      <c r="H176" s="121"/>
      <c r="I176" s="120"/>
      <c r="J176" s="120"/>
      <c r="K176" s="121"/>
      <c r="L176" s="120"/>
      <c r="M176" s="121"/>
      <c r="N176" s="121"/>
      <c r="O176" s="121"/>
      <c r="P176" s="121"/>
      <c r="Q176" s="120"/>
      <c r="R176" s="121"/>
      <c r="S176" s="120"/>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0"/>
      <c r="AS176" s="121"/>
      <c r="AT176" s="121"/>
      <c r="AU176" s="121"/>
      <c r="AV176" s="121"/>
      <c r="AW176" s="120"/>
      <c r="AX176" s="120"/>
      <c r="AY176" s="121"/>
      <c r="AZ176" s="120"/>
      <c r="BA176" s="121"/>
      <c r="BB176" s="121"/>
      <c r="BC176" s="120"/>
      <c r="BD176" s="120"/>
      <c r="BE176" s="120"/>
      <c r="BF176" s="121"/>
      <c r="BG176" s="121"/>
      <c r="BH176" s="121"/>
      <c r="BI176" s="121"/>
      <c r="BJ176" s="121"/>
      <c r="BK176" s="121"/>
      <c r="BL176" s="121"/>
      <c r="BM176" s="121"/>
      <c r="BN176" s="121"/>
      <c r="BO176" s="120"/>
      <c r="BP176" s="120"/>
      <c r="BQ176" s="120"/>
      <c r="BR176" s="121"/>
      <c r="BS176" s="121"/>
      <c r="BT176" s="120"/>
      <c r="BU176" s="121"/>
      <c r="BV176" s="121"/>
      <c r="BW176" s="121"/>
      <c r="BX176" s="121"/>
      <c r="BY176" s="120"/>
      <c r="BZ176" s="121"/>
      <c r="CA176" s="121"/>
      <c r="CB176" s="121"/>
      <c r="CC176" s="121"/>
      <c r="CD176" s="121"/>
      <c r="CE176" s="121"/>
      <c r="CF176" s="121"/>
      <c r="CG176" s="121"/>
      <c r="CH176" s="121"/>
      <c r="CI176" s="121"/>
      <c r="CJ176" s="120"/>
      <c r="CK176" s="120"/>
      <c r="CL176" s="121"/>
      <c r="CM176" s="121"/>
      <c r="CN176" s="121"/>
      <c r="CO176" s="121"/>
      <c r="CP176" s="121"/>
      <c r="CQ176" s="121"/>
      <c r="CR176" s="121"/>
      <c r="CS176" s="121"/>
      <c r="CT176" s="121"/>
    </row>
    <row r="177">
      <c r="A177" s="120"/>
      <c r="B177" s="121"/>
      <c r="C177" s="121"/>
      <c r="D177" s="121"/>
      <c r="E177" s="120"/>
      <c r="F177" s="120"/>
      <c r="G177" s="120"/>
      <c r="H177" s="121"/>
      <c r="I177" s="120"/>
      <c r="J177" s="120"/>
      <c r="K177" s="121"/>
      <c r="L177" s="120"/>
      <c r="M177" s="121"/>
      <c r="N177" s="121"/>
      <c r="O177" s="121"/>
      <c r="P177" s="121"/>
      <c r="Q177" s="120"/>
      <c r="R177" s="121"/>
      <c r="S177" s="120"/>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0"/>
      <c r="AS177" s="121"/>
      <c r="AT177" s="121"/>
      <c r="AU177" s="121"/>
      <c r="AV177" s="121"/>
      <c r="AW177" s="120"/>
      <c r="AX177" s="120"/>
      <c r="AY177" s="121"/>
      <c r="AZ177" s="120"/>
      <c r="BA177" s="121"/>
      <c r="BB177" s="121"/>
      <c r="BC177" s="120"/>
      <c r="BD177" s="120"/>
      <c r="BE177" s="120"/>
      <c r="BF177" s="121"/>
      <c r="BG177" s="121"/>
      <c r="BH177" s="121"/>
      <c r="BI177" s="121"/>
      <c r="BJ177" s="121"/>
      <c r="BK177" s="121"/>
      <c r="BL177" s="121"/>
      <c r="BM177" s="121"/>
      <c r="BN177" s="121"/>
      <c r="BO177" s="120"/>
      <c r="BP177" s="120"/>
      <c r="BQ177" s="120"/>
      <c r="BR177" s="121"/>
      <c r="BS177" s="121"/>
      <c r="BT177" s="120"/>
      <c r="BU177" s="121"/>
      <c r="BV177" s="121"/>
      <c r="BW177" s="121"/>
      <c r="BX177" s="121"/>
      <c r="BY177" s="120"/>
      <c r="BZ177" s="121"/>
      <c r="CA177" s="121"/>
      <c r="CB177" s="121"/>
      <c r="CC177" s="121"/>
      <c r="CD177" s="121"/>
      <c r="CE177" s="121"/>
      <c r="CF177" s="121"/>
      <c r="CG177" s="121"/>
      <c r="CH177" s="121"/>
      <c r="CI177" s="121"/>
      <c r="CJ177" s="120"/>
      <c r="CK177" s="120"/>
      <c r="CL177" s="121"/>
      <c r="CM177" s="121"/>
      <c r="CN177" s="121"/>
      <c r="CO177" s="121"/>
      <c r="CP177" s="121"/>
      <c r="CQ177" s="121"/>
      <c r="CR177" s="121"/>
      <c r="CS177" s="121"/>
      <c r="CT177" s="121"/>
    </row>
    <row r="178">
      <c r="A178" s="120"/>
      <c r="B178" s="121"/>
      <c r="C178" s="121"/>
      <c r="D178" s="121"/>
      <c r="E178" s="120"/>
      <c r="F178" s="120"/>
      <c r="G178" s="120"/>
      <c r="H178" s="121"/>
      <c r="I178" s="120"/>
      <c r="J178" s="120"/>
      <c r="K178" s="121"/>
      <c r="L178" s="120"/>
      <c r="M178" s="121"/>
      <c r="N178" s="121"/>
      <c r="O178" s="121"/>
      <c r="P178" s="121"/>
      <c r="Q178" s="120"/>
      <c r="R178" s="121"/>
      <c r="S178" s="120"/>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0"/>
      <c r="AS178" s="121"/>
      <c r="AT178" s="121"/>
      <c r="AU178" s="121"/>
      <c r="AV178" s="121"/>
      <c r="AW178" s="120"/>
      <c r="AX178" s="120"/>
      <c r="AY178" s="121"/>
      <c r="AZ178" s="120"/>
      <c r="BA178" s="121"/>
      <c r="BB178" s="121"/>
      <c r="BC178" s="120"/>
      <c r="BD178" s="120"/>
      <c r="BE178" s="120"/>
      <c r="BF178" s="121"/>
      <c r="BG178" s="121"/>
      <c r="BH178" s="121"/>
      <c r="BI178" s="121"/>
      <c r="BJ178" s="121"/>
      <c r="BK178" s="121"/>
      <c r="BL178" s="121"/>
      <c r="BM178" s="121"/>
      <c r="BN178" s="121"/>
      <c r="BO178" s="120"/>
      <c r="BP178" s="120"/>
      <c r="BQ178" s="120"/>
      <c r="BR178" s="121"/>
      <c r="BS178" s="121"/>
      <c r="BT178" s="120"/>
      <c r="BU178" s="121"/>
      <c r="BV178" s="121"/>
      <c r="BW178" s="121"/>
      <c r="BX178" s="121"/>
      <c r="BY178" s="120"/>
      <c r="BZ178" s="121"/>
      <c r="CA178" s="121"/>
      <c r="CB178" s="121"/>
      <c r="CC178" s="121"/>
      <c r="CD178" s="121"/>
      <c r="CE178" s="121"/>
      <c r="CF178" s="121"/>
      <c r="CG178" s="121"/>
      <c r="CH178" s="121"/>
      <c r="CI178" s="121"/>
      <c r="CJ178" s="120"/>
      <c r="CK178" s="120"/>
      <c r="CL178" s="121"/>
      <c r="CM178" s="121"/>
      <c r="CN178" s="121"/>
      <c r="CO178" s="121"/>
      <c r="CP178" s="121"/>
      <c r="CQ178" s="121"/>
      <c r="CR178" s="121"/>
      <c r="CS178" s="121"/>
      <c r="CT178" s="121"/>
    </row>
    <row r="179">
      <c r="A179" s="120"/>
      <c r="B179" s="121"/>
      <c r="C179" s="121"/>
      <c r="D179" s="121"/>
      <c r="E179" s="120"/>
      <c r="F179" s="120"/>
      <c r="G179" s="120"/>
      <c r="H179" s="121"/>
      <c r="I179" s="120"/>
      <c r="J179" s="120"/>
      <c r="K179" s="121"/>
      <c r="L179" s="120"/>
      <c r="M179" s="121"/>
      <c r="N179" s="121"/>
      <c r="O179" s="121"/>
      <c r="P179" s="121"/>
      <c r="Q179" s="120"/>
      <c r="R179" s="121"/>
      <c r="S179" s="120"/>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0"/>
      <c r="AS179" s="121"/>
      <c r="AT179" s="121"/>
      <c r="AU179" s="121"/>
      <c r="AV179" s="121"/>
      <c r="AW179" s="120"/>
      <c r="AX179" s="120"/>
      <c r="AY179" s="121"/>
      <c r="AZ179" s="120"/>
      <c r="BA179" s="121"/>
      <c r="BB179" s="121"/>
      <c r="BC179" s="120"/>
      <c r="BD179" s="120"/>
      <c r="BE179" s="120"/>
      <c r="BF179" s="121"/>
      <c r="BG179" s="121"/>
      <c r="BH179" s="121"/>
      <c r="BI179" s="121"/>
      <c r="BJ179" s="121"/>
      <c r="BK179" s="121"/>
      <c r="BL179" s="121"/>
      <c r="BM179" s="121"/>
      <c r="BN179" s="121"/>
      <c r="BO179" s="120"/>
      <c r="BP179" s="120"/>
      <c r="BQ179" s="120"/>
      <c r="BR179" s="121"/>
      <c r="BS179" s="121"/>
      <c r="BT179" s="120"/>
      <c r="BU179" s="121"/>
      <c r="BV179" s="121"/>
      <c r="BW179" s="121"/>
      <c r="BX179" s="121"/>
      <c r="BY179" s="120"/>
      <c r="BZ179" s="121"/>
      <c r="CA179" s="121"/>
      <c r="CB179" s="121"/>
      <c r="CC179" s="121"/>
      <c r="CD179" s="121"/>
      <c r="CE179" s="121"/>
      <c r="CF179" s="121"/>
      <c r="CG179" s="121"/>
      <c r="CH179" s="121"/>
      <c r="CI179" s="121"/>
      <c r="CJ179" s="120"/>
      <c r="CK179" s="120"/>
      <c r="CL179" s="121"/>
      <c r="CM179" s="121"/>
      <c r="CN179" s="121"/>
      <c r="CO179" s="121"/>
      <c r="CP179" s="121"/>
      <c r="CQ179" s="121"/>
      <c r="CR179" s="121"/>
      <c r="CS179" s="121"/>
      <c r="CT179" s="121"/>
    </row>
    <row r="180">
      <c r="A180" s="120"/>
      <c r="B180" s="121"/>
      <c r="C180" s="121"/>
      <c r="D180" s="121"/>
      <c r="E180" s="120"/>
      <c r="F180" s="120"/>
      <c r="G180" s="120"/>
      <c r="H180" s="121"/>
      <c r="I180" s="120"/>
      <c r="J180" s="120"/>
      <c r="K180" s="121"/>
      <c r="L180" s="120"/>
      <c r="M180" s="121"/>
      <c r="N180" s="121"/>
      <c r="O180" s="121"/>
      <c r="P180" s="121"/>
      <c r="Q180" s="120"/>
      <c r="R180" s="121"/>
      <c r="S180" s="120"/>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0"/>
      <c r="AS180" s="121"/>
      <c r="AT180" s="121"/>
      <c r="AU180" s="121"/>
      <c r="AV180" s="121"/>
      <c r="AW180" s="120"/>
      <c r="AX180" s="120"/>
      <c r="AY180" s="121"/>
      <c r="AZ180" s="120"/>
      <c r="BA180" s="121"/>
      <c r="BB180" s="121"/>
      <c r="BC180" s="120"/>
      <c r="BD180" s="120"/>
      <c r="BE180" s="120"/>
      <c r="BF180" s="121"/>
      <c r="BG180" s="121"/>
      <c r="BH180" s="121"/>
      <c r="BI180" s="121"/>
      <c r="BJ180" s="121"/>
      <c r="BK180" s="121"/>
      <c r="BL180" s="121"/>
      <c r="BM180" s="121"/>
      <c r="BN180" s="121"/>
      <c r="BO180" s="120"/>
      <c r="BP180" s="120"/>
      <c r="BQ180" s="120"/>
      <c r="BR180" s="121"/>
      <c r="BS180" s="121"/>
      <c r="BT180" s="120"/>
      <c r="BU180" s="121"/>
      <c r="BV180" s="121"/>
      <c r="BW180" s="121"/>
      <c r="BX180" s="121"/>
      <c r="BY180" s="120"/>
      <c r="BZ180" s="121"/>
      <c r="CA180" s="121"/>
      <c r="CB180" s="121"/>
      <c r="CC180" s="121"/>
      <c r="CD180" s="121"/>
      <c r="CE180" s="121"/>
      <c r="CF180" s="121"/>
      <c r="CG180" s="121"/>
      <c r="CH180" s="121"/>
      <c r="CI180" s="121"/>
      <c r="CJ180" s="120"/>
      <c r="CK180" s="120"/>
      <c r="CL180" s="121"/>
      <c r="CM180" s="121"/>
      <c r="CN180" s="121"/>
      <c r="CO180" s="121"/>
      <c r="CP180" s="121"/>
      <c r="CQ180" s="121"/>
      <c r="CR180" s="121"/>
      <c r="CS180" s="121"/>
      <c r="CT180" s="121"/>
    </row>
    <row r="181">
      <c r="A181" s="120"/>
      <c r="B181" s="121"/>
      <c r="C181" s="121"/>
      <c r="D181" s="121"/>
      <c r="E181" s="120"/>
      <c r="F181" s="120"/>
      <c r="G181" s="120"/>
      <c r="H181" s="121"/>
      <c r="I181" s="120"/>
      <c r="J181" s="120"/>
      <c r="K181" s="121"/>
      <c r="L181" s="120"/>
      <c r="M181" s="121"/>
      <c r="N181" s="121"/>
      <c r="O181" s="121"/>
      <c r="P181" s="121"/>
      <c r="Q181" s="120"/>
      <c r="R181" s="121"/>
      <c r="S181" s="120"/>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0"/>
      <c r="AS181" s="121"/>
      <c r="AT181" s="121"/>
      <c r="AU181" s="121"/>
      <c r="AV181" s="121"/>
      <c r="AW181" s="120"/>
      <c r="AX181" s="120"/>
      <c r="AY181" s="121"/>
      <c r="AZ181" s="120"/>
      <c r="BA181" s="121"/>
      <c r="BB181" s="121"/>
      <c r="BC181" s="120"/>
      <c r="BD181" s="120"/>
      <c r="BE181" s="120"/>
      <c r="BF181" s="121"/>
      <c r="BG181" s="121"/>
      <c r="BH181" s="121"/>
      <c r="BI181" s="121"/>
      <c r="BJ181" s="121"/>
      <c r="BK181" s="121"/>
      <c r="BL181" s="121"/>
      <c r="BM181" s="121"/>
      <c r="BN181" s="121"/>
      <c r="BO181" s="120"/>
      <c r="BP181" s="120"/>
      <c r="BQ181" s="120"/>
      <c r="BR181" s="121"/>
      <c r="BS181" s="121"/>
      <c r="BT181" s="120"/>
      <c r="BU181" s="121"/>
      <c r="BV181" s="121"/>
      <c r="BW181" s="121"/>
      <c r="BX181" s="121"/>
      <c r="BY181" s="120"/>
      <c r="BZ181" s="121"/>
      <c r="CA181" s="121"/>
      <c r="CB181" s="121"/>
      <c r="CC181" s="121"/>
      <c r="CD181" s="121"/>
      <c r="CE181" s="121"/>
      <c r="CF181" s="121"/>
      <c r="CG181" s="121"/>
      <c r="CH181" s="121"/>
      <c r="CI181" s="121"/>
      <c r="CJ181" s="120"/>
      <c r="CK181" s="120"/>
      <c r="CL181" s="121"/>
      <c r="CM181" s="121"/>
      <c r="CN181" s="121"/>
      <c r="CO181" s="121"/>
      <c r="CP181" s="121"/>
      <c r="CQ181" s="121"/>
      <c r="CR181" s="121"/>
      <c r="CS181" s="121"/>
      <c r="CT181" s="121"/>
    </row>
    <row r="182">
      <c r="A182" s="120"/>
      <c r="B182" s="121"/>
      <c r="C182" s="121"/>
      <c r="D182" s="121"/>
      <c r="E182" s="120"/>
      <c r="F182" s="120"/>
      <c r="G182" s="120"/>
      <c r="H182" s="121"/>
      <c r="I182" s="120"/>
      <c r="J182" s="120"/>
      <c r="K182" s="121"/>
      <c r="L182" s="120"/>
      <c r="M182" s="121"/>
      <c r="N182" s="121"/>
      <c r="O182" s="121"/>
      <c r="P182" s="121"/>
      <c r="Q182" s="120"/>
      <c r="R182" s="121"/>
      <c r="S182" s="120"/>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0"/>
      <c r="AS182" s="121"/>
      <c r="AT182" s="121"/>
      <c r="AU182" s="121"/>
      <c r="AV182" s="121"/>
      <c r="AW182" s="120"/>
      <c r="AX182" s="120"/>
      <c r="AY182" s="121"/>
      <c r="AZ182" s="120"/>
      <c r="BA182" s="121"/>
      <c r="BB182" s="121"/>
      <c r="BC182" s="120"/>
      <c r="BD182" s="120"/>
      <c r="BE182" s="120"/>
      <c r="BF182" s="121"/>
      <c r="BG182" s="121"/>
      <c r="BH182" s="121"/>
      <c r="BI182" s="121"/>
      <c r="BJ182" s="121"/>
      <c r="BK182" s="121"/>
      <c r="BL182" s="121"/>
      <c r="BM182" s="121"/>
      <c r="BN182" s="121"/>
      <c r="BO182" s="120"/>
      <c r="BP182" s="120"/>
      <c r="BQ182" s="120"/>
      <c r="BR182" s="121"/>
      <c r="BS182" s="121"/>
      <c r="BT182" s="120"/>
      <c r="BU182" s="121"/>
      <c r="BV182" s="121"/>
      <c r="BW182" s="121"/>
      <c r="BX182" s="121"/>
      <c r="BY182" s="120"/>
      <c r="BZ182" s="121"/>
      <c r="CA182" s="121"/>
      <c r="CB182" s="121"/>
      <c r="CC182" s="121"/>
      <c r="CD182" s="121"/>
      <c r="CE182" s="121"/>
      <c r="CF182" s="121"/>
      <c r="CG182" s="121"/>
      <c r="CH182" s="121"/>
      <c r="CI182" s="121"/>
      <c r="CJ182" s="120"/>
      <c r="CK182" s="120"/>
      <c r="CL182" s="121"/>
      <c r="CM182" s="121"/>
      <c r="CN182" s="121"/>
      <c r="CO182" s="121"/>
      <c r="CP182" s="121"/>
      <c r="CQ182" s="121"/>
      <c r="CR182" s="121"/>
      <c r="CS182" s="121"/>
      <c r="CT182" s="121"/>
    </row>
    <row r="183">
      <c r="A183" s="120"/>
      <c r="B183" s="121"/>
      <c r="C183" s="121"/>
      <c r="D183" s="121"/>
      <c r="E183" s="120"/>
      <c r="F183" s="120"/>
      <c r="G183" s="120"/>
      <c r="H183" s="121"/>
      <c r="I183" s="120"/>
      <c r="J183" s="120"/>
      <c r="K183" s="121"/>
      <c r="L183" s="120"/>
      <c r="M183" s="121"/>
      <c r="N183" s="121"/>
      <c r="O183" s="121"/>
      <c r="P183" s="121"/>
      <c r="Q183" s="120"/>
      <c r="R183" s="121"/>
      <c r="S183" s="120"/>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0"/>
      <c r="AS183" s="121"/>
      <c r="AT183" s="121"/>
      <c r="AU183" s="121"/>
      <c r="AV183" s="121"/>
      <c r="AW183" s="120"/>
      <c r="AX183" s="120"/>
      <c r="AY183" s="121"/>
      <c r="AZ183" s="120"/>
      <c r="BA183" s="121"/>
      <c r="BB183" s="121"/>
      <c r="BC183" s="120"/>
      <c r="BD183" s="120"/>
      <c r="BE183" s="120"/>
      <c r="BF183" s="121"/>
      <c r="BG183" s="121"/>
      <c r="BH183" s="121"/>
      <c r="BI183" s="121"/>
      <c r="BJ183" s="121"/>
      <c r="BK183" s="121"/>
      <c r="BL183" s="121"/>
      <c r="BM183" s="121"/>
      <c r="BN183" s="121"/>
      <c r="BO183" s="120"/>
      <c r="BP183" s="120"/>
      <c r="BQ183" s="120"/>
      <c r="BR183" s="121"/>
      <c r="BS183" s="121"/>
      <c r="BT183" s="120"/>
      <c r="BU183" s="121"/>
      <c r="BV183" s="121"/>
      <c r="BW183" s="121"/>
      <c r="BX183" s="121"/>
      <c r="BY183" s="120"/>
      <c r="BZ183" s="121"/>
      <c r="CA183" s="121"/>
      <c r="CB183" s="121"/>
      <c r="CC183" s="121"/>
      <c r="CD183" s="121"/>
      <c r="CE183" s="121"/>
      <c r="CF183" s="121"/>
      <c r="CG183" s="121"/>
      <c r="CH183" s="121"/>
      <c r="CI183" s="121"/>
      <c r="CJ183" s="120"/>
      <c r="CK183" s="120"/>
      <c r="CL183" s="121"/>
      <c r="CM183" s="121"/>
      <c r="CN183" s="121"/>
      <c r="CO183" s="121"/>
      <c r="CP183" s="121"/>
      <c r="CQ183" s="121"/>
      <c r="CR183" s="121"/>
      <c r="CS183" s="121"/>
      <c r="CT183" s="121"/>
    </row>
    <row r="184">
      <c r="A184" s="120"/>
      <c r="B184" s="121"/>
      <c r="C184" s="121"/>
      <c r="D184" s="121"/>
      <c r="E184" s="120"/>
      <c r="F184" s="120"/>
      <c r="G184" s="120"/>
      <c r="H184" s="121"/>
      <c r="I184" s="120"/>
      <c r="J184" s="120"/>
      <c r="K184" s="121"/>
      <c r="L184" s="120"/>
      <c r="M184" s="121"/>
      <c r="N184" s="121"/>
      <c r="O184" s="121"/>
      <c r="P184" s="121"/>
      <c r="Q184" s="120"/>
      <c r="R184" s="121"/>
      <c r="S184" s="120"/>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0"/>
      <c r="AS184" s="121"/>
      <c r="AT184" s="121"/>
      <c r="AU184" s="121"/>
      <c r="AV184" s="121"/>
      <c r="AW184" s="120"/>
      <c r="AX184" s="120"/>
      <c r="AY184" s="121"/>
      <c r="AZ184" s="120"/>
      <c r="BA184" s="121"/>
      <c r="BB184" s="121"/>
      <c r="BC184" s="120"/>
      <c r="BD184" s="120"/>
      <c r="BE184" s="120"/>
      <c r="BF184" s="121"/>
      <c r="BG184" s="121"/>
      <c r="BH184" s="121"/>
      <c r="BI184" s="121"/>
      <c r="BJ184" s="121"/>
      <c r="BK184" s="121"/>
      <c r="BL184" s="121"/>
      <c r="BM184" s="121"/>
      <c r="BN184" s="121"/>
      <c r="BO184" s="120"/>
      <c r="BP184" s="120"/>
      <c r="BQ184" s="120"/>
      <c r="BR184" s="121"/>
      <c r="BS184" s="121"/>
      <c r="BT184" s="120"/>
      <c r="BU184" s="121"/>
      <c r="BV184" s="121"/>
      <c r="BW184" s="121"/>
      <c r="BX184" s="121"/>
      <c r="BY184" s="120"/>
      <c r="BZ184" s="121"/>
      <c r="CA184" s="121"/>
      <c r="CB184" s="121"/>
      <c r="CC184" s="121"/>
      <c r="CD184" s="121"/>
      <c r="CE184" s="121"/>
      <c r="CF184" s="121"/>
      <c r="CG184" s="121"/>
      <c r="CH184" s="121"/>
      <c r="CI184" s="121"/>
      <c r="CJ184" s="120"/>
      <c r="CK184" s="120"/>
      <c r="CL184" s="121"/>
      <c r="CM184" s="121"/>
      <c r="CN184" s="121"/>
      <c r="CO184" s="121"/>
      <c r="CP184" s="121"/>
      <c r="CQ184" s="121"/>
      <c r="CR184" s="121"/>
      <c r="CS184" s="121"/>
      <c r="CT184" s="121"/>
    </row>
    <row r="185">
      <c r="A185" s="120"/>
      <c r="B185" s="121"/>
      <c r="C185" s="121"/>
      <c r="D185" s="121"/>
      <c r="E185" s="120"/>
      <c r="F185" s="120"/>
      <c r="G185" s="120"/>
      <c r="H185" s="121"/>
      <c r="I185" s="120"/>
      <c r="J185" s="120"/>
      <c r="K185" s="121"/>
      <c r="L185" s="120"/>
      <c r="M185" s="121"/>
      <c r="N185" s="121"/>
      <c r="O185" s="121"/>
      <c r="P185" s="121"/>
      <c r="Q185" s="120"/>
      <c r="R185" s="121"/>
      <c r="S185" s="120"/>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0"/>
      <c r="AS185" s="121"/>
      <c r="AT185" s="121"/>
      <c r="AU185" s="121"/>
      <c r="AV185" s="121"/>
      <c r="AW185" s="120"/>
      <c r="AX185" s="120"/>
      <c r="AY185" s="121"/>
      <c r="AZ185" s="120"/>
      <c r="BA185" s="121"/>
      <c r="BB185" s="121"/>
      <c r="BC185" s="120"/>
      <c r="BD185" s="120"/>
      <c r="BE185" s="120"/>
      <c r="BF185" s="121"/>
      <c r="BG185" s="121"/>
      <c r="BH185" s="121"/>
      <c r="BI185" s="121"/>
      <c r="BJ185" s="121"/>
      <c r="BK185" s="121"/>
      <c r="BL185" s="121"/>
      <c r="BM185" s="121"/>
      <c r="BN185" s="121"/>
      <c r="BO185" s="120"/>
      <c r="BP185" s="120"/>
      <c r="BQ185" s="120"/>
      <c r="BR185" s="121"/>
      <c r="BS185" s="121"/>
      <c r="BT185" s="120"/>
      <c r="BU185" s="121"/>
      <c r="BV185" s="121"/>
      <c r="BW185" s="121"/>
      <c r="BX185" s="121"/>
      <c r="BY185" s="120"/>
      <c r="BZ185" s="121"/>
      <c r="CA185" s="121"/>
      <c r="CB185" s="121"/>
      <c r="CC185" s="121"/>
      <c r="CD185" s="121"/>
      <c r="CE185" s="121"/>
      <c r="CF185" s="121"/>
      <c r="CG185" s="121"/>
      <c r="CH185" s="121"/>
      <c r="CI185" s="121"/>
      <c r="CJ185" s="120"/>
      <c r="CK185" s="120"/>
      <c r="CL185" s="121"/>
      <c r="CM185" s="121"/>
      <c r="CN185" s="121"/>
      <c r="CO185" s="121"/>
      <c r="CP185" s="121"/>
      <c r="CQ185" s="121"/>
      <c r="CR185" s="121"/>
      <c r="CS185" s="121"/>
      <c r="CT185" s="121"/>
    </row>
    <row r="186">
      <c r="A186" s="120"/>
      <c r="B186" s="121"/>
      <c r="C186" s="121"/>
      <c r="D186" s="121"/>
      <c r="E186" s="120"/>
      <c r="F186" s="120"/>
      <c r="G186" s="120"/>
      <c r="H186" s="121"/>
      <c r="I186" s="120"/>
      <c r="J186" s="120"/>
      <c r="K186" s="121"/>
      <c r="L186" s="120"/>
      <c r="M186" s="121"/>
      <c r="N186" s="121"/>
      <c r="O186" s="121"/>
      <c r="P186" s="121"/>
      <c r="Q186" s="120"/>
      <c r="R186" s="121"/>
      <c r="S186" s="120"/>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0"/>
      <c r="AS186" s="121"/>
      <c r="AT186" s="121"/>
      <c r="AU186" s="121"/>
      <c r="AV186" s="121"/>
      <c r="AW186" s="120"/>
      <c r="AX186" s="120"/>
      <c r="AY186" s="121"/>
      <c r="AZ186" s="120"/>
      <c r="BA186" s="121"/>
      <c r="BB186" s="121"/>
      <c r="BC186" s="120"/>
      <c r="BD186" s="120"/>
      <c r="BE186" s="120"/>
      <c r="BF186" s="121"/>
      <c r="BG186" s="121"/>
      <c r="BH186" s="121"/>
      <c r="BI186" s="121"/>
      <c r="BJ186" s="121"/>
      <c r="BK186" s="121"/>
      <c r="BL186" s="121"/>
      <c r="BM186" s="121"/>
      <c r="BN186" s="121"/>
      <c r="BO186" s="120"/>
      <c r="BP186" s="120"/>
      <c r="BQ186" s="120"/>
      <c r="BR186" s="121"/>
      <c r="BS186" s="121"/>
      <c r="BT186" s="120"/>
      <c r="BU186" s="121"/>
      <c r="BV186" s="121"/>
      <c r="BW186" s="121"/>
      <c r="BX186" s="121"/>
      <c r="BY186" s="120"/>
      <c r="BZ186" s="121"/>
      <c r="CA186" s="121"/>
      <c r="CB186" s="121"/>
      <c r="CC186" s="121"/>
      <c r="CD186" s="121"/>
      <c r="CE186" s="121"/>
      <c r="CF186" s="121"/>
      <c r="CG186" s="121"/>
      <c r="CH186" s="121"/>
      <c r="CI186" s="121"/>
      <c r="CJ186" s="120"/>
      <c r="CK186" s="120"/>
      <c r="CL186" s="121"/>
      <c r="CM186" s="121"/>
      <c r="CN186" s="121"/>
      <c r="CO186" s="121"/>
      <c r="CP186" s="121"/>
      <c r="CQ186" s="121"/>
      <c r="CR186" s="121"/>
      <c r="CS186" s="121"/>
      <c r="CT186" s="121"/>
    </row>
    <row r="187">
      <c r="A187" s="120"/>
      <c r="B187" s="121"/>
      <c r="C187" s="121"/>
      <c r="D187" s="121"/>
      <c r="E187" s="120"/>
      <c r="F187" s="120"/>
      <c r="G187" s="120"/>
      <c r="H187" s="121"/>
      <c r="I187" s="120"/>
      <c r="J187" s="120"/>
      <c r="K187" s="121"/>
      <c r="L187" s="120"/>
      <c r="M187" s="121"/>
      <c r="N187" s="121"/>
      <c r="O187" s="121"/>
      <c r="P187" s="121"/>
      <c r="Q187" s="120"/>
      <c r="R187" s="121"/>
      <c r="S187" s="120"/>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0"/>
      <c r="AS187" s="121"/>
      <c r="AT187" s="121"/>
      <c r="AU187" s="121"/>
      <c r="AV187" s="121"/>
      <c r="AW187" s="120"/>
      <c r="AX187" s="120"/>
      <c r="AY187" s="121"/>
      <c r="AZ187" s="120"/>
      <c r="BA187" s="121"/>
      <c r="BB187" s="121"/>
      <c r="BC187" s="120"/>
      <c r="BD187" s="120"/>
      <c r="BE187" s="120"/>
      <c r="BF187" s="121"/>
      <c r="BG187" s="121"/>
      <c r="BH187" s="121"/>
      <c r="BI187" s="121"/>
      <c r="BJ187" s="121"/>
      <c r="BK187" s="121"/>
      <c r="BL187" s="121"/>
      <c r="BM187" s="121"/>
      <c r="BN187" s="121"/>
      <c r="BO187" s="120"/>
      <c r="BP187" s="120"/>
      <c r="BQ187" s="120"/>
      <c r="BR187" s="121"/>
      <c r="BS187" s="121"/>
      <c r="BT187" s="120"/>
      <c r="BU187" s="121"/>
      <c r="BV187" s="121"/>
      <c r="BW187" s="121"/>
      <c r="BX187" s="121"/>
      <c r="BY187" s="120"/>
      <c r="BZ187" s="121"/>
      <c r="CA187" s="121"/>
      <c r="CB187" s="121"/>
      <c r="CC187" s="121"/>
      <c r="CD187" s="121"/>
      <c r="CE187" s="121"/>
      <c r="CF187" s="121"/>
      <c r="CG187" s="121"/>
      <c r="CH187" s="121"/>
      <c r="CI187" s="121"/>
      <c r="CJ187" s="120"/>
      <c r="CK187" s="120"/>
      <c r="CL187" s="121"/>
      <c r="CM187" s="121"/>
      <c r="CN187" s="121"/>
      <c r="CO187" s="121"/>
      <c r="CP187" s="121"/>
      <c r="CQ187" s="121"/>
      <c r="CR187" s="121"/>
      <c r="CS187" s="121"/>
      <c r="CT187" s="121"/>
    </row>
    <row r="188">
      <c r="A188" s="120"/>
      <c r="B188" s="121"/>
      <c r="C188" s="121"/>
      <c r="D188" s="121"/>
      <c r="E188" s="120"/>
      <c r="F188" s="120"/>
      <c r="G188" s="120"/>
      <c r="H188" s="121"/>
      <c r="I188" s="120"/>
      <c r="J188" s="120"/>
      <c r="K188" s="121"/>
      <c r="L188" s="120"/>
      <c r="M188" s="121"/>
      <c r="N188" s="121"/>
      <c r="O188" s="121"/>
      <c r="P188" s="121"/>
      <c r="Q188" s="120"/>
      <c r="R188" s="121"/>
      <c r="S188" s="120"/>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0"/>
      <c r="AS188" s="121"/>
      <c r="AT188" s="121"/>
      <c r="AU188" s="121"/>
      <c r="AV188" s="121"/>
      <c r="AW188" s="120"/>
      <c r="AX188" s="120"/>
      <c r="AY188" s="121"/>
      <c r="AZ188" s="120"/>
      <c r="BA188" s="121"/>
      <c r="BB188" s="121"/>
      <c r="BC188" s="120"/>
      <c r="BD188" s="120"/>
      <c r="BE188" s="120"/>
      <c r="BF188" s="121"/>
      <c r="BG188" s="121"/>
      <c r="BH188" s="121"/>
      <c r="BI188" s="121"/>
      <c r="BJ188" s="121"/>
      <c r="BK188" s="121"/>
      <c r="BL188" s="121"/>
      <c r="BM188" s="121"/>
      <c r="BN188" s="121"/>
      <c r="BO188" s="120"/>
      <c r="BP188" s="120"/>
      <c r="BQ188" s="120"/>
      <c r="BR188" s="121"/>
      <c r="BS188" s="121"/>
      <c r="BT188" s="120"/>
      <c r="BU188" s="121"/>
      <c r="BV188" s="121"/>
      <c r="BW188" s="121"/>
      <c r="BX188" s="121"/>
      <c r="BY188" s="120"/>
      <c r="BZ188" s="121"/>
      <c r="CA188" s="121"/>
      <c r="CB188" s="121"/>
      <c r="CC188" s="121"/>
      <c r="CD188" s="121"/>
      <c r="CE188" s="121"/>
      <c r="CF188" s="121"/>
      <c r="CG188" s="121"/>
      <c r="CH188" s="121"/>
      <c r="CI188" s="121"/>
      <c r="CJ188" s="120"/>
      <c r="CK188" s="120"/>
      <c r="CL188" s="121"/>
      <c r="CM188" s="121"/>
      <c r="CN188" s="121"/>
      <c r="CO188" s="121"/>
      <c r="CP188" s="121"/>
      <c r="CQ188" s="121"/>
      <c r="CR188" s="121"/>
      <c r="CS188" s="121"/>
      <c r="CT188" s="121"/>
    </row>
    <row r="189">
      <c r="A189" s="120"/>
      <c r="B189" s="121"/>
      <c r="C189" s="121"/>
      <c r="D189" s="121"/>
      <c r="E189" s="120"/>
      <c r="F189" s="120"/>
      <c r="G189" s="120"/>
      <c r="H189" s="121"/>
      <c r="I189" s="120"/>
      <c r="J189" s="120"/>
      <c r="K189" s="121"/>
      <c r="L189" s="120"/>
      <c r="M189" s="121"/>
      <c r="N189" s="121"/>
      <c r="O189" s="121"/>
      <c r="P189" s="121"/>
      <c r="Q189" s="120"/>
      <c r="R189" s="121"/>
      <c r="S189" s="120"/>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0"/>
      <c r="AS189" s="121"/>
      <c r="AT189" s="121"/>
      <c r="AU189" s="121"/>
      <c r="AV189" s="121"/>
      <c r="AW189" s="120"/>
      <c r="AX189" s="120"/>
      <c r="AY189" s="121"/>
      <c r="AZ189" s="120"/>
      <c r="BA189" s="121"/>
      <c r="BB189" s="121"/>
      <c r="BC189" s="120"/>
      <c r="BD189" s="120"/>
      <c r="BE189" s="120"/>
      <c r="BF189" s="121"/>
      <c r="BG189" s="121"/>
      <c r="BH189" s="121"/>
      <c r="BI189" s="121"/>
      <c r="BJ189" s="121"/>
      <c r="BK189" s="121"/>
      <c r="BL189" s="121"/>
      <c r="BM189" s="121"/>
      <c r="BN189" s="121"/>
      <c r="BO189" s="120"/>
      <c r="BP189" s="120"/>
      <c r="BQ189" s="120"/>
      <c r="BR189" s="121"/>
      <c r="BS189" s="121"/>
      <c r="BT189" s="120"/>
      <c r="BU189" s="121"/>
      <c r="BV189" s="121"/>
      <c r="BW189" s="121"/>
      <c r="BX189" s="121"/>
      <c r="BY189" s="120"/>
      <c r="BZ189" s="121"/>
      <c r="CA189" s="121"/>
      <c r="CB189" s="121"/>
      <c r="CC189" s="121"/>
      <c r="CD189" s="121"/>
      <c r="CE189" s="121"/>
      <c r="CF189" s="121"/>
      <c r="CG189" s="121"/>
      <c r="CH189" s="121"/>
      <c r="CI189" s="121"/>
      <c r="CJ189" s="120"/>
      <c r="CK189" s="120"/>
      <c r="CL189" s="121"/>
      <c r="CM189" s="121"/>
      <c r="CN189" s="121"/>
      <c r="CO189" s="121"/>
      <c r="CP189" s="121"/>
      <c r="CQ189" s="121"/>
      <c r="CR189" s="121"/>
      <c r="CS189" s="121"/>
      <c r="CT189" s="121"/>
    </row>
    <row r="190">
      <c r="A190" s="120"/>
      <c r="B190" s="121"/>
      <c r="C190" s="121"/>
      <c r="D190" s="121"/>
      <c r="E190" s="120"/>
      <c r="F190" s="120"/>
      <c r="G190" s="120"/>
      <c r="H190" s="121"/>
      <c r="I190" s="120"/>
      <c r="J190" s="120"/>
      <c r="K190" s="121"/>
      <c r="L190" s="120"/>
      <c r="M190" s="121"/>
      <c r="N190" s="121"/>
      <c r="O190" s="121"/>
      <c r="P190" s="121"/>
      <c r="Q190" s="120"/>
      <c r="R190" s="121"/>
      <c r="S190" s="120"/>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0"/>
      <c r="AS190" s="121"/>
      <c r="AT190" s="121"/>
      <c r="AU190" s="121"/>
      <c r="AV190" s="121"/>
      <c r="AW190" s="120"/>
      <c r="AX190" s="120"/>
      <c r="AY190" s="121"/>
      <c r="AZ190" s="120"/>
      <c r="BA190" s="121"/>
      <c r="BB190" s="121"/>
      <c r="BC190" s="120"/>
      <c r="BD190" s="120"/>
      <c r="BE190" s="120"/>
      <c r="BF190" s="121"/>
      <c r="BG190" s="121"/>
      <c r="BH190" s="121"/>
      <c r="BI190" s="121"/>
      <c r="BJ190" s="121"/>
      <c r="BK190" s="121"/>
      <c r="BL190" s="121"/>
      <c r="BM190" s="121"/>
      <c r="BN190" s="121"/>
      <c r="BO190" s="120"/>
      <c r="BP190" s="120"/>
      <c r="BQ190" s="120"/>
      <c r="BR190" s="121"/>
      <c r="BS190" s="121"/>
      <c r="BT190" s="120"/>
      <c r="BU190" s="121"/>
      <c r="BV190" s="121"/>
      <c r="BW190" s="121"/>
      <c r="BX190" s="121"/>
      <c r="BY190" s="120"/>
      <c r="BZ190" s="121"/>
      <c r="CA190" s="121"/>
      <c r="CB190" s="121"/>
      <c r="CC190" s="121"/>
      <c r="CD190" s="121"/>
      <c r="CE190" s="121"/>
      <c r="CF190" s="121"/>
      <c r="CG190" s="121"/>
      <c r="CH190" s="121"/>
      <c r="CI190" s="121"/>
      <c r="CJ190" s="120"/>
      <c r="CK190" s="120"/>
      <c r="CL190" s="121"/>
      <c r="CM190" s="121"/>
      <c r="CN190" s="121"/>
      <c r="CO190" s="121"/>
      <c r="CP190" s="121"/>
      <c r="CQ190" s="121"/>
      <c r="CR190" s="121"/>
      <c r="CS190" s="121"/>
      <c r="CT190" s="121"/>
    </row>
  </sheetData>
  <dataValidations>
    <dataValidation type="list" allowBlank="1" showErrorMessage="1" sqref="AZ1:AZ190">
      <formula1>"neoantigen prediction done,Yes,No"</formula1>
    </dataValidation>
    <dataValidation type="list" allowBlank="1" showErrorMessage="1" sqref="BQ1:BQ190">
      <formula1>"Immunogenicity,Yes,No"</formula1>
    </dataValidation>
    <dataValidation type="list" allowBlank="1" showErrorMessage="1" sqref="O1:O190">
      <formula1>"treatment done,Yes,No"</formula1>
    </dataValidation>
  </dataValidations>
  <hyperlinks>
    <hyperlink r:id="rId1" ref="D2"/>
    <hyperlink r:id="rId2" ref="D3"/>
    <hyperlink r:id="rId3" ref="AN3"/>
    <hyperlink r:id="rId4" ref="D4"/>
    <hyperlink r:id="rId5" ref="D5"/>
    <hyperlink r:id="rId6" ref="D6"/>
    <hyperlink r:id="rId7" ref="D7"/>
    <hyperlink r:id="rId8" ref="D8"/>
    <hyperlink r:id="rId9" ref="D9"/>
    <hyperlink r:id="rId10" ref="D10"/>
    <hyperlink r:id="rId11" ref="D11"/>
    <hyperlink r:id="rId12" ref="D12"/>
    <hyperlink r:id="rId13" ref="D13"/>
    <hyperlink r:id="rId14" ref="BH13"/>
    <hyperlink r:id="rId15" ref="D14"/>
    <hyperlink r:id="rId16" ref="D15"/>
    <hyperlink r:id="rId17" ref="D16"/>
    <hyperlink r:id="rId18" ref="D17"/>
    <hyperlink r:id="rId19" ref="D18"/>
    <hyperlink r:id="rId20" ref="D19"/>
    <hyperlink r:id="rId21" ref="D20"/>
    <hyperlink r:id="rId22" ref="D21"/>
    <hyperlink r:id="rId23" ref="D22"/>
    <hyperlink r:id="rId24" ref="D23"/>
    <hyperlink r:id="rId25" ref="D24"/>
    <hyperlink r:id="rId26" ref="D25"/>
    <hyperlink r:id="rId27" ref="D26"/>
    <hyperlink r:id="rId28" ref="D27"/>
    <hyperlink r:id="rId29" ref="D28"/>
    <hyperlink r:id="rId30" ref="D29"/>
    <hyperlink r:id="rId31" ref="D30"/>
    <hyperlink r:id="rId32" ref="D31"/>
    <hyperlink r:id="rId33" ref="D32"/>
    <hyperlink r:id="rId34" ref="D33"/>
    <hyperlink r:id="rId35" ref="D34"/>
    <hyperlink r:id="rId36" ref="D35"/>
    <hyperlink r:id="rId37" ref="D36"/>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75"/>
    <col customWidth="1" min="2" max="2" width="23.13"/>
    <col customWidth="1" min="3" max="3" width="15.88"/>
    <col customWidth="1" min="4" max="4" width="18.38"/>
    <col customWidth="1" min="5" max="5" width="15.75"/>
    <col customWidth="1" min="6" max="6" width="16.0"/>
    <col customWidth="1" min="7" max="7" width="11.5"/>
    <col customWidth="1" min="8" max="8" width="10.25"/>
    <col customWidth="1" min="9" max="9" width="22.38"/>
    <col customWidth="1" min="10" max="10" width="16.75"/>
    <col customWidth="1" min="11" max="11" width="15.5"/>
    <col customWidth="1" min="12" max="12" width="19.0"/>
    <col customWidth="1" min="13" max="13" width="12.88"/>
    <col customWidth="1" min="14" max="14" width="14.38"/>
    <col customWidth="1" min="15" max="15" width="22.25"/>
    <col customWidth="1" min="16" max="16" width="30.75"/>
    <col customWidth="1" min="17" max="17" width="24.75"/>
    <col customWidth="1" min="18" max="19" width="16.75"/>
    <col customWidth="1" min="20" max="20" width="22.88"/>
    <col customWidth="1" min="21" max="23" width="27.38"/>
    <col customWidth="1" min="24" max="24" width="22.88"/>
    <col customWidth="1" min="25" max="25" width="14.5"/>
    <col customWidth="1" min="26" max="26" width="24.5"/>
    <col customWidth="1" min="27" max="27" width="16.38"/>
    <col customWidth="1" min="28" max="28" width="17.38"/>
    <col customWidth="1" min="29" max="29" width="35.0"/>
    <col customWidth="1" min="30" max="30" width="12.63"/>
    <col customWidth="1" min="31" max="31" width="24.5"/>
    <col customWidth="1" min="32" max="32" width="8.75"/>
    <col customWidth="1" min="33" max="33" width="13.5"/>
    <col customWidth="1" min="34" max="34" width="18.25"/>
    <col customWidth="1" min="35" max="36" width="14.75"/>
    <col customWidth="1" min="37" max="37" width="25.25"/>
    <col customWidth="1" min="38" max="38" width="7.88"/>
    <col customWidth="1" min="39" max="39" width="12.38"/>
    <col customWidth="1" min="40" max="43" width="18.5"/>
    <col customWidth="1" min="44" max="45" width="16.13"/>
    <col customWidth="1" min="46" max="48" width="31.13"/>
    <col customWidth="1" min="49" max="49" width="21.63"/>
    <col customWidth="1" min="50" max="50" width="24.5"/>
    <col customWidth="1" min="51" max="51" width="36.38"/>
    <col customWidth="1" min="52" max="52" width="24.5"/>
    <col customWidth="1" min="53" max="55" width="25.0"/>
    <col customWidth="1" min="56" max="60" width="18.5"/>
    <col customWidth="1" min="61" max="61" width="22.13"/>
    <col customWidth="1" min="62" max="63" width="18.5"/>
    <col customWidth="1" min="64" max="64" width="29.13"/>
    <col customWidth="1" min="65" max="70" width="18.5"/>
    <col customWidth="1" min="71" max="75" width="26.0"/>
    <col customWidth="1" min="76" max="83" width="18.5"/>
    <col customWidth="1" min="84" max="84" width="35.5"/>
    <col customWidth="1" min="85" max="85" width="18.5"/>
  </cols>
  <sheetData>
    <row r="1">
      <c r="A1" s="122" t="s">
        <v>3909</v>
      </c>
      <c r="B1" s="123" t="s">
        <v>3910</v>
      </c>
      <c r="C1" s="122" t="s">
        <v>0</v>
      </c>
      <c r="D1" s="124" t="s">
        <v>2</v>
      </c>
      <c r="E1" s="124" t="s">
        <v>3</v>
      </c>
      <c r="F1" s="124" t="s">
        <v>3911</v>
      </c>
      <c r="G1" s="122" t="s">
        <v>3912</v>
      </c>
      <c r="H1" s="122" t="s">
        <v>3913</v>
      </c>
      <c r="I1" s="122" t="s">
        <v>3914</v>
      </c>
      <c r="J1" s="122" t="s">
        <v>3915</v>
      </c>
      <c r="K1" s="122" t="s">
        <v>3916</v>
      </c>
      <c r="L1" s="122" t="s">
        <v>3917</v>
      </c>
      <c r="M1" s="122" t="s">
        <v>3918</v>
      </c>
      <c r="N1" s="122" t="s">
        <v>3919</v>
      </c>
      <c r="O1" s="122" t="s">
        <v>3920</v>
      </c>
      <c r="P1" s="122" t="s">
        <v>3921</v>
      </c>
      <c r="Q1" s="122" t="s">
        <v>3922</v>
      </c>
      <c r="R1" s="122" t="s">
        <v>3923</v>
      </c>
      <c r="S1" s="122" t="s">
        <v>3924</v>
      </c>
      <c r="T1" s="122" t="s">
        <v>3925</v>
      </c>
      <c r="U1" s="122" t="s">
        <v>3926</v>
      </c>
      <c r="V1" s="122" t="s">
        <v>3927</v>
      </c>
      <c r="W1" s="122" t="s">
        <v>3928</v>
      </c>
      <c r="X1" s="122" t="s">
        <v>3929</v>
      </c>
      <c r="Y1" s="122" t="s">
        <v>3930</v>
      </c>
      <c r="Z1" s="122" t="s">
        <v>3931</v>
      </c>
      <c r="AA1" s="122" t="s">
        <v>3932</v>
      </c>
      <c r="AB1" s="122" t="s">
        <v>3933</v>
      </c>
      <c r="AC1" s="122" t="s">
        <v>3934</v>
      </c>
      <c r="AD1" s="122" t="s">
        <v>3935</v>
      </c>
      <c r="AE1" s="122" t="s">
        <v>3936</v>
      </c>
      <c r="AF1" s="122" t="s">
        <v>3937</v>
      </c>
      <c r="AG1" s="122" t="s">
        <v>3938</v>
      </c>
      <c r="AH1" s="122" t="s">
        <v>3939</v>
      </c>
      <c r="AI1" s="122" t="s">
        <v>3940</v>
      </c>
      <c r="AJ1" s="122" t="s">
        <v>3941</v>
      </c>
      <c r="AK1" s="122" t="s">
        <v>3942</v>
      </c>
      <c r="AL1" s="122" t="s">
        <v>3943</v>
      </c>
      <c r="AM1" s="124" t="s">
        <v>3944</v>
      </c>
      <c r="AN1" s="122" t="s">
        <v>3345</v>
      </c>
      <c r="AO1" s="124" t="s">
        <v>3945</v>
      </c>
      <c r="AP1" s="125" t="s">
        <v>3289</v>
      </c>
      <c r="AQ1" s="126" t="s">
        <v>3315</v>
      </c>
      <c r="AR1" s="126" t="s">
        <v>3316</v>
      </c>
      <c r="AS1" s="126" t="s">
        <v>3317</v>
      </c>
      <c r="AT1" s="125" t="s">
        <v>3318</v>
      </c>
      <c r="AU1" s="125" t="s">
        <v>3319</v>
      </c>
      <c r="AV1" s="125" t="s">
        <v>3320</v>
      </c>
      <c r="AW1" s="125" t="s">
        <v>3321</v>
      </c>
      <c r="AX1" s="125" t="s">
        <v>3322</v>
      </c>
      <c r="AY1" s="125" t="s">
        <v>3323</v>
      </c>
      <c r="AZ1" s="125" t="s">
        <v>3324</v>
      </c>
      <c r="BA1" s="125" t="s">
        <v>3325</v>
      </c>
      <c r="BB1" s="125" t="s">
        <v>3326</v>
      </c>
      <c r="BC1" s="126" t="s">
        <v>3327</v>
      </c>
      <c r="BD1" s="126" t="s">
        <v>3328</v>
      </c>
      <c r="BE1" s="126" t="s">
        <v>3329</v>
      </c>
      <c r="BF1" s="125" t="s">
        <v>3330</v>
      </c>
      <c r="BG1" s="125" t="s">
        <v>3331</v>
      </c>
      <c r="BH1" s="126" t="s">
        <v>3332</v>
      </c>
      <c r="BI1" s="125" t="s">
        <v>3333</v>
      </c>
      <c r="BJ1" s="125" t="s">
        <v>3334</v>
      </c>
      <c r="BK1" s="125" t="s">
        <v>3335</v>
      </c>
      <c r="BL1" s="125" t="s">
        <v>3336</v>
      </c>
      <c r="BM1" s="126" t="s">
        <v>3337</v>
      </c>
      <c r="BN1" s="125" t="s">
        <v>3338</v>
      </c>
      <c r="BO1" s="125" t="s">
        <v>3303</v>
      </c>
      <c r="BP1" s="125" t="s">
        <v>3339</v>
      </c>
      <c r="BQ1" s="125" t="s">
        <v>3340</v>
      </c>
      <c r="BR1" s="125" t="s">
        <v>3341</v>
      </c>
      <c r="BS1" s="125" t="s">
        <v>3342</v>
      </c>
      <c r="BT1" s="125" t="s">
        <v>3343</v>
      </c>
      <c r="BU1" s="125" t="s">
        <v>3344</v>
      </c>
      <c r="BV1" s="125" t="s">
        <v>3345</v>
      </c>
      <c r="BW1" s="125"/>
      <c r="BX1" s="126" t="s">
        <v>3346</v>
      </c>
      <c r="BY1" s="126" t="s">
        <v>3347</v>
      </c>
      <c r="BZ1" s="125" t="s">
        <v>3348</v>
      </c>
      <c r="CA1" s="125" t="s">
        <v>3349</v>
      </c>
      <c r="CB1" s="125" t="s">
        <v>3350</v>
      </c>
      <c r="CC1" s="125" t="s">
        <v>3351</v>
      </c>
      <c r="CD1" s="125" t="s">
        <v>3352</v>
      </c>
      <c r="CE1" s="125" t="s">
        <v>3353</v>
      </c>
      <c r="CF1" s="125" t="s">
        <v>3355</v>
      </c>
      <c r="CG1" s="125"/>
    </row>
    <row r="2">
      <c r="A2" s="127" t="s">
        <v>3946</v>
      </c>
      <c r="B2" s="128" t="s">
        <v>3947</v>
      </c>
      <c r="C2" s="129">
        <v>2018.0</v>
      </c>
      <c r="D2" s="130" t="s">
        <v>58</v>
      </c>
      <c r="E2" s="130" t="s">
        <v>59</v>
      </c>
      <c r="F2" s="131" t="s">
        <v>3948</v>
      </c>
      <c r="G2" s="127" t="s">
        <v>19</v>
      </c>
      <c r="H2" s="127" t="s">
        <v>27</v>
      </c>
      <c r="I2" s="132" t="s">
        <v>3358</v>
      </c>
      <c r="J2" s="127" t="s">
        <v>3359</v>
      </c>
      <c r="K2" s="127" t="s">
        <v>3949</v>
      </c>
      <c r="L2" s="132" t="s">
        <v>3380</v>
      </c>
      <c r="M2" s="132" t="s">
        <v>3363</v>
      </c>
      <c r="N2" s="132" t="s">
        <v>3365</v>
      </c>
      <c r="O2" s="132" t="s">
        <v>3382</v>
      </c>
      <c r="P2" s="127" t="s">
        <v>3950</v>
      </c>
      <c r="Q2" s="127" t="s">
        <v>3951</v>
      </c>
      <c r="R2" s="127" t="s">
        <v>3388</v>
      </c>
      <c r="S2" s="127" t="s">
        <v>3389</v>
      </c>
      <c r="T2" s="127" t="s">
        <v>3952</v>
      </c>
      <c r="U2" s="127" t="s">
        <v>3953</v>
      </c>
      <c r="V2" s="127" t="s">
        <v>3954</v>
      </c>
      <c r="W2" s="127" t="s">
        <v>3955</v>
      </c>
      <c r="X2" s="127" t="s">
        <v>3370</v>
      </c>
      <c r="Y2" s="127" t="s">
        <v>3371</v>
      </c>
      <c r="Z2" s="127" t="s">
        <v>3395</v>
      </c>
      <c r="AA2" s="127" t="s">
        <v>27</v>
      </c>
      <c r="AB2" s="133" t="s">
        <v>3397</v>
      </c>
      <c r="AC2" s="127" t="s">
        <v>27</v>
      </c>
      <c r="AD2" s="127" t="s">
        <v>3396</v>
      </c>
      <c r="AE2" s="127" t="s">
        <v>3956</v>
      </c>
      <c r="AF2" s="127" t="s">
        <v>3399</v>
      </c>
      <c r="AG2" s="132" t="s">
        <v>3957</v>
      </c>
      <c r="AH2" s="132" t="s">
        <v>20</v>
      </c>
      <c r="AI2" s="132" t="s">
        <v>3378</v>
      </c>
      <c r="AJ2" s="132" t="s">
        <v>3378</v>
      </c>
      <c r="AK2" s="127" t="s">
        <v>3512</v>
      </c>
      <c r="AL2" s="132" t="s">
        <v>20</v>
      </c>
      <c r="AM2" s="134" t="s">
        <v>3378</v>
      </c>
      <c r="AN2" s="127" t="s">
        <v>20</v>
      </c>
      <c r="AO2" s="130" t="s">
        <v>3958</v>
      </c>
      <c r="AP2" s="135"/>
      <c r="AQ2" s="136"/>
      <c r="AR2" s="137" t="s">
        <v>27</v>
      </c>
      <c r="AS2" s="137" t="s">
        <v>3397</v>
      </c>
      <c r="AT2" s="135" t="s">
        <v>3398</v>
      </c>
      <c r="AU2" s="135"/>
      <c r="AV2" s="135"/>
      <c r="AW2" s="135" t="s">
        <v>3399</v>
      </c>
      <c r="AX2" s="135" t="s">
        <v>3400</v>
      </c>
      <c r="AY2" s="135"/>
      <c r="AZ2" s="135" t="s">
        <v>3401</v>
      </c>
      <c r="BA2" s="135" t="s">
        <v>20</v>
      </c>
      <c r="BB2" s="135"/>
      <c r="BC2" s="137"/>
      <c r="BD2" s="137" t="s">
        <v>20</v>
      </c>
      <c r="BE2" s="137"/>
      <c r="BF2" s="135"/>
      <c r="BG2" s="135" t="s">
        <v>3402</v>
      </c>
      <c r="BH2" s="137"/>
      <c r="BI2" s="135"/>
      <c r="BJ2" s="135"/>
      <c r="BK2" s="135"/>
      <c r="BL2" s="135"/>
      <c r="BM2" s="137"/>
      <c r="BN2" s="135"/>
      <c r="BO2" s="135"/>
      <c r="BP2" s="135"/>
      <c r="BQ2" s="135"/>
      <c r="BR2" s="135"/>
      <c r="BS2" s="135"/>
      <c r="BT2" s="135"/>
      <c r="BU2" s="135"/>
      <c r="BV2" s="135"/>
      <c r="BW2" s="135"/>
      <c r="BX2" s="137"/>
      <c r="BY2" s="137"/>
      <c r="BZ2" s="135"/>
      <c r="CA2" s="135"/>
      <c r="CB2" s="135"/>
      <c r="CC2" s="135"/>
      <c r="CD2" s="135"/>
      <c r="CE2" s="135"/>
      <c r="CF2" s="135"/>
      <c r="CG2" s="135"/>
    </row>
    <row r="3" ht="117.75" customHeight="1">
      <c r="A3" s="138" t="s">
        <v>3959</v>
      </c>
      <c r="B3" s="139" t="s">
        <v>3960</v>
      </c>
      <c r="C3" s="140">
        <v>2017.0</v>
      </c>
      <c r="D3" s="141" t="s">
        <v>205</v>
      </c>
      <c r="E3" s="141" t="s">
        <v>206</v>
      </c>
      <c r="F3" s="142" t="s">
        <v>3961</v>
      </c>
      <c r="G3" s="138" t="s">
        <v>19</v>
      </c>
      <c r="H3" s="138" t="s">
        <v>27</v>
      </c>
      <c r="I3" s="143" t="s">
        <v>3358</v>
      </c>
      <c r="J3" s="138" t="s">
        <v>3411</v>
      </c>
      <c r="K3" s="138" t="s">
        <v>3962</v>
      </c>
      <c r="L3" s="143" t="s">
        <v>3380</v>
      </c>
      <c r="M3" s="143" t="s">
        <v>3963</v>
      </c>
      <c r="N3" s="143" t="s">
        <v>3365</v>
      </c>
      <c r="O3" s="143" t="s">
        <v>3868</v>
      </c>
      <c r="P3" s="138" t="s">
        <v>3962</v>
      </c>
      <c r="Q3" s="138" t="s">
        <v>3962</v>
      </c>
      <c r="R3" s="138" t="s">
        <v>3388</v>
      </c>
      <c r="S3" s="138" t="s">
        <v>3389</v>
      </c>
      <c r="T3" s="138" t="s">
        <v>3952</v>
      </c>
      <c r="U3" s="138" t="s">
        <v>3964</v>
      </c>
      <c r="V3" s="138" t="s">
        <v>3965</v>
      </c>
      <c r="W3" s="138" t="s">
        <v>3966</v>
      </c>
      <c r="X3" s="138" t="s">
        <v>3967</v>
      </c>
      <c r="Y3" s="143" t="s">
        <v>3968</v>
      </c>
      <c r="Z3" s="138" t="s">
        <v>3969</v>
      </c>
      <c r="AA3" s="138" t="s">
        <v>27</v>
      </c>
      <c r="AB3" s="138" t="s">
        <v>3508</v>
      </c>
      <c r="AC3" s="138" t="s">
        <v>27</v>
      </c>
      <c r="AD3" s="143" t="s">
        <v>3970</v>
      </c>
      <c r="AE3" s="143" t="s">
        <v>3970</v>
      </c>
      <c r="AF3" s="138" t="s">
        <v>3460</v>
      </c>
      <c r="AG3" s="143" t="s">
        <v>3971</v>
      </c>
      <c r="AH3" s="143" t="s">
        <v>20</v>
      </c>
      <c r="AI3" s="143" t="s">
        <v>3378</v>
      </c>
      <c r="AJ3" s="143" t="s">
        <v>3378</v>
      </c>
      <c r="AK3" s="138" t="s">
        <v>27</v>
      </c>
      <c r="AL3" s="143" t="s">
        <v>27</v>
      </c>
      <c r="AM3" s="141" t="s">
        <v>3972</v>
      </c>
      <c r="AN3" s="138" t="s">
        <v>3512</v>
      </c>
      <c r="AO3" s="141" t="s">
        <v>3973</v>
      </c>
      <c r="AP3" s="135"/>
      <c r="AQ3" s="137"/>
      <c r="AR3" s="137" t="s">
        <v>27</v>
      </c>
      <c r="AS3" s="137" t="s">
        <v>3458</v>
      </c>
      <c r="AT3" s="135" t="s">
        <v>3459</v>
      </c>
      <c r="AU3" s="135"/>
      <c r="AV3" s="135"/>
      <c r="AW3" s="135" t="s">
        <v>3460</v>
      </c>
      <c r="AX3" s="135" t="s">
        <v>27</v>
      </c>
      <c r="AY3" s="135"/>
      <c r="AZ3" s="135" t="s">
        <v>3461</v>
      </c>
      <c r="BA3" s="135" t="s">
        <v>20</v>
      </c>
      <c r="BB3" s="135"/>
      <c r="BC3" s="137"/>
      <c r="BD3" s="137" t="s">
        <v>20</v>
      </c>
      <c r="BE3" s="137"/>
      <c r="BF3" s="135"/>
      <c r="BG3" s="135"/>
      <c r="BH3" s="137"/>
      <c r="BI3" s="135"/>
      <c r="BJ3" s="135"/>
      <c r="BK3" s="135"/>
      <c r="BL3" s="135"/>
      <c r="BM3" s="137"/>
      <c r="BN3" s="135"/>
      <c r="BO3" s="135"/>
      <c r="BP3" s="135"/>
      <c r="BQ3" s="135"/>
      <c r="BR3" s="135"/>
      <c r="BS3" s="135"/>
      <c r="BT3" s="135"/>
      <c r="BU3" s="135"/>
      <c r="BV3" s="135"/>
      <c r="BW3" s="135"/>
      <c r="BX3" s="137"/>
      <c r="BY3" s="137"/>
      <c r="BZ3" s="135"/>
      <c r="CA3" s="135"/>
      <c r="CB3" s="135"/>
      <c r="CC3" s="135"/>
      <c r="CD3" s="135"/>
      <c r="CE3" s="135"/>
      <c r="CF3" s="135"/>
      <c r="CG3" s="135"/>
    </row>
    <row r="4">
      <c r="A4" s="127" t="s">
        <v>3974</v>
      </c>
      <c r="B4" s="128" t="s">
        <v>3975</v>
      </c>
      <c r="C4" s="129">
        <v>2022.0</v>
      </c>
      <c r="D4" s="130" t="s">
        <v>301</v>
      </c>
      <c r="E4" s="130" t="s">
        <v>302</v>
      </c>
      <c r="F4" s="131" t="s">
        <v>3976</v>
      </c>
      <c r="G4" s="127" t="s">
        <v>19</v>
      </c>
      <c r="H4" s="127" t="s">
        <v>27</v>
      </c>
      <c r="I4" s="132" t="s">
        <v>3358</v>
      </c>
      <c r="J4" s="127" t="s">
        <v>3411</v>
      </c>
      <c r="K4" s="132" t="s">
        <v>3412</v>
      </c>
      <c r="L4" s="127" t="s">
        <v>3977</v>
      </c>
      <c r="M4" s="132" t="s">
        <v>3978</v>
      </c>
      <c r="N4" s="132" t="s">
        <v>3365</v>
      </c>
      <c r="O4" s="132" t="s">
        <v>3366</v>
      </c>
      <c r="P4" s="127" t="s">
        <v>3962</v>
      </c>
      <c r="Q4" s="127" t="s">
        <v>3962</v>
      </c>
      <c r="R4" s="127" t="s">
        <v>3388</v>
      </c>
      <c r="S4" s="127" t="s">
        <v>3979</v>
      </c>
      <c r="T4" s="127" t="s">
        <v>3980</v>
      </c>
      <c r="U4" s="127" t="s">
        <v>3981</v>
      </c>
      <c r="V4" s="127" t="s">
        <v>3982</v>
      </c>
      <c r="W4" s="127" t="s">
        <v>3491</v>
      </c>
      <c r="X4" s="127" t="s">
        <v>3983</v>
      </c>
      <c r="Y4" s="132" t="s">
        <v>3984</v>
      </c>
      <c r="Z4" s="127" t="s">
        <v>3985</v>
      </c>
      <c r="AA4" s="132" t="s">
        <v>3512</v>
      </c>
      <c r="AB4" s="132" t="s">
        <v>3495</v>
      </c>
      <c r="AC4" s="132" t="s">
        <v>27</v>
      </c>
      <c r="AD4" s="132" t="s">
        <v>3986</v>
      </c>
      <c r="AE4" s="132" t="s">
        <v>3987</v>
      </c>
      <c r="AF4" s="127" t="s">
        <v>3399</v>
      </c>
      <c r="AG4" s="132" t="s">
        <v>3988</v>
      </c>
      <c r="AH4" s="132" t="s">
        <v>20</v>
      </c>
      <c r="AI4" s="132" t="s">
        <v>3378</v>
      </c>
      <c r="AJ4" s="127" t="s">
        <v>3378</v>
      </c>
      <c r="AK4" s="127" t="s">
        <v>3512</v>
      </c>
      <c r="AL4" s="132" t="s">
        <v>20</v>
      </c>
      <c r="AM4" s="134" t="s">
        <v>3378</v>
      </c>
      <c r="AN4" s="127" t="s">
        <v>20</v>
      </c>
      <c r="AO4" s="130" t="s">
        <v>3989</v>
      </c>
      <c r="AP4" s="135" t="s">
        <v>3494</v>
      </c>
      <c r="AQ4" s="137"/>
      <c r="AR4" s="137" t="s">
        <v>27</v>
      </c>
      <c r="AS4" s="137" t="s">
        <v>3495</v>
      </c>
      <c r="AT4" s="135" t="s">
        <v>3496</v>
      </c>
      <c r="AU4" s="135"/>
      <c r="AV4" s="144" t="s">
        <v>3990</v>
      </c>
      <c r="AW4" s="135" t="s">
        <v>3399</v>
      </c>
      <c r="AX4" s="135" t="s">
        <v>27</v>
      </c>
      <c r="AY4" s="135"/>
      <c r="AZ4" s="135"/>
      <c r="BA4" s="135" t="s">
        <v>20</v>
      </c>
      <c r="BB4" s="135"/>
      <c r="BC4" s="137"/>
      <c r="BD4" s="137" t="s">
        <v>20</v>
      </c>
      <c r="BE4" s="137"/>
      <c r="BF4" s="135"/>
      <c r="BG4" s="135"/>
      <c r="BH4" s="137"/>
      <c r="BI4" s="135"/>
      <c r="BJ4" s="135"/>
      <c r="BK4" s="135"/>
      <c r="BL4" s="135"/>
      <c r="BM4" s="137" t="s">
        <v>3487</v>
      </c>
      <c r="BN4" s="135"/>
      <c r="BO4" s="135"/>
      <c r="BP4" s="135"/>
      <c r="BQ4" s="135"/>
      <c r="BR4" s="135"/>
      <c r="BS4" s="145"/>
      <c r="BT4" s="145"/>
      <c r="BU4" s="145" t="s">
        <v>3498</v>
      </c>
      <c r="BV4" s="145"/>
      <c r="BW4" s="145"/>
      <c r="BX4" s="137"/>
      <c r="BY4" s="137" t="s">
        <v>3499</v>
      </c>
      <c r="BZ4" s="135"/>
      <c r="CA4" s="135"/>
      <c r="CB4" s="135"/>
      <c r="CC4" s="135"/>
      <c r="CD4" s="135"/>
      <c r="CE4" s="135"/>
      <c r="CF4" s="135" t="s">
        <v>3991</v>
      </c>
      <c r="CG4" s="135"/>
    </row>
    <row r="5">
      <c r="A5" s="146" t="s">
        <v>3992</v>
      </c>
      <c r="B5" s="139" t="s">
        <v>3993</v>
      </c>
      <c r="C5" s="147">
        <v>2018.0</v>
      </c>
      <c r="D5" s="148" t="s">
        <v>312</v>
      </c>
      <c r="E5" s="148" t="s">
        <v>59</v>
      </c>
      <c r="F5" s="142" t="s">
        <v>3994</v>
      </c>
      <c r="G5" s="146" t="s">
        <v>19</v>
      </c>
      <c r="H5" s="146" t="s">
        <v>27</v>
      </c>
      <c r="I5" s="149" t="s">
        <v>3358</v>
      </c>
      <c r="J5" s="146" t="s">
        <v>3411</v>
      </c>
      <c r="K5" s="146" t="s">
        <v>3962</v>
      </c>
      <c r="L5" s="149" t="s">
        <v>3380</v>
      </c>
      <c r="M5" s="149" t="s">
        <v>3995</v>
      </c>
      <c r="N5" s="149" t="s">
        <v>3365</v>
      </c>
      <c r="O5" s="149" t="s">
        <v>3366</v>
      </c>
      <c r="P5" s="146" t="s">
        <v>3962</v>
      </c>
      <c r="Q5" s="146" t="s">
        <v>3962</v>
      </c>
      <c r="R5" s="146" t="s">
        <v>3388</v>
      </c>
      <c r="S5" s="146" t="s">
        <v>3996</v>
      </c>
      <c r="T5" s="146" t="s">
        <v>3997</v>
      </c>
      <c r="U5" s="146" t="s">
        <v>3998</v>
      </c>
      <c r="V5" s="146" t="s">
        <v>3999</v>
      </c>
      <c r="W5" s="146" t="s">
        <v>4000</v>
      </c>
      <c r="X5" s="146" t="s">
        <v>4001</v>
      </c>
      <c r="Y5" s="146" t="s">
        <v>4002</v>
      </c>
      <c r="Z5" s="146" t="s">
        <v>4003</v>
      </c>
      <c r="AA5" s="146" t="s">
        <v>27</v>
      </c>
      <c r="AB5" s="149" t="s">
        <v>3508</v>
      </c>
      <c r="AC5" s="146" t="s">
        <v>27</v>
      </c>
      <c r="AD5" s="149" t="s">
        <v>4004</v>
      </c>
      <c r="AE5" s="146" t="s">
        <v>4005</v>
      </c>
      <c r="AF5" s="146" t="s">
        <v>3418</v>
      </c>
      <c r="AG5" s="149" t="s">
        <v>4006</v>
      </c>
      <c r="AH5" s="149" t="s">
        <v>20</v>
      </c>
      <c r="AI5" s="146" t="s">
        <v>3378</v>
      </c>
      <c r="AJ5" s="146" t="s">
        <v>3378</v>
      </c>
      <c r="AK5" s="146" t="s">
        <v>3512</v>
      </c>
      <c r="AL5" s="146" t="s">
        <v>27</v>
      </c>
      <c r="AM5" s="150" t="s">
        <v>4007</v>
      </c>
      <c r="AN5" s="146" t="s">
        <v>4008</v>
      </c>
      <c r="AO5" s="148" t="s">
        <v>4009</v>
      </c>
      <c r="AP5" s="135"/>
      <c r="AQ5" s="137"/>
      <c r="AR5" s="137" t="s">
        <v>27</v>
      </c>
      <c r="AS5" s="137" t="s">
        <v>3508</v>
      </c>
      <c r="AT5" s="135" t="s">
        <v>3509</v>
      </c>
      <c r="AU5" s="135"/>
      <c r="AV5" s="135" t="s">
        <v>3510</v>
      </c>
      <c r="AW5" s="135" t="s">
        <v>3418</v>
      </c>
      <c r="AX5" s="135" t="s">
        <v>27</v>
      </c>
      <c r="AY5" s="135"/>
      <c r="AZ5" s="135" t="s">
        <v>3511</v>
      </c>
      <c r="BA5" s="135" t="s">
        <v>20</v>
      </c>
      <c r="BB5" s="135"/>
      <c r="BC5" s="137"/>
      <c r="BD5" s="137" t="s">
        <v>20</v>
      </c>
      <c r="BE5" s="137"/>
      <c r="BF5" s="135"/>
      <c r="BG5" s="135"/>
      <c r="BH5" s="137"/>
      <c r="BI5" s="135"/>
      <c r="BJ5" s="135"/>
      <c r="BK5" s="135"/>
      <c r="BL5" s="135" t="s">
        <v>3512</v>
      </c>
      <c r="BM5" s="137" t="s">
        <v>3513</v>
      </c>
      <c r="BN5" s="135" t="s">
        <v>3514</v>
      </c>
      <c r="BO5" s="135"/>
      <c r="BP5" s="135"/>
      <c r="BQ5" s="135"/>
      <c r="BR5" s="135"/>
      <c r="BS5" s="135"/>
      <c r="BT5" s="135"/>
      <c r="BU5" s="135" t="s">
        <v>3515</v>
      </c>
      <c r="BV5" s="135"/>
      <c r="BW5" s="135"/>
      <c r="BX5" s="137"/>
      <c r="BY5" s="137"/>
      <c r="BZ5" s="135"/>
      <c r="CA5" s="135"/>
      <c r="CB5" s="135"/>
      <c r="CC5" s="135"/>
      <c r="CD5" s="135"/>
      <c r="CE5" s="135"/>
      <c r="CF5" s="135" t="s">
        <v>3501</v>
      </c>
      <c r="CG5" s="151" t="s">
        <v>3516</v>
      </c>
    </row>
    <row r="6">
      <c r="A6" s="127" t="s">
        <v>4010</v>
      </c>
      <c r="B6" s="128" t="s">
        <v>4011</v>
      </c>
      <c r="C6" s="129">
        <v>2022.0</v>
      </c>
      <c r="D6" s="130" t="s">
        <v>346</v>
      </c>
      <c r="E6" s="130" t="s">
        <v>59</v>
      </c>
      <c r="F6" s="131" t="s">
        <v>4012</v>
      </c>
      <c r="G6" s="127" t="s">
        <v>19</v>
      </c>
      <c r="H6" s="127" t="s">
        <v>27</v>
      </c>
      <c r="I6" s="132" t="s">
        <v>3358</v>
      </c>
      <c r="J6" s="127" t="s">
        <v>3359</v>
      </c>
      <c r="K6" s="127" t="s">
        <v>3962</v>
      </c>
      <c r="L6" s="127" t="s">
        <v>3962</v>
      </c>
      <c r="M6" s="132" t="s">
        <v>3363</v>
      </c>
      <c r="N6" s="132" t="s">
        <v>4013</v>
      </c>
      <c r="O6" s="132" t="s">
        <v>4014</v>
      </c>
      <c r="P6" s="127" t="s">
        <v>4015</v>
      </c>
      <c r="Q6" s="127" t="s">
        <v>4016</v>
      </c>
      <c r="R6" s="127" t="s">
        <v>3388</v>
      </c>
      <c r="S6" s="127" t="s">
        <v>4017</v>
      </c>
      <c r="T6" s="127" t="s">
        <v>4018</v>
      </c>
      <c r="U6" s="127" t="s">
        <v>4019</v>
      </c>
      <c r="V6" s="127" t="s">
        <v>4020</v>
      </c>
      <c r="W6" s="127" t="s">
        <v>3482</v>
      </c>
      <c r="X6" s="127" t="s">
        <v>3370</v>
      </c>
      <c r="Y6" s="132" t="s">
        <v>4021</v>
      </c>
      <c r="Z6" s="127" t="s">
        <v>4022</v>
      </c>
      <c r="AA6" s="127" t="s">
        <v>27</v>
      </c>
      <c r="AB6" s="132" t="s">
        <v>4023</v>
      </c>
      <c r="AC6" s="127" t="s">
        <v>27</v>
      </c>
      <c r="AD6" s="132" t="s">
        <v>4024</v>
      </c>
      <c r="AE6" s="127" t="s">
        <v>4025</v>
      </c>
      <c r="AF6" s="127" t="s">
        <v>4026</v>
      </c>
      <c r="AG6" s="132" t="s">
        <v>4027</v>
      </c>
      <c r="AH6" s="132" t="s">
        <v>27</v>
      </c>
      <c r="AI6" s="132" t="s">
        <v>3378</v>
      </c>
      <c r="AJ6" s="127" t="s">
        <v>4028</v>
      </c>
      <c r="AK6" s="127" t="s">
        <v>3512</v>
      </c>
      <c r="AL6" s="132" t="s">
        <v>27</v>
      </c>
      <c r="AM6" s="134" t="s">
        <v>4029</v>
      </c>
      <c r="AN6" s="127" t="s">
        <v>4030</v>
      </c>
      <c r="AO6" s="130" t="s">
        <v>4031</v>
      </c>
      <c r="AP6" s="135"/>
      <c r="AQ6" s="137"/>
      <c r="AR6" s="137" t="s">
        <v>27</v>
      </c>
      <c r="AS6" s="137" t="s">
        <v>3362</v>
      </c>
      <c r="AT6" s="135" t="s">
        <v>3362</v>
      </c>
      <c r="AU6" s="135"/>
      <c r="AV6" s="135"/>
      <c r="AW6" s="135" t="s">
        <v>3531</v>
      </c>
      <c r="AX6" s="135" t="s">
        <v>27</v>
      </c>
      <c r="AY6" s="135"/>
      <c r="AZ6" s="135"/>
      <c r="BA6" s="135" t="s">
        <v>27</v>
      </c>
      <c r="BB6" s="135"/>
      <c r="BC6" s="137"/>
      <c r="BD6" s="137" t="s">
        <v>20</v>
      </c>
      <c r="BE6" s="137"/>
      <c r="BF6" s="135"/>
      <c r="BG6" s="135"/>
      <c r="BH6" s="137"/>
      <c r="BI6" s="135"/>
      <c r="BJ6" s="135"/>
      <c r="BK6" s="135"/>
      <c r="BL6" s="135" t="s">
        <v>3512</v>
      </c>
      <c r="BM6" s="137" t="s">
        <v>3487</v>
      </c>
      <c r="BN6" s="135" t="s">
        <v>3532</v>
      </c>
      <c r="BO6" s="135"/>
      <c r="BP6" s="135" t="s">
        <v>3533</v>
      </c>
      <c r="BQ6" s="135" t="s">
        <v>3534</v>
      </c>
      <c r="BR6" s="135" t="s">
        <v>3535</v>
      </c>
      <c r="BS6" s="135"/>
      <c r="BT6" s="135"/>
      <c r="BU6" s="135" t="s">
        <v>3536</v>
      </c>
      <c r="BV6" s="135" t="s">
        <v>3537</v>
      </c>
      <c r="BW6" s="135"/>
      <c r="BX6" s="137"/>
      <c r="BY6" s="137"/>
      <c r="BZ6" s="135"/>
      <c r="CA6" s="135"/>
      <c r="CB6" s="135"/>
      <c r="CC6" s="135"/>
      <c r="CD6" s="135"/>
      <c r="CE6" s="135"/>
      <c r="CF6" s="135" t="s">
        <v>3538</v>
      </c>
      <c r="CG6" s="135"/>
    </row>
    <row r="7">
      <c r="A7" s="146" t="s">
        <v>4032</v>
      </c>
      <c r="B7" s="139" t="s">
        <v>4033</v>
      </c>
      <c r="C7" s="147">
        <v>2016.0</v>
      </c>
      <c r="D7" s="148" t="s">
        <v>359</v>
      </c>
      <c r="E7" s="148" t="s">
        <v>272</v>
      </c>
      <c r="F7" s="142" t="s">
        <v>4034</v>
      </c>
      <c r="G7" s="146" t="s">
        <v>19</v>
      </c>
      <c r="H7" s="146" t="s">
        <v>27</v>
      </c>
      <c r="I7" s="149" t="s">
        <v>3358</v>
      </c>
      <c r="J7" s="146" t="s">
        <v>3359</v>
      </c>
      <c r="K7" s="149" t="s">
        <v>3477</v>
      </c>
      <c r="L7" s="149" t="s">
        <v>3380</v>
      </c>
      <c r="M7" s="149" t="s">
        <v>4035</v>
      </c>
      <c r="N7" s="149" t="s">
        <v>4036</v>
      </c>
      <c r="O7" s="149" t="s">
        <v>3382</v>
      </c>
      <c r="P7" s="146" t="s">
        <v>4037</v>
      </c>
      <c r="Q7" s="146" t="s">
        <v>3951</v>
      </c>
      <c r="R7" s="146" t="s">
        <v>3388</v>
      </c>
      <c r="S7" s="146" t="s">
        <v>3389</v>
      </c>
      <c r="T7" s="146" t="s">
        <v>4038</v>
      </c>
      <c r="U7" s="146" t="s">
        <v>4039</v>
      </c>
      <c r="V7" s="146" t="s">
        <v>4040</v>
      </c>
      <c r="W7" s="146" t="s">
        <v>4041</v>
      </c>
      <c r="X7" s="146" t="s">
        <v>3405</v>
      </c>
      <c r="Y7" s="146" t="s">
        <v>3371</v>
      </c>
      <c r="Z7" s="146" t="s">
        <v>4042</v>
      </c>
      <c r="AA7" s="146" t="s">
        <v>27</v>
      </c>
      <c r="AB7" s="149" t="s">
        <v>3546</v>
      </c>
      <c r="AC7" s="149" t="s">
        <v>27</v>
      </c>
      <c r="AD7" s="149" t="s">
        <v>4043</v>
      </c>
      <c r="AE7" s="146" t="s">
        <v>4044</v>
      </c>
      <c r="AF7" s="146" t="s">
        <v>3399</v>
      </c>
      <c r="AG7" s="149" t="s">
        <v>4045</v>
      </c>
      <c r="AH7" s="149" t="s">
        <v>20</v>
      </c>
      <c r="AI7" s="149" t="s">
        <v>3378</v>
      </c>
      <c r="AJ7" s="149" t="s">
        <v>3378</v>
      </c>
      <c r="AK7" s="146" t="s">
        <v>3512</v>
      </c>
      <c r="AL7" s="149" t="s">
        <v>20</v>
      </c>
      <c r="AM7" s="150" t="s">
        <v>4046</v>
      </c>
      <c r="AN7" s="146" t="s">
        <v>4008</v>
      </c>
      <c r="AO7" s="148" t="s">
        <v>4047</v>
      </c>
      <c r="AP7" s="135"/>
      <c r="AQ7" s="137"/>
      <c r="AR7" s="137" t="s">
        <v>27</v>
      </c>
      <c r="AS7" s="137" t="s">
        <v>3546</v>
      </c>
      <c r="AT7" s="135" t="s">
        <v>3547</v>
      </c>
      <c r="AU7" s="135" t="s">
        <v>3548</v>
      </c>
      <c r="AV7" s="135" t="s">
        <v>3549</v>
      </c>
      <c r="AW7" s="135" t="s">
        <v>3399</v>
      </c>
      <c r="AX7" s="135" t="s">
        <v>27</v>
      </c>
      <c r="AY7" s="135"/>
      <c r="AZ7" s="135"/>
      <c r="BA7" s="135" t="s">
        <v>20</v>
      </c>
      <c r="BB7" s="135"/>
      <c r="BC7" s="137"/>
      <c r="BD7" s="137" t="s">
        <v>20</v>
      </c>
      <c r="BE7" s="137"/>
      <c r="BF7" s="135"/>
      <c r="BG7" s="135"/>
      <c r="BH7" s="137"/>
      <c r="BI7" s="135"/>
      <c r="BJ7" s="135"/>
      <c r="BK7" s="135"/>
      <c r="BL7" s="135"/>
      <c r="BM7" s="137"/>
      <c r="BN7" s="135"/>
      <c r="BO7" s="135"/>
      <c r="BP7" s="135"/>
      <c r="BQ7" s="135"/>
      <c r="BR7" s="135"/>
      <c r="BS7" s="135"/>
      <c r="BT7" s="135"/>
      <c r="BU7" s="135"/>
      <c r="BV7" s="135"/>
      <c r="BW7" s="135"/>
      <c r="BX7" s="137"/>
      <c r="BY7" s="137"/>
      <c r="BZ7" s="135"/>
      <c r="CA7" s="135"/>
      <c r="CB7" s="135"/>
      <c r="CC7" s="135"/>
      <c r="CD7" s="135"/>
      <c r="CE7" s="135"/>
      <c r="CF7" s="135"/>
      <c r="CG7" s="135"/>
    </row>
    <row r="8">
      <c r="A8" s="127" t="s">
        <v>4048</v>
      </c>
      <c r="B8" s="128" t="s">
        <v>4049</v>
      </c>
      <c r="C8" s="129">
        <v>2025.0</v>
      </c>
      <c r="D8" s="130" t="s">
        <v>363</v>
      </c>
      <c r="E8" s="130" t="s">
        <v>364</v>
      </c>
      <c r="F8" s="131" t="s">
        <v>4050</v>
      </c>
      <c r="G8" s="127" t="s">
        <v>19</v>
      </c>
      <c r="H8" s="127" t="s">
        <v>27</v>
      </c>
      <c r="I8" s="127" t="s">
        <v>3358</v>
      </c>
      <c r="J8" s="127" t="s">
        <v>3359</v>
      </c>
      <c r="K8" s="127" t="s">
        <v>3477</v>
      </c>
      <c r="L8" s="127" t="s">
        <v>3550</v>
      </c>
      <c r="M8" s="127" t="s">
        <v>3413</v>
      </c>
      <c r="N8" s="127" t="s">
        <v>4051</v>
      </c>
      <c r="O8" s="127" t="s">
        <v>4052</v>
      </c>
      <c r="P8" s="127" t="s">
        <v>4053</v>
      </c>
      <c r="Q8" s="127" t="s">
        <v>4054</v>
      </c>
      <c r="R8" s="127" t="s">
        <v>3388</v>
      </c>
      <c r="S8" s="127" t="s">
        <v>3389</v>
      </c>
      <c r="T8" s="127" t="s">
        <v>4055</v>
      </c>
      <c r="U8" s="127" t="s">
        <v>4056</v>
      </c>
      <c r="V8" s="127" t="s">
        <v>4057</v>
      </c>
      <c r="W8" s="127" t="s">
        <v>3558</v>
      </c>
      <c r="X8" s="127" t="s">
        <v>3370</v>
      </c>
      <c r="Y8" s="127" t="s">
        <v>4058</v>
      </c>
      <c r="Z8" s="127" t="s">
        <v>4059</v>
      </c>
      <c r="AA8" s="127" t="s">
        <v>27</v>
      </c>
      <c r="AB8" s="127" t="s">
        <v>3397</v>
      </c>
      <c r="AC8" s="127" t="s">
        <v>27</v>
      </c>
      <c r="AD8" s="132" t="s">
        <v>4060</v>
      </c>
      <c r="AE8" s="132" t="s">
        <v>4060</v>
      </c>
      <c r="AF8" s="127" t="s">
        <v>3561</v>
      </c>
      <c r="AG8" s="127" t="s">
        <v>4061</v>
      </c>
      <c r="AH8" s="127" t="s">
        <v>20</v>
      </c>
      <c r="AI8" s="132" t="s">
        <v>3378</v>
      </c>
      <c r="AJ8" s="132" t="s">
        <v>3378</v>
      </c>
      <c r="AK8" s="127" t="s">
        <v>3512</v>
      </c>
      <c r="AL8" s="132" t="s">
        <v>27</v>
      </c>
      <c r="AM8" s="134" t="s">
        <v>4062</v>
      </c>
      <c r="AN8" s="132" t="s">
        <v>4063</v>
      </c>
      <c r="AO8" s="134" t="s">
        <v>4064</v>
      </c>
      <c r="AP8" s="152"/>
      <c r="AQ8" s="153"/>
      <c r="AR8" s="137" t="s">
        <v>27</v>
      </c>
      <c r="AS8" s="137" t="s">
        <v>3559</v>
      </c>
      <c r="AT8" s="135" t="s">
        <v>3560</v>
      </c>
      <c r="AU8" s="135"/>
      <c r="AV8" s="135"/>
      <c r="AW8" s="135" t="s">
        <v>3561</v>
      </c>
      <c r="AX8" s="135" t="s">
        <v>3562</v>
      </c>
      <c r="AY8" s="135"/>
      <c r="AZ8" s="135"/>
      <c r="BA8" s="135" t="s">
        <v>3562</v>
      </c>
      <c r="BB8" s="135"/>
      <c r="BC8" s="137"/>
      <c r="BD8" s="153"/>
      <c r="BE8" s="153"/>
      <c r="BF8" s="152"/>
      <c r="BG8" s="152"/>
      <c r="BH8" s="153"/>
      <c r="BI8" s="152"/>
      <c r="BJ8" s="152"/>
      <c r="BK8" s="152"/>
      <c r="BL8" s="152"/>
      <c r="BM8" s="153"/>
      <c r="BN8" s="152"/>
      <c r="BO8" s="152"/>
      <c r="BP8" s="152"/>
      <c r="BQ8" s="152"/>
      <c r="BR8" s="152"/>
      <c r="BS8" s="152"/>
      <c r="BT8" s="152"/>
      <c r="BU8" s="152"/>
      <c r="BV8" s="152"/>
      <c r="BW8" s="152"/>
      <c r="BX8" s="153"/>
      <c r="BY8" s="153"/>
      <c r="BZ8" s="152"/>
      <c r="CA8" s="152"/>
      <c r="CB8" s="152"/>
      <c r="CC8" s="152"/>
      <c r="CD8" s="152"/>
      <c r="CE8" s="152"/>
      <c r="CF8" s="152"/>
      <c r="CG8" s="152"/>
    </row>
    <row r="9">
      <c r="A9" s="146" t="s">
        <v>4065</v>
      </c>
      <c r="B9" s="139" t="s">
        <v>4066</v>
      </c>
      <c r="C9" s="147">
        <v>2024.0</v>
      </c>
      <c r="D9" s="148" t="s">
        <v>498</v>
      </c>
      <c r="E9" s="148" t="s">
        <v>59</v>
      </c>
      <c r="F9" s="142" t="s">
        <v>4067</v>
      </c>
      <c r="G9" s="146" t="s">
        <v>19</v>
      </c>
      <c r="H9" s="146" t="s">
        <v>27</v>
      </c>
      <c r="I9" s="149" t="s">
        <v>3358</v>
      </c>
      <c r="J9" s="146" t="s">
        <v>3359</v>
      </c>
      <c r="K9" s="149" t="s">
        <v>3431</v>
      </c>
      <c r="L9" s="149" t="s">
        <v>3550</v>
      </c>
      <c r="M9" s="146" t="s">
        <v>3363</v>
      </c>
      <c r="N9" s="149" t="s">
        <v>3641</v>
      </c>
      <c r="O9" s="146" t="s">
        <v>4068</v>
      </c>
      <c r="P9" s="146" t="s">
        <v>4069</v>
      </c>
      <c r="Q9" s="146" t="s">
        <v>4070</v>
      </c>
      <c r="R9" s="146" t="s">
        <v>3388</v>
      </c>
      <c r="S9" s="146" t="s">
        <v>3389</v>
      </c>
      <c r="T9" s="154"/>
      <c r="U9" s="146" t="s">
        <v>4071</v>
      </c>
      <c r="V9" s="146" t="s">
        <v>4072</v>
      </c>
      <c r="W9" s="146" t="s">
        <v>3653</v>
      </c>
      <c r="X9" s="146" t="s">
        <v>3370</v>
      </c>
      <c r="Y9" s="146" t="s">
        <v>3962</v>
      </c>
      <c r="Z9" s="146" t="s">
        <v>3395</v>
      </c>
      <c r="AA9" s="146" t="s">
        <v>27</v>
      </c>
      <c r="AB9" s="149" t="s">
        <v>3657</v>
      </c>
      <c r="AC9" s="146" t="s">
        <v>27</v>
      </c>
      <c r="AD9" s="149" t="s">
        <v>4004</v>
      </c>
      <c r="AE9" s="146" t="s">
        <v>4004</v>
      </c>
      <c r="AF9" s="146" t="s">
        <v>3659</v>
      </c>
      <c r="AG9" s="149" t="s">
        <v>3658</v>
      </c>
      <c r="AH9" s="146" t="s">
        <v>20</v>
      </c>
      <c r="AI9" s="146" t="s">
        <v>3378</v>
      </c>
      <c r="AJ9" s="146" t="s">
        <v>3378</v>
      </c>
      <c r="AK9" s="146" t="s">
        <v>3512</v>
      </c>
      <c r="AL9" s="149" t="s">
        <v>27</v>
      </c>
      <c r="AM9" s="150" t="s">
        <v>27</v>
      </c>
      <c r="AN9" s="146" t="s">
        <v>4008</v>
      </c>
      <c r="AO9" s="148" t="s">
        <v>3962</v>
      </c>
      <c r="AP9" s="135"/>
      <c r="AQ9" s="137"/>
      <c r="AR9" s="137" t="s">
        <v>27</v>
      </c>
      <c r="AS9" s="137" t="s">
        <v>3657</v>
      </c>
      <c r="AT9" s="135" t="s">
        <v>3658</v>
      </c>
      <c r="AU9" s="135"/>
      <c r="AV9" s="135"/>
      <c r="AW9" s="135" t="s">
        <v>3659</v>
      </c>
      <c r="AX9" s="135" t="s">
        <v>3660</v>
      </c>
      <c r="AY9" s="135"/>
      <c r="AZ9" s="135"/>
      <c r="BA9" s="135" t="s">
        <v>3582</v>
      </c>
      <c r="BB9" s="135"/>
      <c r="BC9" s="137"/>
      <c r="BD9" s="137" t="s">
        <v>3582</v>
      </c>
      <c r="BE9" s="137"/>
      <c r="BF9" s="135"/>
      <c r="BG9" s="135"/>
      <c r="BH9" s="137"/>
      <c r="BI9" s="135"/>
      <c r="BJ9" s="135"/>
      <c r="BK9" s="135"/>
      <c r="BL9" s="135"/>
      <c r="BM9" s="137"/>
      <c r="BN9" s="135"/>
      <c r="BO9" s="135"/>
      <c r="BP9" s="135"/>
      <c r="BQ9" s="135"/>
      <c r="BR9" s="135"/>
      <c r="BS9" s="135"/>
      <c r="BT9" s="135"/>
      <c r="BU9" s="135"/>
      <c r="BV9" s="135"/>
      <c r="BW9" s="135"/>
      <c r="BX9" s="137"/>
      <c r="BY9" s="137"/>
      <c r="BZ9" s="135"/>
      <c r="CA9" s="135"/>
      <c r="CB9" s="135"/>
      <c r="CC9" s="135"/>
      <c r="CD9" s="135"/>
      <c r="CE9" s="135"/>
      <c r="CF9" s="135"/>
      <c r="CG9" s="135"/>
    </row>
    <row r="10">
      <c r="A10" s="127" t="s">
        <v>4073</v>
      </c>
      <c r="B10" s="128" t="s">
        <v>4074</v>
      </c>
      <c r="C10" s="129">
        <v>2020.0</v>
      </c>
      <c r="D10" s="130" t="s">
        <v>820</v>
      </c>
      <c r="E10" s="130" t="s">
        <v>41</v>
      </c>
      <c r="F10" s="131" t="s">
        <v>4075</v>
      </c>
      <c r="G10" s="127" t="s">
        <v>19</v>
      </c>
      <c r="H10" s="127" t="s">
        <v>27</v>
      </c>
      <c r="I10" s="132" t="s">
        <v>3358</v>
      </c>
      <c r="J10" s="127" t="s">
        <v>3359</v>
      </c>
      <c r="K10" s="127" t="s">
        <v>3679</v>
      </c>
      <c r="L10" s="132" t="s">
        <v>3432</v>
      </c>
      <c r="M10" s="127" t="s">
        <v>3825</v>
      </c>
      <c r="N10" s="127" t="s">
        <v>4036</v>
      </c>
      <c r="O10" s="132" t="s">
        <v>3366</v>
      </c>
      <c r="P10" s="127" t="s">
        <v>4076</v>
      </c>
      <c r="Q10" s="127" t="s">
        <v>3951</v>
      </c>
      <c r="R10" s="127" t="s">
        <v>3388</v>
      </c>
      <c r="S10" s="127" t="s">
        <v>3389</v>
      </c>
      <c r="T10" s="155"/>
      <c r="U10" s="127" t="s">
        <v>3390</v>
      </c>
      <c r="V10" s="155"/>
      <c r="W10" s="127" t="s">
        <v>3482</v>
      </c>
      <c r="X10" s="127" t="s">
        <v>3370</v>
      </c>
      <c r="Y10" s="132" t="s">
        <v>3691</v>
      </c>
      <c r="Z10" s="132" t="s">
        <v>3372</v>
      </c>
      <c r="AA10" s="132" t="s">
        <v>27</v>
      </c>
      <c r="AB10" s="132" t="s">
        <v>3694</v>
      </c>
      <c r="AC10" s="156"/>
      <c r="AD10" s="132" t="s">
        <v>4077</v>
      </c>
      <c r="AE10" s="132" t="s">
        <v>4078</v>
      </c>
      <c r="AF10" s="127" t="s">
        <v>3696</v>
      </c>
      <c r="AG10" s="132" t="s">
        <v>4079</v>
      </c>
      <c r="AH10" s="132" t="s">
        <v>3698</v>
      </c>
      <c r="AI10" s="127" t="s">
        <v>3378</v>
      </c>
      <c r="AJ10" s="127" t="s">
        <v>3378</v>
      </c>
      <c r="AK10" s="127" t="s">
        <v>3512</v>
      </c>
      <c r="AL10" s="127" t="s">
        <v>3512</v>
      </c>
      <c r="AM10" s="134" t="s">
        <v>3512</v>
      </c>
      <c r="AN10" s="155"/>
      <c r="AO10" s="130" t="s">
        <v>4080</v>
      </c>
      <c r="AP10" s="135"/>
      <c r="AQ10" s="137" t="s">
        <v>3693</v>
      </c>
      <c r="AR10" s="137" t="s">
        <v>27</v>
      </c>
      <c r="AS10" s="137" t="s">
        <v>3694</v>
      </c>
      <c r="AT10" s="135" t="s">
        <v>3695</v>
      </c>
      <c r="AU10" s="135"/>
      <c r="AV10" s="135"/>
      <c r="AW10" s="135" t="s">
        <v>3696</v>
      </c>
      <c r="AX10" s="135" t="s">
        <v>3697</v>
      </c>
      <c r="AY10" s="135"/>
      <c r="AZ10" s="135"/>
      <c r="BA10" s="135" t="s">
        <v>3698</v>
      </c>
      <c r="BB10" s="135"/>
      <c r="BC10" s="137"/>
      <c r="BD10" s="137" t="s">
        <v>20</v>
      </c>
      <c r="BE10" s="137"/>
      <c r="BF10" s="135"/>
      <c r="BG10" s="135"/>
      <c r="BH10" s="137"/>
      <c r="BI10" s="135"/>
      <c r="BJ10" s="135"/>
      <c r="BK10" s="135"/>
      <c r="BL10" s="135"/>
      <c r="BM10" s="137"/>
      <c r="BN10" s="135" t="s">
        <v>3699</v>
      </c>
      <c r="BO10" s="135"/>
      <c r="BP10" s="135"/>
      <c r="BQ10" s="135"/>
      <c r="BR10" s="135"/>
      <c r="BS10" s="135"/>
      <c r="BT10" s="135"/>
      <c r="BU10" s="135" t="s">
        <v>3700</v>
      </c>
      <c r="BV10" s="135"/>
      <c r="BW10" s="135"/>
      <c r="BX10" s="137"/>
      <c r="BY10" s="137"/>
      <c r="BZ10" s="135" t="s">
        <v>3701</v>
      </c>
      <c r="CA10" s="135" t="s">
        <v>3702</v>
      </c>
      <c r="CB10" s="135" t="s">
        <v>3703</v>
      </c>
      <c r="CC10" s="135" t="s">
        <v>3704</v>
      </c>
      <c r="CD10" s="135" t="s">
        <v>3705</v>
      </c>
      <c r="CE10" s="135" t="s">
        <v>3706</v>
      </c>
      <c r="CF10" s="135" t="s">
        <v>4081</v>
      </c>
      <c r="CG10" s="135"/>
    </row>
    <row r="11">
      <c r="A11" s="146" t="s">
        <v>4082</v>
      </c>
      <c r="B11" s="139" t="s">
        <v>4083</v>
      </c>
      <c r="C11" s="147">
        <v>2021.0</v>
      </c>
      <c r="D11" s="148" t="s">
        <v>1272</v>
      </c>
      <c r="E11" s="148" t="s">
        <v>1273</v>
      </c>
      <c r="F11" s="148" t="s">
        <v>1274</v>
      </c>
      <c r="G11" s="146" t="s">
        <v>19</v>
      </c>
      <c r="H11" s="146" t="s">
        <v>27</v>
      </c>
      <c r="I11" s="149" t="s">
        <v>3358</v>
      </c>
      <c r="J11" s="146" t="s">
        <v>3359</v>
      </c>
      <c r="K11" s="149" t="s">
        <v>3748</v>
      </c>
      <c r="L11" s="146" t="s">
        <v>3962</v>
      </c>
      <c r="M11" s="149" t="s">
        <v>3363</v>
      </c>
      <c r="N11" s="149" t="s">
        <v>4084</v>
      </c>
      <c r="O11" s="149" t="s">
        <v>4085</v>
      </c>
      <c r="P11" s="146" t="s">
        <v>4086</v>
      </c>
      <c r="Q11" s="146" t="s">
        <v>3951</v>
      </c>
      <c r="R11" s="146" t="s">
        <v>4087</v>
      </c>
      <c r="S11" s="146" t="s">
        <v>3962</v>
      </c>
      <c r="T11" s="149" t="s">
        <v>4088</v>
      </c>
      <c r="U11" s="146" t="s">
        <v>3752</v>
      </c>
      <c r="V11" s="146" t="s">
        <v>4089</v>
      </c>
      <c r="W11" s="146" t="s">
        <v>3962</v>
      </c>
      <c r="X11" s="149" t="s">
        <v>3753</v>
      </c>
      <c r="Y11" s="146" t="s">
        <v>4090</v>
      </c>
      <c r="Z11" s="149" t="s">
        <v>4091</v>
      </c>
      <c r="AA11" s="149" t="s">
        <v>27</v>
      </c>
      <c r="AB11" s="149" t="s">
        <v>3362</v>
      </c>
      <c r="AC11" s="149" t="s">
        <v>27</v>
      </c>
      <c r="AD11" s="149" t="s">
        <v>3755</v>
      </c>
      <c r="AE11" s="149" t="s">
        <v>3755</v>
      </c>
      <c r="AF11" s="146" t="s">
        <v>3962</v>
      </c>
      <c r="AG11" s="149" t="s">
        <v>4092</v>
      </c>
      <c r="AH11" s="149" t="s">
        <v>20</v>
      </c>
      <c r="AI11" s="149" t="s">
        <v>3378</v>
      </c>
      <c r="AJ11" s="149" t="s">
        <v>3378</v>
      </c>
      <c r="AK11" s="146" t="s">
        <v>3512</v>
      </c>
      <c r="AL11" s="149" t="s">
        <v>27</v>
      </c>
      <c r="AM11" s="150" t="s">
        <v>4093</v>
      </c>
      <c r="AN11" s="146" t="s">
        <v>4094</v>
      </c>
      <c r="AO11" s="148" t="s">
        <v>4095</v>
      </c>
      <c r="AP11" s="135"/>
      <c r="AQ11" s="137"/>
      <c r="AR11" s="137" t="s">
        <v>27</v>
      </c>
      <c r="AS11" s="137" t="s">
        <v>3362</v>
      </c>
      <c r="AT11" s="135" t="s">
        <v>3756</v>
      </c>
      <c r="AU11" s="135"/>
      <c r="AV11" s="135"/>
      <c r="AW11" s="135" t="s">
        <v>3362</v>
      </c>
      <c r="AX11" s="135" t="s">
        <v>27</v>
      </c>
      <c r="AY11" s="135"/>
      <c r="AZ11" s="135"/>
      <c r="BA11" s="135" t="s">
        <v>20</v>
      </c>
      <c r="BB11" s="135"/>
      <c r="BC11" s="137"/>
      <c r="BD11" s="137" t="s">
        <v>20</v>
      </c>
      <c r="BE11" s="137"/>
      <c r="BF11" s="135"/>
      <c r="BG11" s="135"/>
      <c r="BH11" s="137"/>
      <c r="BI11" s="135"/>
      <c r="BJ11" s="135"/>
      <c r="BK11" s="157" t="s">
        <v>3757</v>
      </c>
      <c r="BL11" s="135"/>
      <c r="BM11" s="137" t="s">
        <v>3758</v>
      </c>
      <c r="BN11" s="135" t="s">
        <v>3757</v>
      </c>
      <c r="BO11" s="135" t="s">
        <v>3759</v>
      </c>
      <c r="BP11" s="135"/>
      <c r="BQ11" s="135"/>
      <c r="BR11" s="135"/>
      <c r="BS11" s="135"/>
      <c r="BT11" s="135"/>
      <c r="BU11" s="135"/>
      <c r="BV11" s="135"/>
      <c r="BW11" s="135"/>
      <c r="BX11" s="137"/>
      <c r="BY11" s="137"/>
      <c r="BZ11" s="135"/>
      <c r="CA11" s="135"/>
      <c r="CB11" s="135"/>
      <c r="CC11" s="135"/>
      <c r="CD11" s="135"/>
      <c r="CE11" s="135"/>
      <c r="CF11" s="135"/>
      <c r="CG11" s="135"/>
    </row>
    <row r="12" ht="174.75" customHeight="1">
      <c r="A12" s="127" t="s">
        <v>4096</v>
      </c>
      <c r="B12" s="128" t="s">
        <v>4097</v>
      </c>
      <c r="C12" s="129">
        <v>2025.0</v>
      </c>
      <c r="D12" s="130" t="s">
        <v>1589</v>
      </c>
      <c r="E12" s="130" t="s">
        <v>1373</v>
      </c>
      <c r="F12" s="130" t="s">
        <v>1590</v>
      </c>
      <c r="G12" s="127" t="s">
        <v>19</v>
      </c>
      <c r="H12" s="127" t="s">
        <v>27</v>
      </c>
      <c r="I12" s="132" t="s">
        <v>3765</v>
      </c>
      <c r="J12" s="127" t="s">
        <v>3359</v>
      </c>
      <c r="K12" s="132" t="s">
        <v>3412</v>
      </c>
      <c r="L12" s="127" t="s">
        <v>3962</v>
      </c>
      <c r="M12" s="132" t="s">
        <v>4098</v>
      </c>
      <c r="N12" s="132" t="s">
        <v>4099</v>
      </c>
      <c r="O12" s="127" t="s">
        <v>4100</v>
      </c>
      <c r="P12" s="127" t="s">
        <v>3962</v>
      </c>
      <c r="Q12" s="127" t="s">
        <v>3951</v>
      </c>
      <c r="R12" s="127" t="s">
        <v>4101</v>
      </c>
      <c r="S12" s="127" t="s">
        <v>4102</v>
      </c>
      <c r="T12" s="127" t="s">
        <v>4103</v>
      </c>
      <c r="U12" s="127" t="s">
        <v>3744</v>
      </c>
      <c r="V12" s="127" t="s">
        <v>4104</v>
      </c>
      <c r="W12" s="127" t="s">
        <v>3491</v>
      </c>
      <c r="X12" s="127" t="s">
        <v>3405</v>
      </c>
      <c r="Y12" s="132" t="s">
        <v>4105</v>
      </c>
      <c r="Z12" s="127" t="s">
        <v>4106</v>
      </c>
      <c r="AA12" s="127" t="s">
        <v>4107</v>
      </c>
      <c r="AB12" s="132" t="s">
        <v>3362</v>
      </c>
      <c r="AC12" s="132" t="s">
        <v>27</v>
      </c>
      <c r="AD12" s="132" t="s">
        <v>4108</v>
      </c>
      <c r="AE12" s="132" t="s">
        <v>4109</v>
      </c>
      <c r="AF12" s="158">
        <v>46276.0</v>
      </c>
      <c r="AG12" s="132" t="s">
        <v>4110</v>
      </c>
      <c r="AH12" s="132" t="s">
        <v>27</v>
      </c>
      <c r="AI12" s="132" t="s">
        <v>4111</v>
      </c>
      <c r="AJ12" s="132" t="s">
        <v>4112</v>
      </c>
      <c r="AK12" s="132" t="s">
        <v>3512</v>
      </c>
      <c r="AL12" s="132" t="s">
        <v>27</v>
      </c>
      <c r="AM12" s="134" t="s">
        <v>3787</v>
      </c>
      <c r="AN12" s="127" t="s">
        <v>3962</v>
      </c>
      <c r="AO12" s="130" t="s">
        <v>4113</v>
      </c>
      <c r="AP12" s="135"/>
      <c r="AQ12" s="137"/>
      <c r="AR12" s="153"/>
      <c r="AS12" s="137" t="s">
        <v>3362</v>
      </c>
      <c r="AT12" s="135" t="s">
        <v>3780</v>
      </c>
      <c r="AU12" s="135"/>
      <c r="AV12" s="135"/>
      <c r="AW12" s="159">
        <v>46335.0</v>
      </c>
      <c r="AX12" s="135" t="s">
        <v>3781</v>
      </c>
      <c r="AY12" s="135" t="s">
        <v>3782</v>
      </c>
      <c r="AZ12" s="135" t="s">
        <v>3783</v>
      </c>
      <c r="BA12" s="135" t="s">
        <v>3784</v>
      </c>
      <c r="BB12" s="135" t="s">
        <v>3785</v>
      </c>
      <c r="BC12" s="137" t="s">
        <v>3786</v>
      </c>
      <c r="BD12" s="137" t="s">
        <v>27</v>
      </c>
      <c r="BE12" s="137" t="s">
        <v>27</v>
      </c>
      <c r="BF12" s="135" t="s">
        <v>3787</v>
      </c>
      <c r="BG12" s="135" t="s">
        <v>3788</v>
      </c>
      <c r="BH12" s="137" t="s">
        <v>3789</v>
      </c>
      <c r="BI12" s="135" t="s">
        <v>3790</v>
      </c>
      <c r="BJ12" s="135" t="s">
        <v>3791</v>
      </c>
      <c r="BK12" s="135"/>
      <c r="BL12" s="135" t="s">
        <v>3372</v>
      </c>
      <c r="BM12" s="137" t="s">
        <v>3770</v>
      </c>
      <c r="BN12" s="135" t="s">
        <v>3792</v>
      </c>
      <c r="BO12" s="135" t="s">
        <v>3793</v>
      </c>
      <c r="BP12" s="135" t="s">
        <v>3794</v>
      </c>
      <c r="BQ12" s="135"/>
      <c r="BR12" s="135"/>
      <c r="BS12" s="135" t="s">
        <v>27</v>
      </c>
      <c r="BT12" s="135" t="s">
        <v>3795</v>
      </c>
      <c r="BU12" s="135"/>
      <c r="BV12" s="135"/>
      <c r="BW12" s="135" t="s">
        <v>3795</v>
      </c>
      <c r="BX12" s="137"/>
      <c r="BY12" s="137"/>
      <c r="BZ12" s="135"/>
      <c r="CA12" s="135"/>
      <c r="CB12" s="135"/>
      <c r="CC12" s="135"/>
      <c r="CD12" s="135"/>
      <c r="CE12" s="135"/>
      <c r="CF12" s="135" t="s">
        <v>4114</v>
      </c>
      <c r="CG12" s="135"/>
    </row>
    <row r="13" ht="106.5" customHeight="1">
      <c r="A13" s="146" t="s">
        <v>4115</v>
      </c>
      <c r="B13" s="139" t="s">
        <v>4116</v>
      </c>
      <c r="C13" s="147">
        <v>2022.0</v>
      </c>
      <c r="D13" s="148" t="s">
        <v>1627</v>
      </c>
      <c r="E13" s="148" t="s">
        <v>1327</v>
      </c>
      <c r="F13" s="148" t="s">
        <v>1628</v>
      </c>
      <c r="G13" s="146" t="s">
        <v>19</v>
      </c>
      <c r="H13" s="146" t="s">
        <v>27</v>
      </c>
      <c r="I13" s="149" t="s">
        <v>3358</v>
      </c>
      <c r="J13" s="146" t="s">
        <v>3359</v>
      </c>
      <c r="K13" s="146" t="s">
        <v>3797</v>
      </c>
      <c r="L13" s="149" t="s">
        <v>3432</v>
      </c>
      <c r="M13" s="146" t="s">
        <v>4117</v>
      </c>
      <c r="N13" s="149" t="s">
        <v>4118</v>
      </c>
      <c r="O13" s="149" t="s">
        <v>4119</v>
      </c>
      <c r="P13" s="146" t="s">
        <v>4120</v>
      </c>
      <c r="Q13" s="146" t="s">
        <v>3951</v>
      </c>
      <c r="R13" s="146" t="s">
        <v>3388</v>
      </c>
      <c r="S13" s="146" t="s">
        <v>4121</v>
      </c>
      <c r="T13" s="149" t="s">
        <v>4122</v>
      </c>
      <c r="U13" s="146" t="s">
        <v>4123</v>
      </c>
      <c r="V13" s="146" t="s">
        <v>4124</v>
      </c>
      <c r="W13" s="146" t="s">
        <v>4125</v>
      </c>
      <c r="X13" s="149" t="s">
        <v>4126</v>
      </c>
      <c r="Y13" s="146" t="s">
        <v>4127</v>
      </c>
      <c r="Z13" s="149" t="s">
        <v>4128</v>
      </c>
      <c r="AA13" s="149" t="s">
        <v>27</v>
      </c>
      <c r="AB13" s="146" t="s">
        <v>4129</v>
      </c>
      <c r="AC13" s="146" t="s">
        <v>27</v>
      </c>
      <c r="AD13" s="149" t="s">
        <v>4130</v>
      </c>
      <c r="AE13" s="149" t="s">
        <v>4131</v>
      </c>
      <c r="AF13" s="146" t="s">
        <v>3811</v>
      </c>
      <c r="AG13" s="149" t="s">
        <v>4132</v>
      </c>
      <c r="AH13" s="149" t="s">
        <v>27</v>
      </c>
      <c r="AI13" s="149" t="s">
        <v>4133</v>
      </c>
      <c r="AJ13" s="149" t="s">
        <v>4134</v>
      </c>
      <c r="AK13" s="149" t="s">
        <v>3512</v>
      </c>
      <c r="AL13" s="149" t="s">
        <v>3512</v>
      </c>
      <c r="AM13" s="150" t="s">
        <v>4135</v>
      </c>
      <c r="AN13" s="146" t="s">
        <v>4136</v>
      </c>
      <c r="AO13" s="148" t="s">
        <v>4137</v>
      </c>
      <c r="AP13" s="135"/>
      <c r="AQ13" s="137"/>
      <c r="AR13" s="137" t="s">
        <v>27</v>
      </c>
      <c r="AS13" s="137" t="s">
        <v>3763</v>
      </c>
      <c r="AT13" s="135" t="s">
        <v>3809</v>
      </c>
      <c r="AU13" s="135"/>
      <c r="AV13" s="135" t="s">
        <v>3810</v>
      </c>
      <c r="AW13" s="135" t="s">
        <v>3811</v>
      </c>
      <c r="AX13" s="135" t="s">
        <v>3812</v>
      </c>
      <c r="AY13" s="135" t="s">
        <v>3813</v>
      </c>
      <c r="AZ13" s="135"/>
      <c r="BA13" s="135" t="s">
        <v>3814</v>
      </c>
      <c r="BB13" s="135" t="s">
        <v>3815</v>
      </c>
      <c r="BC13" s="137">
        <v>15.0</v>
      </c>
      <c r="BD13" s="137" t="s">
        <v>20</v>
      </c>
      <c r="BE13" s="137"/>
      <c r="BF13" s="135"/>
      <c r="BG13" s="135"/>
      <c r="BH13" s="137"/>
      <c r="BI13" s="135"/>
      <c r="BJ13" s="135"/>
      <c r="BK13" s="135"/>
      <c r="BL13" s="135"/>
      <c r="BM13" s="137"/>
      <c r="BN13" s="135" t="s">
        <v>3816</v>
      </c>
      <c r="BO13" s="135"/>
      <c r="BP13" s="135"/>
      <c r="BQ13" s="135"/>
      <c r="BR13" s="135"/>
      <c r="BS13" s="135"/>
      <c r="BT13" s="135"/>
      <c r="BU13" s="135"/>
      <c r="BV13" s="135"/>
      <c r="BW13" s="135"/>
      <c r="BX13" s="137"/>
      <c r="BY13" s="137"/>
      <c r="BZ13" s="135"/>
      <c r="CA13" s="135"/>
      <c r="CB13" s="135"/>
      <c r="CC13" s="135"/>
      <c r="CD13" s="135"/>
      <c r="CE13" s="135"/>
      <c r="CF13" s="135"/>
      <c r="CG13" s="135"/>
    </row>
    <row r="14">
      <c r="A14" s="127" t="s">
        <v>4138</v>
      </c>
      <c r="B14" s="139" t="s">
        <v>4139</v>
      </c>
      <c r="C14" s="129">
        <v>2018.0</v>
      </c>
      <c r="D14" s="130" t="s">
        <v>1783</v>
      </c>
      <c r="E14" s="130" t="s">
        <v>1784</v>
      </c>
      <c r="F14" s="130" t="s">
        <v>1785</v>
      </c>
      <c r="G14" s="127" t="s">
        <v>19</v>
      </c>
      <c r="H14" s="127" t="s">
        <v>27</v>
      </c>
      <c r="I14" s="127" t="s">
        <v>3358</v>
      </c>
      <c r="J14" s="127" t="s">
        <v>3359</v>
      </c>
      <c r="K14" s="127" t="s">
        <v>3962</v>
      </c>
      <c r="L14" s="127" t="s">
        <v>4140</v>
      </c>
      <c r="M14" s="127" t="s">
        <v>3825</v>
      </c>
      <c r="N14" s="127" t="s">
        <v>4141</v>
      </c>
      <c r="O14" s="127" t="s">
        <v>3382</v>
      </c>
      <c r="P14" s="127" t="s">
        <v>4142</v>
      </c>
      <c r="Q14" s="127" t="s">
        <v>3951</v>
      </c>
      <c r="R14" s="127" t="s">
        <v>3388</v>
      </c>
      <c r="S14" s="127" t="s">
        <v>3389</v>
      </c>
      <c r="T14" s="127" t="s">
        <v>4143</v>
      </c>
      <c r="U14" s="127" t="s">
        <v>4144</v>
      </c>
      <c r="V14" s="127" t="s">
        <v>4145</v>
      </c>
      <c r="W14" s="127" t="s">
        <v>3482</v>
      </c>
      <c r="X14" s="132" t="s">
        <v>4146</v>
      </c>
      <c r="Y14" s="127" t="s">
        <v>4147</v>
      </c>
      <c r="Z14" s="132" t="s">
        <v>4148</v>
      </c>
      <c r="AA14" s="132" t="s">
        <v>3512</v>
      </c>
      <c r="AB14" s="127" t="s">
        <v>3832</v>
      </c>
      <c r="AC14" s="127" t="s">
        <v>27</v>
      </c>
      <c r="AD14" s="127" t="s">
        <v>4149</v>
      </c>
      <c r="AE14" s="127" t="s">
        <v>3833</v>
      </c>
      <c r="AF14" s="132" t="s">
        <v>4150</v>
      </c>
      <c r="AG14" s="132" t="s">
        <v>4151</v>
      </c>
      <c r="AH14" s="132" t="s">
        <v>3512</v>
      </c>
      <c r="AI14" s="132" t="s">
        <v>4152</v>
      </c>
      <c r="AJ14" s="132" t="s">
        <v>4153</v>
      </c>
      <c r="AK14" s="132" t="s">
        <v>3512</v>
      </c>
      <c r="AL14" s="132" t="s">
        <v>3512</v>
      </c>
      <c r="AM14" s="134" t="s">
        <v>4154</v>
      </c>
      <c r="AN14" s="132" t="s">
        <v>4155</v>
      </c>
      <c r="AO14" s="134" t="s">
        <v>4156</v>
      </c>
      <c r="AP14" s="152"/>
      <c r="AQ14" s="153"/>
      <c r="AR14" s="137" t="s">
        <v>3512</v>
      </c>
      <c r="AS14" s="160" t="s">
        <v>3832</v>
      </c>
      <c r="AT14" s="152"/>
      <c r="AU14" s="152"/>
      <c r="AV14" s="152"/>
      <c r="AW14" s="135" t="s">
        <v>3819</v>
      </c>
      <c r="AX14" s="160" t="s">
        <v>3833</v>
      </c>
      <c r="AY14" s="135" t="s">
        <v>3834</v>
      </c>
      <c r="AZ14" s="152"/>
      <c r="BA14" s="135" t="s">
        <v>3835</v>
      </c>
      <c r="BB14" s="135" t="s">
        <v>3836</v>
      </c>
      <c r="BC14" s="137" t="s">
        <v>3837</v>
      </c>
      <c r="BD14" s="153"/>
      <c r="BE14" s="137" t="s">
        <v>27</v>
      </c>
      <c r="BF14" s="135" t="s">
        <v>3838</v>
      </c>
      <c r="BG14" s="152"/>
      <c r="BH14" s="153"/>
      <c r="BI14" s="152"/>
      <c r="BJ14" s="152"/>
      <c r="BK14" s="135" t="s">
        <v>3839</v>
      </c>
      <c r="BL14" s="135" t="s">
        <v>27</v>
      </c>
      <c r="BM14" s="153"/>
      <c r="BN14" s="152"/>
      <c r="BO14" s="152"/>
      <c r="BP14" s="152"/>
      <c r="BQ14" s="152"/>
      <c r="BR14" s="152"/>
      <c r="BS14" s="152"/>
      <c r="BT14" s="152"/>
      <c r="BU14" s="152"/>
      <c r="BV14" s="152"/>
      <c r="BW14" s="152"/>
      <c r="BX14" s="153"/>
      <c r="BY14" s="153"/>
      <c r="BZ14" s="152"/>
      <c r="CA14" s="152"/>
      <c r="CB14" s="152"/>
      <c r="CC14" s="152"/>
      <c r="CD14" s="152"/>
      <c r="CE14" s="152"/>
      <c r="CF14" s="135" t="s">
        <v>3840</v>
      </c>
      <c r="CG14" s="152"/>
    </row>
    <row r="15" ht="87.75" customHeight="1">
      <c r="A15" s="146" t="s">
        <v>4157</v>
      </c>
      <c r="B15" s="139" t="s">
        <v>4158</v>
      </c>
      <c r="C15" s="147">
        <v>2022.0</v>
      </c>
      <c r="D15" s="148" t="s">
        <v>2050</v>
      </c>
      <c r="E15" s="148" t="s">
        <v>1373</v>
      </c>
      <c r="F15" s="148" t="s">
        <v>2051</v>
      </c>
      <c r="G15" s="146" t="s">
        <v>19</v>
      </c>
      <c r="H15" s="146" t="s">
        <v>27</v>
      </c>
      <c r="I15" s="146" t="s">
        <v>3358</v>
      </c>
      <c r="J15" s="146" t="s">
        <v>3359</v>
      </c>
      <c r="K15" s="146" t="s">
        <v>3962</v>
      </c>
      <c r="L15" s="146" t="s">
        <v>3962</v>
      </c>
      <c r="M15" s="146" t="s">
        <v>4159</v>
      </c>
      <c r="N15" s="146" t="s">
        <v>4160</v>
      </c>
      <c r="O15" s="146" t="s">
        <v>4161</v>
      </c>
      <c r="P15" s="146" t="s">
        <v>4162</v>
      </c>
      <c r="Q15" s="146" t="s">
        <v>3962</v>
      </c>
      <c r="R15" s="146" t="s">
        <v>3962</v>
      </c>
      <c r="S15" s="146" t="s">
        <v>3962</v>
      </c>
      <c r="T15" s="149" t="s">
        <v>4143</v>
      </c>
      <c r="U15" s="146" t="s">
        <v>3962</v>
      </c>
      <c r="V15" s="146" t="s">
        <v>4163</v>
      </c>
      <c r="W15" s="146" t="s">
        <v>3962</v>
      </c>
      <c r="X15" s="149" t="s">
        <v>4164</v>
      </c>
      <c r="Y15" s="149" t="s">
        <v>4147</v>
      </c>
      <c r="Z15" s="149" t="s">
        <v>4059</v>
      </c>
      <c r="AA15" s="149" t="s">
        <v>27</v>
      </c>
      <c r="AB15" s="149" t="s">
        <v>3848</v>
      </c>
      <c r="AC15" s="149" t="s">
        <v>27</v>
      </c>
      <c r="AD15" s="149" t="s">
        <v>4165</v>
      </c>
      <c r="AE15" s="149" t="s">
        <v>4166</v>
      </c>
      <c r="AF15" s="149" t="s">
        <v>4167</v>
      </c>
      <c r="AG15" s="149" t="s">
        <v>4168</v>
      </c>
      <c r="AH15" s="149" t="s">
        <v>3378</v>
      </c>
      <c r="AI15" s="149" t="s">
        <v>3378</v>
      </c>
      <c r="AJ15" s="154"/>
      <c r="AK15" s="149" t="s">
        <v>3512</v>
      </c>
      <c r="AL15" s="149" t="s">
        <v>3512</v>
      </c>
      <c r="AM15" s="150" t="s">
        <v>3378</v>
      </c>
      <c r="AN15" s="146" t="s">
        <v>3962</v>
      </c>
      <c r="AO15" s="150" t="s">
        <v>4169</v>
      </c>
      <c r="AP15" s="152"/>
      <c r="AQ15" s="153"/>
      <c r="AR15" s="137" t="s">
        <v>27</v>
      </c>
      <c r="AS15" s="161" t="s">
        <v>3848</v>
      </c>
      <c r="AT15" s="152"/>
      <c r="AU15" s="135" t="s">
        <v>3849</v>
      </c>
      <c r="AV15" s="135" t="s">
        <v>3850</v>
      </c>
      <c r="AW15" s="152"/>
      <c r="AX15" s="152" t="str">
        <f>IFERROR(__xludf.DUMMYFUNCTION("AI(""Fill an appropriate value for this cell based on the table context"")"),"Yes (NetMHCpan 4.0)")</f>
        <v>Yes (NetMHCpan 4.0)</v>
      </c>
      <c r="AY15" s="152"/>
      <c r="AZ15" s="135" t="s">
        <v>3851</v>
      </c>
      <c r="BA15" s="152"/>
      <c r="BB15" s="152"/>
      <c r="BC15" s="153"/>
      <c r="BD15" s="153"/>
      <c r="BE15" s="153"/>
      <c r="BF15" s="152"/>
      <c r="BG15" s="152"/>
      <c r="BH15" s="153"/>
      <c r="BI15" s="152"/>
      <c r="BJ15" s="152"/>
      <c r="BK15" s="152"/>
      <c r="BL15" s="152"/>
      <c r="BM15" s="153"/>
      <c r="BN15" s="152"/>
      <c r="BO15" s="152"/>
      <c r="BP15" s="152"/>
      <c r="BQ15" s="152"/>
      <c r="BR15" s="152"/>
      <c r="BS15" s="152"/>
      <c r="BT15" s="152"/>
      <c r="BU15" s="152"/>
      <c r="BV15" s="152"/>
      <c r="BW15" s="152"/>
      <c r="BX15" s="153"/>
      <c r="BY15" s="153"/>
      <c r="BZ15" s="152"/>
      <c r="CA15" s="152"/>
      <c r="CB15" s="152"/>
      <c r="CC15" s="152"/>
      <c r="CD15" s="152"/>
      <c r="CE15" s="152"/>
      <c r="CF15" s="135" t="s">
        <v>3852</v>
      </c>
      <c r="CG15" s="152"/>
    </row>
    <row r="16">
      <c r="A16" s="127" t="s">
        <v>4170</v>
      </c>
      <c r="B16" s="128" t="s">
        <v>4171</v>
      </c>
      <c r="C16" s="129">
        <v>2021.0</v>
      </c>
      <c r="D16" s="130" t="s">
        <v>2231</v>
      </c>
      <c r="E16" s="130" t="s">
        <v>2232</v>
      </c>
      <c r="F16" s="130" t="s">
        <v>2233</v>
      </c>
      <c r="G16" s="127" t="s">
        <v>19</v>
      </c>
      <c r="H16" s="127" t="s">
        <v>27</v>
      </c>
      <c r="I16" s="127" t="s">
        <v>4172</v>
      </c>
      <c r="J16" s="127" t="s">
        <v>3359</v>
      </c>
      <c r="K16" s="127" t="s">
        <v>3962</v>
      </c>
      <c r="L16" s="127" t="s">
        <v>3432</v>
      </c>
      <c r="M16" s="127" t="s">
        <v>4173</v>
      </c>
      <c r="N16" s="127" t="s">
        <v>4174</v>
      </c>
      <c r="O16" s="127" t="s">
        <v>4175</v>
      </c>
      <c r="P16" s="127" t="s">
        <v>4176</v>
      </c>
      <c r="Q16" s="127" t="s">
        <v>4177</v>
      </c>
      <c r="R16" s="127" t="s">
        <v>4087</v>
      </c>
      <c r="S16" s="127" t="s">
        <v>4178</v>
      </c>
      <c r="T16" s="127" t="s">
        <v>4179</v>
      </c>
      <c r="U16" s="127" t="s">
        <v>4180</v>
      </c>
      <c r="V16" s="127" t="s">
        <v>4181</v>
      </c>
      <c r="W16" s="127" t="s">
        <v>3861</v>
      </c>
      <c r="X16" s="127" t="s">
        <v>4182</v>
      </c>
      <c r="Y16" s="127" t="s">
        <v>4183</v>
      </c>
      <c r="Z16" s="132" t="s">
        <v>4184</v>
      </c>
      <c r="AA16" s="127" t="s">
        <v>27</v>
      </c>
      <c r="AB16" s="127" t="s">
        <v>4185</v>
      </c>
      <c r="AC16" s="127" t="s">
        <v>27</v>
      </c>
      <c r="AD16" s="132" t="s">
        <v>4186</v>
      </c>
      <c r="AE16" s="132" t="s">
        <v>4187</v>
      </c>
      <c r="AF16" s="132" t="s">
        <v>3418</v>
      </c>
      <c r="AG16" s="132" t="s">
        <v>4188</v>
      </c>
      <c r="AH16" s="132" t="s">
        <v>3378</v>
      </c>
      <c r="AI16" s="132" t="s">
        <v>3378</v>
      </c>
      <c r="AJ16" s="132" t="s">
        <v>3378</v>
      </c>
      <c r="AK16" s="132" t="s">
        <v>3512</v>
      </c>
      <c r="AL16" s="132" t="s">
        <v>27</v>
      </c>
      <c r="AM16" s="134" t="s">
        <v>4189</v>
      </c>
      <c r="AN16" s="132" t="s">
        <v>3962</v>
      </c>
      <c r="AO16" s="134" t="s">
        <v>4190</v>
      </c>
      <c r="AP16" s="152"/>
      <c r="AQ16" s="153"/>
      <c r="AR16" s="153"/>
      <c r="AS16" s="153"/>
      <c r="AT16" s="152"/>
      <c r="AU16" s="152"/>
      <c r="AV16" s="152"/>
      <c r="AW16" s="152"/>
      <c r="AX16" s="152" t="str">
        <f>IFERROR(__xludf.DUMMYFUNCTION("AI(""Fill an appropriate value for this cell based on the table context"")"),"Yes (NetMHCpan 4.0)")</f>
        <v>Yes (NetMHCpan 4.0)</v>
      </c>
      <c r="AY16" s="152"/>
      <c r="AZ16" s="152"/>
      <c r="BA16" s="152"/>
      <c r="BB16" s="152"/>
      <c r="BC16" s="153"/>
      <c r="BD16" s="153"/>
      <c r="BE16" s="153"/>
      <c r="BF16" s="152"/>
      <c r="BG16" s="152"/>
      <c r="BH16" s="153"/>
      <c r="BI16" s="152"/>
      <c r="BJ16" s="152"/>
      <c r="BK16" s="152"/>
      <c r="BL16" s="135" t="s">
        <v>3863</v>
      </c>
      <c r="BM16" s="153"/>
      <c r="BN16" s="152"/>
      <c r="BO16" s="152"/>
      <c r="BP16" s="152"/>
      <c r="BQ16" s="152"/>
      <c r="BR16" s="152"/>
      <c r="BS16" s="152"/>
      <c r="BT16" s="152"/>
      <c r="BU16" s="152"/>
      <c r="BV16" s="152"/>
      <c r="BW16" s="152"/>
      <c r="BX16" s="153"/>
      <c r="BY16" s="153"/>
      <c r="BZ16" s="152"/>
      <c r="CA16" s="152"/>
      <c r="CB16" s="152"/>
      <c r="CC16" s="152"/>
      <c r="CD16" s="152"/>
      <c r="CE16" s="152"/>
      <c r="CF16" s="152"/>
      <c r="CG16" s="152"/>
    </row>
    <row r="17">
      <c r="A17" s="146" t="s">
        <v>4191</v>
      </c>
      <c r="B17" s="139" t="s">
        <v>4192</v>
      </c>
      <c r="C17" s="147">
        <v>2019.0</v>
      </c>
      <c r="D17" s="148" t="s">
        <v>2263</v>
      </c>
      <c r="E17" s="148" t="s">
        <v>1327</v>
      </c>
      <c r="F17" s="148" t="s">
        <v>2264</v>
      </c>
      <c r="G17" s="146" t="s">
        <v>19</v>
      </c>
      <c r="H17" s="146" t="s">
        <v>27</v>
      </c>
      <c r="I17" s="146" t="s">
        <v>3358</v>
      </c>
      <c r="J17" s="146" t="s">
        <v>3359</v>
      </c>
      <c r="K17" s="146" t="s">
        <v>3962</v>
      </c>
      <c r="L17" s="146" t="s">
        <v>3962</v>
      </c>
      <c r="M17" s="146" t="s">
        <v>3363</v>
      </c>
      <c r="N17" s="146" t="s">
        <v>4193</v>
      </c>
      <c r="O17" s="146" t="s">
        <v>3868</v>
      </c>
      <c r="P17" s="146" t="s">
        <v>4194</v>
      </c>
      <c r="Q17" s="146" t="s">
        <v>3951</v>
      </c>
      <c r="R17" s="146" t="s">
        <v>4195</v>
      </c>
      <c r="S17" s="146" t="s">
        <v>3962</v>
      </c>
      <c r="T17" s="149" t="s">
        <v>4196</v>
      </c>
      <c r="U17" s="149" t="s">
        <v>4197</v>
      </c>
      <c r="V17" s="149" t="s">
        <v>4198</v>
      </c>
      <c r="W17" s="149" t="s">
        <v>4199</v>
      </c>
      <c r="X17" s="149" t="s">
        <v>4200</v>
      </c>
      <c r="Y17" s="146" t="s">
        <v>4201</v>
      </c>
      <c r="Z17" s="149" t="s">
        <v>4202</v>
      </c>
      <c r="AA17" s="149" t="s">
        <v>3512</v>
      </c>
      <c r="AB17" s="146" t="s">
        <v>3873</v>
      </c>
      <c r="AC17" s="146" t="s">
        <v>27</v>
      </c>
      <c r="AD17" s="149" t="s">
        <v>3956</v>
      </c>
      <c r="AE17" s="149" t="s">
        <v>3877</v>
      </c>
      <c r="AF17" s="149" t="s">
        <v>3876</v>
      </c>
      <c r="AG17" s="149" t="s">
        <v>4203</v>
      </c>
      <c r="AH17" s="149" t="s">
        <v>3378</v>
      </c>
      <c r="AI17" s="149" t="s">
        <v>3378</v>
      </c>
      <c r="AJ17" s="162"/>
      <c r="AK17" s="149" t="s">
        <v>3512</v>
      </c>
      <c r="AL17" s="149" t="s">
        <v>27</v>
      </c>
      <c r="AM17" s="150" t="s">
        <v>4204</v>
      </c>
      <c r="AN17" s="149" t="s">
        <v>3962</v>
      </c>
      <c r="AO17" s="150" t="s">
        <v>4205</v>
      </c>
      <c r="AP17" s="152"/>
      <c r="AQ17" s="153"/>
      <c r="AR17" s="137" t="s">
        <v>3512</v>
      </c>
      <c r="AS17" s="137" t="s">
        <v>3873</v>
      </c>
      <c r="AT17" s="135" t="s">
        <v>3874</v>
      </c>
      <c r="AU17" s="135" t="s">
        <v>3875</v>
      </c>
      <c r="AV17" s="152"/>
      <c r="AW17" s="135" t="s">
        <v>3876</v>
      </c>
      <c r="AX17" s="135" t="s">
        <v>3877</v>
      </c>
      <c r="AY17" s="135" t="s">
        <v>3878</v>
      </c>
      <c r="AZ17" s="135" t="s">
        <v>3878</v>
      </c>
      <c r="BA17" s="152"/>
      <c r="BB17" s="152"/>
      <c r="BC17" s="153"/>
      <c r="BD17" s="153"/>
      <c r="BE17" s="153"/>
      <c r="BF17" s="152"/>
      <c r="BG17" s="152"/>
      <c r="BH17" s="153"/>
      <c r="BI17" s="152"/>
      <c r="BJ17" s="152"/>
      <c r="BK17" s="152"/>
      <c r="BL17" s="135" t="s">
        <v>3879</v>
      </c>
      <c r="BM17" s="153"/>
      <c r="BN17" s="152"/>
      <c r="BO17" s="135" t="s">
        <v>3880</v>
      </c>
      <c r="BP17" s="152"/>
      <c r="BQ17" s="152"/>
      <c r="BR17" s="152"/>
      <c r="BS17" s="152"/>
      <c r="BT17" s="152"/>
      <c r="BU17" s="152"/>
      <c r="BV17" s="152"/>
      <c r="BW17" s="152"/>
      <c r="BX17" s="153"/>
      <c r="BY17" s="153"/>
      <c r="BZ17" s="152"/>
      <c r="CA17" s="152"/>
      <c r="CB17" s="152"/>
      <c r="CC17" s="152"/>
      <c r="CD17" s="152"/>
      <c r="CE17" s="152"/>
      <c r="CF17" s="152"/>
      <c r="CG17" s="152"/>
    </row>
    <row r="18">
      <c r="A18" s="127" t="s">
        <v>4206</v>
      </c>
      <c r="B18" s="139" t="s">
        <v>4207</v>
      </c>
      <c r="C18" s="129">
        <v>2019.0</v>
      </c>
      <c r="D18" s="130" t="s">
        <v>2406</v>
      </c>
      <c r="E18" s="130" t="s">
        <v>2407</v>
      </c>
      <c r="F18" s="130" t="s">
        <v>2408</v>
      </c>
      <c r="G18" s="127" t="s">
        <v>19</v>
      </c>
      <c r="H18" s="127" t="s">
        <v>27</v>
      </c>
      <c r="I18" s="132" t="s">
        <v>3358</v>
      </c>
      <c r="J18" s="127" t="s">
        <v>3359</v>
      </c>
      <c r="K18" s="132" t="s">
        <v>3748</v>
      </c>
      <c r="L18" s="132" t="s">
        <v>3380</v>
      </c>
      <c r="M18" s="132" t="s">
        <v>4208</v>
      </c>
      <c r="N18" s="132" t="s">
        <v>4209</v>
      </c>
      <c r="O18" s="127" t="s">
        <v>4210</v>
      </c>
      <c r="P18" s="127" t="s">
        <v>4211</v>
      </c>
      <c r="Q18" s="127" t="s">
        <v>4212</v>
      </c>
      <c r="R18" s="127" t="s">
        <v>4213</v>
      </c>
      <c r="S18" s="127" t="s">
        <v>3389</v>
      </c>
      <c r="T18" s="132" t="s">
        <v>4214</v>
      </c>
      <c r="U18" s="132" t="s">
        <v>4215</v>
      </c>
      <c r="V18" s="127" t="s">
        <v>4216</v>
      </c>
      <c r="W18" s="127" t="s">
        <v>3745</v>
      </c>
      <c r="X18" s="132" t="s">
        <v>3370</v>
      </c>
      <c r="Y18" s="132" t="s">
        <v>4217</v>
      </c>
      <c r="Z18" s="132" t="s">
        <v>4218</v>
      </c>
      <c r="AA18" s="132" t="s">
        <v>27</v>
      </c>
      <c r="AB18" s="132" t="s">
        <v>3362</v>
      </c>
      <c r="AC18" s="132" t="s">
        <v>27</v>
      </c>
      <c r="AD18" s="132" t="s">
        <v>4219</v>
      </c>
      <c r="AE18" s="132" t="s">
        <v>4220</v>
      </c>
      <c r="AF18" s="127" t="s">
        <v>4221</v>
      </c>
      <c r="AG18" s="132" t="s">
        <v>4222</v>
      </c>
      <c r="AH18" s="132" t="s">
        <v>20</v>
      </c>
      <c r="AI18" s="132" t="s">
        <v>3378</v>
      </c>
      <c r="AJ18" s="132" t="s">
        <v>3378</v>
      </c>
      <c r="AK18" s="132" t="s">
        <v>27</v>
      </c>
      <c r="AL18" s="132" t="s">
        <v>27</v>
      </c>
      <c r="AM18" s="134" t="s">
        <v>4223</v>
      </c>
      <c r="AN18" s="127" t="s">
        <v>3962</v>
      </c>
      <c r="AO18" s="130" t="s">
        <v>4224</v>
      </c>
      <c r="AP18" s="135"/>
      <c r="AQ18" s="137"/>
      <c r="AR18" s="137" t="s">
        <v>27</v>
      </c>
      <c r="AS18" s="137" t="s">
        <v>3362</v>
      </c>
      <c r="AT18" s="135" t="s">
        <v>3362</v>
      </c>
      <c r="AU18" s="135"/>
      <c r="AV18" s="135"/>
      <c r="AW18" s="135" t="s">
        <v>3362</v>
      </c>
      <c r="AX18" s="135" t="s">
        <v>3887</v>
      </c>
      <c r="AY18" s="135"/>
      <c r="AZ18" s="135"/>
      <c r="BA18" s="135" t="s">
        <v>27</v>
      </c>
      <c r="BB18" s="135"/>
      <c r="BC18" s="137"/>
      <c r="BD18" s="137" t="s">
        <v>20</v>
      </c>
      <c r="BE18" s="137"/>
      <c r="BF18" s="135"/>
      <c r="BG18" s="135"/>
      <c r="BH18" s="137"/>
      <c r="BI18" s="135"/>
      <c r="BJ18" s="135"/>
      <c r="BK18" s="135"/>
      <c r="BL18" s="135"/>
      <c r="BM18" s="137"/>
      <c r="BN18" s="135"/>
      <c r="BO18" s="135" t="s">
        <v>3889</v>
      </c>
      <c r="BP18" s="135"/>
      <c r="BQ18" s="135"/>
      <c r="BR18" s="135" t="s">
        <v>3890</v>
      </c>
      <c r="BS18" s="135"/>
      <c r="BT18" s="135"/>
      <c r="BU18" s="135"/>
      <c r="BV18" s="135"/>
      <c r="BW18" s="135"/>
      <c r="BX18" s="137"/>
      <c r="BY18" s="137"/>
      <c r="BZ18" s="135"/>
      <c r="CA18" s="135"/>
      <c r="CB18" s="135"/>
      <c r="CC18" s="135"/>
      <c r="CD18" s="135"/>
      <c r="CE18" s="135"/>
      <c r="CF18" s="135"/>
      <c r="CG18" s="135"/>
    </row>
    <row r="19">
      <c r="A19" s="163" t="s">
        <v>4225</v>
      </c>
      <c r="B19" s="163" t="s">
        <v>4226</v>
      </c>
      <c r="C19" s="164">
        <v>2013.0</v>
      </c>
      <c r="D19" s="165" t="s">
        <v>2957</v>
      </c>
      <c r="E19" s="165" t="s">
        <v>1704</v>
      </c>
      <c r="F19" s="165" t="s">
        <v>2958</v>
      </c>
      <c r="G19" s="163" t="s">
        <v>19</v>
      </c>
      <c r="H19" s="163" t="s">
        <v>3512</v>
      </c>
      <c r="I19" s="166" t="s">
        <v>3358</v>
      </c>
      <c r="J19" s="166" t="s">
        <v>3359</v>
      </c>
      <c r="K19" s="166" t="s">
        <v>4227</v>
      </c>
      <c r="L19" s="163" t="s">
        <v>3962</v>
      </c>
      <c r="M19" s="163" t="s">
        <v>3363</v>
      </c>
      <c r="N19" s="166" t="s">
        <v>4228</v>
      </c>
      <c r="O19" s="166" t="s">
        <v>4008</v>
      </c>
      <c r="P19" s="163" t="s">
        <v>3962</v>
      </c>
      <c r="Q19" s="166" t="s">
        <v>3962</v>
      </c>
      <c r="R19" s="166" t="s">
        <v>3962</v>
      </c>
      <c r="S19" s="166" t="s">
        <v>3962</v>
      </c>
      <c r="T19" s="166" t="s">
        <v>3962</v>
      </c>
      <c r="U19" s="166" t="s">
        <v>3962</v>
      </c>
      <c r="V19" s="166" t="s">
        <v>3962</v>
      </c>
      <c r="W19" s="166" t="s">
        <v>3962</v>
      </c>
      <c r="X19" s="166" t="s">
        <v>4229</v>
      </c>
      <c r="Y19" s="166" t="s">
        <v>4230</v>
      </c>
      <c r="Z19" s="166" t="s">
        <v>20</v>
      </c>
      <c r="AA19" s="166" t="s">
        <v>27</v>
      </c>
      <c r="AB19" s="166" t="s">
        <v>4231</v>
      </c>
      <c r="AC19" s="166" t="s">
        <v>27</v>
      </c>
      <c r="AD19" s="166" t="s">
        <v>4232</v>
      </c>
      <c r="AE19" s="166" t="s">
        <v>4233</v>
      </c>
      <c r="AF19" s="166" t="s">
        <v>4234</v>
      </c>
      <c r="AG19" s="166" t="s">
        <v>4235</v>
      </c>
      <c r="AH19" s="166" t="s">
        <v>3378</v>
      </c>
      <c r="AI19" s="163" t="s">
        <v>3378</v>
      </c>
      <c r="AJ19" s="166" t="s">
        <v>3378</v>
      </c>
      <c r="AK19" s="166" t="s">
        <v>3512</v>
      </c>
      <c r="AL19" s="166" t="s">
        <v>3512</v>
      </c>
      <c r="AM19" s="167" t="s">
        <v>4236</v>
      </c>
      <c r="AN19" s="166" t="s">
        <v>3962</v>
      </c>
      <c r="AO19" s="167" t="s">
        <v>4237</v>
      </c>
      <c r="AP19" s="168"/>
      <c r="AQ19" s="168"/>
      <c r="AR19" s="168"/>
      <c r="AS19" s="168"/>
      <c r="AT19" s="168"/>
      <c r="AU19" s="168"/>
      <c r="AV19" s="168"/>
      <c r="AW19" s="169"/>
      <c r="AX19" s="168"/>
      <c r="AY19" s="168"/>
      <c r="AZ19" s="168"/>
      <c r="BA19" s="170"/>
      <c r="BB19" s="170"/>
      <c r="BC19" s="171"/>
      <c r="BD19" s="171"/>
      <c r="BE19" s="171"/>
      <c r="BF19" s="170"/>
      <c r="BG19" s="170"/>
      <c r="BH19" s="171"/>
      <c r="BI19" s="170"/>
      <c r="BJ19" s="170"/>
      <c r="BK19" s="170"/>
      <c r="BL19" s="170"/>
      <c r="BM19" s="171"/>
      <c r="BN19" s="170"/>
      <c r="BO19" s="170"/>
      <c r="BP19" s="170"/>
      <c r="BQ19" s="170"/>
      <c r="BR19" s="170"/>
      <c r="BS19" s="170"/>
      <c r="BT19" s="170"/>
      <c r="BU19" s="170"/>
      <c r="BV19" s="170"/>
      <c r="BW19" s="170"/>
      <c r="BX19" s="171"/>
      <c r="BY19" s="171"/>
      <c r="BZ19" s="170"/>
      <c r="CA19" s="170"/>
      <c r="CB19" s="170"/>
      <c r="CC19" s="170"/>
      <c r="CD19" s="170"/>
      <c r="CE19" s="170"/>
      <c r="CF19" s="170"/>
      <c r="CG19" s="170"/>
    </row>
    <row r="20">
      <c r="A20" s="127" t="s">
        <v>4238</v>
      </c>
      <c r="B20" s="128" t="s">
        <v>4239</v>
      </c>
      <c r="C20" s="129">
        <v>2025.0</v>
      </c>
      <c r="D20" s="134" t="s">
        <v>3128</v>
      </c>
      <c r="E20" s="134" t="s">
        <v>4240</v>
      </c>
      <c r="F20" s="130" t="s">
        <v>3129</v>
      </c>
      <c r="G20" s="127" t="s">
        <v>19</v>
      </c>
      <c r="H20" s="127" t="s">
        <v>27</v>
      </c>
      <c r="I20" s="132" t="s">
        <v>3358</v>
      </c>
      <c r="J20" s="132" t="s">
        <v>3359</v>
      </c>
      <c r="K20" s="132" t="s">
        <v>4241</v>
      </c>
      <c r="L20" s="132" t="s">
        <v>3962</v>
      </c>
      <c r="M20" s="132" t="s">
        <v>3363</v>
      </c>
      <c r="N20" s="132" t="s">
        <v>4242</v>
      </c>
      <c r="O20" s="132" t="s">
        <v>3382</v>
      </c>
      <c r="P20" s="132" t="s">
        <v>3962</v>
      </c>
      <c r="Q20" s="132" t="s">
        <v>3951</v>
      </c>
      <c r="R20" s="132" t="s">
        <v>3388</v>
      </c>
      <c r="S20" s="132" t="s">
        <v>3389</v>
      </c>
      <c r="T20" s="132" t="s">
        <v>3962</v>
      </c>
      <c r="U20" s="132" t="s">
        <v>4144</v>
      </c>
      <c r="V20" s="132" t="s">
        <v>4243</v>
      </c>
      <c r="W20" s="132" t="s">
        <v>3482</v>
      </c>
      <c r="X20" s="132" t="s">
        <v>3370</v>
      </c>
      <c r="Y20" s="132" t="s">
        <v>4244</v>
      </c>
      <c r="Z20" s="132" t="s">
        <v>4245</v>
      </c>
      <c r="AA20" s="132" t="s">
        <v>27</v>
      </c>
      <c r="AB20" s="132" t="s">
        <v>3873</v>
      </c>
      <c r="AC20" s="132" t="s">
        <v>27</v>
      </c>
      <c r="AD20" s="132" t="s">
        <v>4246</v>
      </c>
      <c r="AE20" s="132" t="s">
        <v>4247</v>
      </c>
      <c r="AF20" s="132" t="s">
        <v>4248</v>
      </c>
      <c r="AG20" s="132" t="s">
        <v>4249</v>
      </c>
      <c r="AH20" s="132" t="s">
        <v>27</v>
      </c>
      <c r="AI20" s="132" t="s">
        <v>4250</v>
      </c>
      <c r="AJ20" s="132" t="s">
        <v>4251</v>
      </c>
      <c r="AK20" s="132" t="s">
        <v>3512</v>
      </c>
      <c r="AL20" s="132" t="s">
        <v>27</v>
      </c>
      <c r="AM20" s="134" t="s">
        <v>4252</v>
      </c>
      <c r="AN20" s="132" t="s">
        <v>4253</v>
      </c>
      <c r="AO20" s="134" t="s">
        <v>4254</v>
      </c>
      <c r="AP20" s="172"/>
      <c r="AQ20" s="172"/>
      <c r="AR20" s="172"/>
      <c r="AS20" s="172"/>
      <c r="AT20" s="172"/>
      <c r="AU20" s="172"/>
      <c r="AV20" s="172"/>
      <c r="AW20" s="173"/>
      <c r="AX20" s="172"/>
      <c r="AY20" s="172"/>
      <c r="AZ20" s="172"/>
      <c r="BA20" s="170"/>
      <c r="BB20" s="170"/>
      <c r="BC20" s="171"/>
      <c r="BD20" s="171"/>
      <c r="BE20" s="171"/>
      <c r="BF20" s="170"/>
      <c r="BG20" s="170"/>
      <c r="BH20" s="171"/>
      <c r="BI20" s="170"/>
      <c r="BJ20" s="170"/>
      <c r="BK20" s="170"/>
      <c r="BL20" s="170"/>
      <c r="BM20" s="171"/>
      <c r="BN20" s="170"/>
      <c r="BO20" s="170"/>
      <c r="BP20" s="170"/>
      <c r="BQ20" s="170"/>
      <c r="BR20" s="170"/>
      <c r="BS20" s="170"/>
      <c r="BT20" s="170"/>
      <c r="BU20" s="170"/>
      <c r="BV20" s="170"/>
      <c r="BW20" s="170"/>
      <c r="BX20" s="171"/>
      <c r="BY20" s="171"/>
      <c r="BZ20" s="170"/>
      <c r="CA20" s="170"/>
      <c r="CB20" s="170"/>
      <c r="CC20" s="170"/>
      <c r="CD20" s="170"/>
      <c r="CE20" s="170"/>
      <c r="CF20" s="170"/>
      <c r="CG20" s="170"/>
    </row>
    <row r="21">
      <c r="A21" s="139" t="s">
        <v>4255</v>
      </c>
      <c r="B21" s="139" t="s">
        <v>4256</v>
      </c>
      <c r="C21" s="174">
        <v>2021.0</v>
      </c>
      <c r="D21" s="175" t="s">
        <v>1678</v>
      </c>
      <c r="E21" s="175" t="s">
        <v>4257</v>
      </c>
      <c r="F21" s="176" t="s">
        <v>4258</v>
      </c>
      <c r="G21" s="139" t="s">
        <v>4259</v>
      </c>
      <c r="H21" s="139" t="s">
        <v>27</v>
      </c>
      <c r="I21" s="177" t="s">
        <v>3358</v>
      </c>
      <c r="J21" s="177" t="s">
        <v>3359</v>
      </c>
      <c r="K21" s="177" t="s">
        <v>4260</v>
      </c>
      <c r="L21" s="139" t="s">
        <v>4261</v>
      </c>
      <c r="M21" s="139" t="s">
        <v>3363</v>
      </c>
      <c r="N21" s="177" t="s">
        <v>4262</v>
      </c>
      <c r="O21" s="177" t="s">
        <v>4263</v>
      </c>
      <c r="P21" s="139" t="s">
        <v>4264</v>
      </c>
      <c r="Q21" s="177" t="s">
        <v>4265</v>
      </c>
      <c r="R21" s="177" t="s">
        <v>3388</v>
      </c>
      <c r="S21" s="177" t="s">
        <v>3389</v>
      </c>
      <c r="T21" s="177" t="s">
        <v>4266</v>
      </c>
      <c r="U21" s="177" t="s">
        <v>4267</v>
      </c>
      <c r="V21" s="177" t="s">
        <v>4266</v>
      </c>
      <c r="W21" s="177" t="s">
        <v>4268</v>
      </c>
      <c r="X21" s="177" t="s">
        <v>4269</v>
      </c>
      <c r="Y21" s="177" t="s">
        <v>4270</v>
      </c>
      <c r="Z21" s="177" t="s">
        <v>20</v>
      </c>
      <c r="AA21" s="177" t="s">
        <v>27</v>
      </c>
      <c r="AB21" s="177" t="s">
        <v>4271</v>
      </c>
      <c r="AC21" s="177" t="s">
        <v>27</v>
      </c>
      <c r="AD21" s="177" t="s">
        <v>4272</v>
      </c>
      <c r="AE21" s="177" t="s">
        <v>4273</v>
      </c>
      <c r="AF21" s="177" t="s">
        <v>3876</v>
      </c>
      <c r="AG21" s="177" t="s">
        <v>4274</v>
      </c>
      <c r="AH21" s="139" t="s">
        <v>27</v>
      </c>
      <c r="AI21" s="177" t="s">
        <v>4275</v>
      </c>
      <c r="AJ21" s="177" t="s">
        <v>4276</v>
      </c>
      <c r="AK21" s="177" t="s">
        <v>27</v>
      </c>
      <c r="AL21" s="177" t="s">
        <v>27</v>
      </c>
      <c r="AM21" s="175" t="s">
        <v>4277</v>
      </c>
      <c r="AN21" s="177" t="s">
        <v>20</v>
      </c>
      <c r="AO21" s="175" t="s">
        <v>4278</v>
      </c>
      <c r="AP21" s="178" t="s">
        <v>4279</v>
      </c>
      <c r="AQ21" s="178" t="s">
        <v>4280</v>
      </c>
      <c r="AR21" s="178" t="s">
        <v>3445</v>
      </c>
      <c r="AS21" s="178" t="s">
        <v>4281</v>
      </c>
      <c r="AT21" s="178" t="s">
        <v>3420</v>
      </c>
      <c r="AU21" s="178" t="s">
        <v>20</v>
      </c>
      <c r="AV21" s="178"/>
      <c r="AW21" s="179"/>
      <c r="AX21" s="178"/>
      <c r="AY21" s="178"/>
      <c r="AZ21" s="178"/>
      <c r="BA21" s="170"/>
      <c r="BB21" s="170"/>
      <c r="BC21" s="171"/>
      <c r="BD21" s="171"/>
      <c r="BE21" s="171"/>
      <c r="BF21" s="170"/>
      <c r="BG21" s="170"/>
      <c r="BH21" s="171"/>
      <c r="BI21" s="170"/>
      <c r="BJ21" s="170"/>
      <c r="BK21" s="170"/>
      <c r="BL21" s="170"/>
      <c r="BM21" s="171"/>
      <c r="BN21" s="170"/>
      <c r="BO21" s="170"/>
      <c r="BP21" s="170"/>
      <c r="BQ21" s="170"/>
      <c r="BR21" s="170"/>
      <c r="BS21" s="170"/>
      <c r="BT21" s="170"/>
      <c r="BU21" s="170"/>
      <c r="BV21" s="170"/>
      <c r="BW21" s="170"/>
      <c r="BX21" s="171"/>
      <c r="BY21" s="171"/>
      <c r="BZ21" s="170"/>
      <c r="CA21" s="170"/>
      <c r="CB21" s="170"/>
      <c r="CC21" s="170"/>
      <c r="CD21" s="170"/>
      <c r="CE21" s="170"/>
      <c r="CF21" s="170"/>
      <c r="CG21" s="170"/>
    </row>
    <row r="22">
      <c r="A22" s="128" t="s">
        <v>4282</v>
      </c>
      <c r="B22" s="128" t="s">
        <v>4283</v>
      </c>
      <c r="C22" s="180">
        <v>2025.0</v>
      </c>
      <c r="D22" s="181" t="s">
        <v>3128</v>
      </c>
      <c r="E22" s="181" t="s">
        <v>4240</v>
      </c>
      <c r="F22" s="176" t="s">
        <v>4284</v>
      </c>
      <c r="G22" s="128" t="s">
        <v>4285</v>
      </c>
      <c r="H22" s="128" t="s">
        <v>27</v>
      </c>
      <c r="I22" s="182" t="s">
        <v>3358</v>
      </c>
      <c r="J22" s="182" t="s">
        <v>3359</v>
      </c>
      <c r="K22" s="182" t="s">
        <v>4286</v>
      </c>
      <c r="L22" s="128" t="s">
        <v>4261</v>
      </c>
      <c r="M22" s="128" t="s">
        <v>3363</v>
      </c>
      <c r="N22" s="182" t="s">
        <v>4287</v>
      </c>
      <c r="O22" s="182" t="s">
        <v>3382</v>
      </c>
      <c r="P22" s="128" t="s">
        <v>4266</v>
      </c>
      <c r="Q22" s="182" t="s">
        <v>3951</v>
      </c>
      <c r="R22" s="182" t="s">
        <v>3388</v>
      </c>
      <c r="S22" s="182" t="s">
        <v>3389</v>
      </c>
      <c r="T22" s="182" t="s">
        <v>4266</v>
      </c>
      <c r="U22" s="182" t="s">
        <v>4144</v>
      </c>
      <c r="V22" s="182" t="s">
        <v>4288</v>
      </c>
      <c r="W22" s="182" t="s">
        <v>3482</v>
      </c>
      <c r="X22" s="182" t="s">
        <v>3370</v>
      </c>
      <c r="Y22" s="182" t="s">
        <v>4289</v>
      </c>
      <c r="Z22" s="182" t="s">
        <v>20</v>
      </c>
      <c r="AA22" s="182" t="s">
        <v>27</v>
      </c>
      <c r="AB22" s="182" t="s">
        <v>4290</v>
      </c>
      <c r="AC22" s="182" t="s">
        <v>27</v>
      </c>
      <c r="AD22" s="182" t="s">
        <v>4291</v>
      </c>
      <c r="AE22" s="182" t="s">
        <v>4292</v>
      </c>
      <c r="AF22" s="182" t="s">
        <v>4293</v>
      </c>
      <c r="AG22" s="128" t="s">
        <v>4294</v>
      </c>
      <c r="AH22" s="128" t="s">
        <v>20</v>
      </c>
      <c r="AI22" s="182" t="s">
        <v>3378</v>
      </c>
      <c r="AJ22" s="182" t="s">
        <v>3378</v>
      </c>
      <c r="AK22" s="182" t="s">
        <v>27</v>
      </c>
      <c r="AL22" s="182" t="s">
        <v>27</v>
      </c>
      <c r="AM22" s="181" t="s">
        <v>4295</v>
      </c>
      <c r="AN22" s="182" t="s">
        <v>20</v>
      </c>
      <c r="AO22" s="181" t="s">
        <v>4296</v>
      </c>
      <c r="AP22" s="178" t="s">
        <v>4297</v>
      </c>
      <c r="AQ22" s="178" t="s">
        <v>4298</v>
      </c>
      <c r="AR22" s="178" t="s">
        <v>3472</v>
      </c>
      <c r="AS22" s="178" t="s">
        <v>4299</v>
      </c>
      <c r="AT22" s="178" t="s">
        <v>27</v>
      </c>
      <c r="AU22" s="178" t="s">
        <v>20</v>
      </c>
      <c r="AV22" s="178"/>
      <c r="AW22" s="179"/>
      <c r="AX22" s="178"/>
      <c r="AY22" s="178"/>
      <c r="AZ22" s="178"/>
      <c r="BA22" s="170"/>
      <c r="BB22" s="170"/>
      <c r="BC22" s="171"/>
      <c r="BD22" s="171"/>
      <c r="BE22" s="171"/>
      <c r="BF22" s="170"/>
      <c r="BG22" s="170"/>
      <c r="BH22" s="171"/>
      <c r="BI22" s="170"/>
      <c r="BJ22" s="170"/>
      <c r="BK22" s="170"/>
      <c r="BL22" s="170"/>
      <c r="BM22" s="171"/>
      <c r="BN22" s="170"/>
      <c r="BO22" s="170"/>
      <c r="BP22" s="170"/>
      <c r="BQ22" s="170"/>
      <c r="BR22" s="170"/>
      <c r="BS22" s="170"/>
      <c r="BT22" s="170"/>
      <c r="BU22" s="170"/>
      <c r="BV22" s="170"/>
      <c r="BW22" s="170"/>
      <c r="BX22" s="171"/>
      <c r="BY22" s="171"/>
      <c r="BZ22" s="170"/>
      <c r="CA22" s="170"/>
      <c r="CB22" s="170"/>
      <c r="CC22" s="170"/>
      <c r="CD22" s="170"/>
      <c r="CE22" s="170"/>
      <c r="CF22" s="170"/>
      <c r="CG22" s="170"/>
    </row>
    <row r="23">
      <c r="A23" s="183" t="s">
        <v>4300</v>
      </c>
      <c r="B23" s="183" t="s">
        <v>4301</v>
      </c>
      <c r="C23" s="184">
        <v>2020.0</v>
      </c>
      <c r="D23" s="185" t="s">
        <v>373</v>
      </c>
      <c r="E23" s="185" t="s">
        <v>24</v>
      </c>
      <c r="F23" s="185" t="s">
        <v>4302</v>
      </c>
      <c r="G23" s="183" t="s">
        <v>4303</v>
      </c>
      <c r="H23" s="183" t="s">
        <v>27</v>
      </c>
      <c r="I23" s="183" t="s">
        <v>4304</v>
      </c>
      <c r="J23" s="183" t="s">
        <v>3359</v>
      </c>
      <c r="K23" s="183" t="s">
        <v>4305</v>
      </c>
      <c r="L23" s="183" t="s">
        <v>4306</v>
      </c>
      <c r="M23" s="183" t="s">
        <v>4307</v>
      </c>
      <c r="N23" s="183" t="s">
        <v>4308</v>
      </c>
      <c r="O23" s="183" t="s">
        <v>4309</v>
      </c>
      <c r="P23" s="183" t="s">
        <v>4310</v>
      </c>
      <c r="Q23" s="183" t="s">
        <v>3367</v>
      </c>
      <c r="R23" s="183" t="s">
        <v>4311</v>
      </c>
      <c r="S23" s="183" t="s">
        <v>4312</v>
      </c>
      <c r="T23" s="183" t="s">
        <v>4313</v>
      </c>
      <c r="U23" s="183" t="s">
        <v>4314</v>
      </c>
      <c r="V23" s="183" t="s">
        <v>4315</v>
      </c>
      <c r="W23" s="183" t="s">
        <v>3369</v>
      </c>
      <c r="X23" s="183" t="s">
        <v>4316</v>
      </c>
      <c r="Y23" s="183" t="s">
        <v>4317</v>
      </c>
      <c r="Z23" s="183" t="s">
        <v>4318</v>
      </c>
      <c r="AA23" s="183" t="s">
        <v>27</v>
      </c>
      <c r="AB23" s="183" t="s">
        <v>4319</v>
      </c>
      <c r="AC23" s="183" t="s">
        <v>27</v>
      </c>
      <c r="AD23" s="183" t="s">
        <v>4320</v>
      </c>
      <c r="AE23" s="183" t="s">
        <v>4321</v>
      </c>
      <c r="AF23" s="183" t="s">
        <v>4322</v>
      </c>
      <c r="AG23" s="183" t="s">
        <v>4323</v>
      </c>
      <c r="AH23" s="183" t="s">
        <v>20</v>
      </c>
      <c r="AI23" s="183" t="s">
        <v>3378</v>
      </c>
      <c r="AJ23" s="183" t="s">
        <v>3378</v>
      </c>
      <c r="AK23" s="183" t="s">
        <v>27</v>
      </c>
      <c r="AL23" s="183" t="s">
        <v>27</v>
      </c>
      <c r="AM23" s="185" t="s">
        <v>4324</v>
      </c>
      <c r="AN23" s="183" t="s">
        <v>4325</v>
      </c>
      <c r="AO23" s="185" t="s">
        <v>4326</v>
      </c>
      <c r="AP23" s="170"/>
      <c r="AQ23" s="171"/>
      <c r="AR23" s="171"/>
      <c r="AS23" s="171"/>
      <c r="AT23" s="170"/>
      <c r="AU23" s="170"/>
      <c r="AV23" s="170"/>
      <c r="AW23" s="170"/>
      <c r="AX23" s="170"/>
      <c r="AY23" s="170"/>
      <c r="AZ23" s="170"/>
      <c r="BA23" s="170"/>
      <c r="BB23" s="170"/>
      <c r="BC23" s="171"/>
      <c r="BD23" s="171"/>
      <c r="BE23" s="171"/>
      <c r="BF23" s="170"/>
      <c r="BG23" s="170"/>
      <c r="BH23" s="171"/>
      <c r="BI23" s="170"/>
      <c r="BJ23" s="170"/>
      <c r="BK23" s="170"/>
      <c r="BL23" s="170"/>
      <c r="BM23" s="171"/>
      <c r="BN23" s="170"/>
      <c r="BO23" s="170"/>
      <c r="BP23" s="170"/>
      <c r="BQ23" s="170"/>
      <c r="BR23" s="170"/>
      <c r="BS23" s="170"/>
      <c r="BT23" s="170"/>
      <c r="BU23" s="170"/>
      <c r="BV23" s="170"/>
      <c r="BW23" s="170"/>
      <c r="BX23" s="171"/>
      <c r="BY23" s="171"/>
      <c r="BZ23" s="170"/>
      <c r="CA23" s="170"/>
      <c r="CB23" s="170"/>
      <c r="CC23" s="170"/>
      <c r="CD23" s="170"/>
      <c r="CE23" s="170"/>
      <c r="CF23" s="170"/>
      <c r="CG23" s="170"/>
    </row>
    <row r="24">
      <c r="A24" s="171"/>
      <c r="B24" s="170"/>
      <c r="C24" s="170"/>
      <c r="D24" s="170"/>
      <c r="E24" s="171"/>
      <c r="F24" s="171"/>
      <c r="G24" s="171"/>
      <c r="H24" s="170"/>
      <c r="I24" s="171"/>
      <c r="J24" s="171"/>
      <c r="K24" s="171"/>
      <c r="L24" s="170"/>
      <c r="M24" s="170"/>
      <c r="N24" s="171"/>
      <c r="O24" s="170"/>
      <c r="P24" s="186"/>
      <c r="Q24" s="170"/>
      <c r="R24" s="170"/>
      <c r="S24" s="170"/>
      <c r="T24" s="170"/>
      <c r="U24" s="170"/>
      <c r="V24" s="170"/>
      <c r="W24" s="170"/>
      <c r="X24" s="170"/>
      <c r="Y24" s="170"/>
      <c r="Z24" s="170"/>
      <c r="AA24" s="170"/>
      <c r="AB24" s="170"/>
      <c r="AC24" s="170"/>
      <c r="AD24" s="170"/>
      <c r="AE24" s="170"/>
      <c r="AF24" s="171"/>
      <c r="AG24" s="170"/>
      <c r="AH24" s="170"/>
      <c r="AI24" s="170"/>
      <c r="AJ24" s="170"/>
      <c r="AK24" s="171"/>
      <c r="AL24" s="171"/>
      <c r="AM24" s="170"/>
      <c r="AN24" s="171"/>
      <c r="AO24" s="170"/>
      <c r="AP24" s="170"/>
      <c r="AQ24" s="171"/>
      <c r="AR24" s="171"/>
      <c r="AS24" s="171"/>
      <c r="AT24" s="170"/>
      <c r="AU24" s="170"/>
      <c r="AV24" s="170"/>
      <c r="AW24" s="170"/>
      <c r="AX24" s="170"/>
      <c r="AY24" s="170"/>
      <c r="AZ24" s="170"/>
      <c r="BA24" s="170"/>
      <c r="BB24" s="170"/>
      <c r="BC24" s="171"/>
      <c r="BD24" s="171"/>
      <c r="BE24" s="171"/>
      <c r="BF24" s="170"/>
      <c r="BG24" s="170"/>
      <c r="BH24" s="171"/>
      <c r="BI24" s="170"/>
      <c r="BJ24" s="170"/>
      <c r="BK24" s="170"/>
      <c r="BL24" s="170"/>
      <c r="BM24" s="171"/>
      <c r="BN24" s="170"/>
      <c r="BO24" s="170"/>
      <c r="BP24" s="170"/>
      <c r="BQ24" s="170"/>
      <c r="BR24" s="170"/>
      <c r="BS24" s="170"/>
      <c r="BT24" s="170"/>
      <c r="BU24" s="170"/>
      <c r="BV24" s="170"/>
      <c r="BW24" s="170"/>
      <c r="BX24" s="171"/>
      <c r="BY24" s="171"/>
      <c r="BZ24" s="170"/>
      <c r="CA24" s="170"/>
      <c r="CB24" s="170"/>
      <c r="CC24" s="170"/>
      <c r="CD24" s="170"/>
      <c r="CE24" s="170"/>
      <c r="CF24" s="170"/>
      <c r="CG24" s="170"/>
    </row>
    <row r="25">
      <c r="A25" s="171"/>
      <c r="B25" s="170"/>
      <c r="C25" s="170"/>
      <c r="D25" s="170"/>
      <c r="E25" s="171"/>
      <c r="F25" s="171"/>
      <c r="G25" s="171"/>
      <c r="H25" s="170"/>
      <c r="I25" s="171"/>
      <c r="J25" s="171"/>
      <c r="K25" s="171"/>
      <c r="L25" s="170"/>
      <c r="M25" s="170"/>
      <c r="N25" s="171"/>
      <c r="O25" s="170"/>
      <c r="P25" s="186"/>
      <c r="Q25" s="170"/>
      <c r="R25" s="170"/>
      <c r="S25" s="170"/>
      <c r="T25" s="170"/>
      <c r="U25" s="170"/>
      <c r="V25" s="170"/>
      <c r="W25" s="170"/>
      <c r="X25" s="170"/>
      <c r="Y25" s="170"/>
      <c r="Z25" s="170"/>
      <c r="AA25" s="170"/>
      <c r="AB25" s="170"/>
      <c r="AC25" s="170"/>
      <c r="AD25" s="170"/>
      <c r="AE25" s="170"/>
      <c r="AF25" s="171"/>
      <c r="AG25" s="170"/>
      <c r="AH25" s="170"/>
      <c r="AI25" s="170"/>
      <c r="AJ25" s="170"/>
      <c r="AK25" s="171"/>
      <c r="AL25" s="171"/>
      <c r="AM25" s="170"/>
      <c r="AN25" s="171"/>
      <c r="AO25" s="170"/>
      <c r="AP25" s="170"/>
      <c r="AQ25" s="171"/>
      <c r="AR25" s="171"/>
      <c r="AS25" s="171"/>
      <c r="AT25" s="170"/>
      <c r="AU25" s="170"/>
      <c r="AV25" s="170"/>
      <c r="AW25" s="170"/>
      <c r="AX25" s="170"/>
      <c r="AY25" s="170"/>
      <c r="AZ25" s="170"/>
      <c r="BA25" s="170"/>
      <c r="BB25" s="170"/>
      <c r="BC25" s="171"/>
      <c r="BD25" s="171"/>
      <c r="BE25" s="171"/>
      <c r="BF25" s="170"/>
      <c r="BG25" s="170"/>
      <c r="BH25" s="171"/>
      <c r="BI25" s="170"/>
      <c r="BJ25" s="170"/>
      <c r="BK25" s="170"/>
      <c r="BL25" s="170"/>
      <c r="BM25" s="171"/>
      <c r="BN25" s="170"/>
      <c r="BO25" s="170"/>
      <c r="BP25" s="170"/>
      <c r="BQ25" s="170"/>
      <c r="BR25" s="170"/>
      <c r="BS25" s="170"/>
      <c r="BT25" s="170"/>
      <c r="BU25" s="170"/>
      <c r="BV25" s="170"/>
      <c r="BW25" s="170"/>
      <c r="BX25" s="171"/>
      <c r="BY25" s="171"/>
      <c r="BZ25" s="170"/>
      <c r="CA25" s="170"/>
      <c r="CB25" s="170"/>
      <c r="CC25" s="170"/>
      <c r="CD25" s="170"/>
      <c r="CE25" s="170"/>
      <c r="CF25" s="170"/>
      <c r="CG25" s="170"/>
    </row>
    <row r="26">
      <c r="A26" s="171"/>
      <c r="B26" s="170"/>
      <c r="C26" s="170"/>
      <c r="D26" s="170"/>
      <c r="E26" s="171"/>
      <c r="F26" s="171"/>
      <c r="G26" s="171"/>
      <c r="H26" s="170"/>
      <c r="I26" s="171"/>
      <c r="J26" s="171"/>
      <c r="K26" s="171"/>
      <c r="L26" s="170"/>
      <c r="M26" s="170"/>
      <c r="N26" s="171"/>
      <c r="O26" s="170"/>
      <c r="P26" s="186"/>
      <c r="Q26" s="170"/>
      <c r="R26" s="170"/>
      <c r="S26" s="170"/>
      <c r="T26" s="170"/>
      <c r="U26" s="170"/>
      <c r="V26" s="170"/>
      <c r="W26" s="170"/>
      <c r="X26" s="170"/>
      <c r="Y26" s="170"/>
      <c r="Z26" s="170"/>
      <c r="AA26" s="170"/>
      <c r="AB26" s="170"/>
      <c r="AC26" s="170"/>
      <c r="AD26" s="170"/>
      <c r="AE26" s="170"/>
      <c r="AF26" s="171"/>
      <c r="AG26" s="170"/>
      <c r="AH26" s="170"/>
      <c r="AI26" s="170"/>
      <c r="AJ26" s="170"/>
      <c r="AK26" s="171"/>
      <c r="AL26" s="171"/>
      <c r="AM26" s="170"/>
      <c r="AN26" s="171"/>
      <c r="AO26" s="170"/>
      <c r="AP26" s="170"/>
      <c r="AQ26" s="171"/>
      <c r="AR26" s="171"/>
      <c r="AS26" s="171"/>
      <c r="AT26" s="170"/>
      <c r="AU26" s="170"/>
      <c r="AV26" s="170"/>
      <c r="AW26" s="170"/>
      <c r="AX26" s="170"/>
      <c r="AY26" s="170"/>
      <c r="AZ26" s="170"/>
      <c r="BA26" s="170"/>
      <c r="BB26" s="170"/>
      <c r="BC26" s="171"/>
      <c r="BD26" s="171"/>
      <c r="BE26" s="171"/>
      <c r="BF26" s="170"/>
      <c r="BG26" s="170"/>
      <c r="BH26" s="171"/>
      <c r="BI26" s="170"/>
      <c r="BJ26" s="170"/>
      <c r="BK26" s="170"/>
      <c r="BL26" s="170"/>
      <c r="BM26" s="171"/>
      <c r="BN26" s="170"/>
      <c r="BO26" s="170"/>
      <c r="BP26" s="170"/>
      <c r="BQ26" s="170"/>
      <c r="BR26" s="170"/>
      <c r="BS26" s="170"/>
      <c r="BT26" s="170"/>
      <c r="BU26" s="170"/>
      <c r="BV26" s="170"/>
      <c r="BW26" s="170"/>
      <c r="BX26" s="171"/>
      <c r="BY26" s="171"/>
      <c r="BZ26" s="170"/>
      <c r="CA26" s="170"/>
      <c r="CB26" s="170"/>
      <c r="CC26" s="170"/>
      <c r="CD26" s="170"/>
      <c r="CE26" s="170"/>
      <c r="CF26" s="170"/>
      <c r="CG26" s="170"/>
    </row>
    <row r="27">
      <c r="A27" s="171"/>
      <c r="B27" s="170"/>
      <c r="C27" s="170"/>
      <c r="D27" s="170"/>
      <c r="E27" s="171"/>
      <c r="F27" s="171"/>
      <c r="G27" s="171"/>
      <c r="H27" s="170"/>
      <c r="I27" s="171"/>
      <c r="J27" s="171"/>
      <c r="K27" s="171"/>
      <c r="L27" s="170"/>
      <c r="M27" s="170"/>
      <c r="N27" s="171"/>
      <c r="O27" s="170"/>
      <c r="P27" s="186"/>
      <c r="Q27" s="170"/>
      <c r="R27" s="170"/>
      <c r="S27" s="170"/>
      <c r="T27" s="170"/>
      <c r="U27" s="170"/>
      <c r="V27" s="170"/>
      <c r="W27" s="170"/>
      <c r="X27" s="170"/>
      <c r="Y27" s="170"/>
      <c r="Z27" s="170"/>
      <c r="AA27" s="170"/>
      <c r="AB27" s="170"/>
      <c r="AC27" s="170"/>
      <c r="AD27" s="170"/>
      <c r="AE27" s="170"/>
      <c r="AF27" s="171"/>
      <c r="AG27" s="170"/>
      <c r="AH27" s="170"/>
      <c r="AI27" s="170"/>
      <c r="AJ27" s="170"/>
      <c r="AK27" s="171"/>
      <c r="AL27" s="171"/>
      <c r="AM27" s="170"/>
      <c r="AN27" s="171"/>
      <c r="AO27" s="170"/>
      <c r="AP27" s="170"/>
      <c r="AQ27" s="171"/>
      <c r="AR27" s="171"/>
      <c r="AS27" s="171"/>
      <c r="AT27" s="170"/>
      <c r="AU27" s="170"/>
      <c r="AV27" s="170"/>
      <c r="AW27" s="170"/>
      <c r="AX27" s="170"/>
      <c r="AY27" s="170"/>
      <c r="AZ27" s="170"/>
      <c r="BA27" s="170"/>
      <c r="BB27" s="170"/>
      <c r="BC27" s="171"/>
      <c r="BD27" s="171"/>
      <c r="BE27" s="171"/>
      <c r="BF27" s="170"/>
      <c r="BG27" s="170"/>
      <c r="BH27" s="171"/>
      <c r="BI27" s="170"/>
      <c r="BJ27" s="170"/>
      <c r="BK27" s="170"/>
      <c r="BL27" s="170"/>
      <c r="BM27" s="171"/>
      <c r="BN27" s="170"/>
      <c r="BO27" s="170"/>
      <c r="BP27" s="170"/>
      <c r="BQ27" s="170"/>
      <c r="BR27" s="170"/>
      <c r="BS27" s="170"/>
      <c r="BT27" s="170"/>
      <c r="BU27" s="170"/>
      <c r="BV27" s="170"/>
      <c r="BW27" s="170"/>
      <c r="BX27" s="171"/>
      <c r="BY27" s="171"/>
      <c r="BZ27" s="170"/>
      <c r="CA27" s="170"/>
      <c r="CB27" s="170"/>
      <c r="CC27" s="170"/>
      <c r="CD27" s="170"/>
      <c r="CE27" s="170"/>
      <c r="CF27" s="170"/>
      <c r="CG27" s="170"/>
    </row>
    <row r="28">
      <c r="A28" s="171"/>
      <c r="B28" s="170"/>
      <c r="C28" s="170"/>
      <c r="D28" s="170"/>
      <c r="E28" s="171"/>
      <c r="F28" s="171"/>
      <c r="G28" s="171"/>
      <c r="H28" s="170"/>
      <c r="I28" s="171"/>
      <c r="J28" s="171"/>
      <c r="K28" s="171"/>
      <c r="L28" s="170"/>
      <c r="M28" s="170"/>
      <c r="N28" s="171"/>
      <c r="O28" s="170"/>
      <c r="P28" s="186"/>
      <c r="Q28" s="170"/>
      <c r="R28" s="170"/>
      <c r="S28" s="170"/>
      <c r="T28" s="170"/>
      <c r="U28" s="170"/>
      <c r="V28" s="170"/>
      <c r="W28" s="170"/>
      <c r="X28" s="170"/>
      <c r="Y28" s="170"/>
      <c r="Z28" s="170"/>
      <c r="AA28" s="170"/>
      <c r="AB28" s="170"/>
      <c r="AC28" s="170"/>
      <c r="AD28" s="170"/>
      <c r="AE28" s="170"/>
      <c r="AF28" s="171"/>
      <c r="AG28" s="170"/>
      <c r="AH28" s="170"/>
      <c r="AI28" s="170"/>
      <c r="AJ28" s="170"/>
      <c r="AK28" s="171"/>
      <c r="AL28" s="171"/>
      <c r="AM28" s="170"/>
      <c r="AN28" s="171"/>
      <c r="AO28" s="170"/>
      <c r="AP28" s="170"/>
      <c r="AQ28" s="171"/>
      <c r="AR28" s="171"/>
      <c r="AS28" s="171"/>
      <c r="AT28" s="170"/>
      <c r="AU28" s="170"/>
      <c r="AV28" s="170"/>
      <c r="AW28" s="170"/>
      <c r="AX28" s="170"/>
      <c r="AY28" s="170"/>
      <c r="AZ28" s="170"/>
      <c r="BA28" s="170"/>
      <c r="BB28" s="170"/>
      <c r="BC28" s="171"/>
      <c r="BD28" s="171"/>
      <c r="BE28" s="171"/>
      <c r="BF28" s="170"/>
      <c r="BG28" s="170"/>
      <c r="BH28" s="171"/>
      <c r="BI28" s="170"/>
      <c r="BJ28" s="170"/>
      <c r="BK28" s="170"/>
      <c r="BL28" s="170"/>
      <c r="BM28" s="171"/>
      <c r="BN28" s="170"/>
      <c r="BO28" s="170"/>
      <c r="BP28" s="170"/>
      <c r="BQ28" s="170"/>
      <c r="BR28" s="170"/>
      <c r="BS28" s="170"/>
      <c r="BT28" s="170"/>
      <c r="BU28" s="170"/>
      <c r="BV28" s="170"/>
      <c r="BW28" s="170"/>
      <c r="BX28" s="171"/>
      <c r="BY28" s="171"/>
      <c r="BZ28" s="170"/>
      <c r="CA28" s="170"/>
      <c r="CB28" s="170"/>
      <c r="CC28" s="170"/>
      <c r="CD28" s="170"/>
      <c r="CE28" s="170"/>
      <c r="CF28" s="170"/>
      <c r="CG28" s="170"/>
    </row>
    <row r="29">
      <c r="A29" s="171"/>
      <c r="B29" s="170"/>
      <c r="C29" s="170"/>
      <c r="D29" s="170"/>
      <c r="E29" s="171"/>
      <c r="F29" s="171"/>
      <c r="G29" s="171"/>
      <c r="H29" s="170"/>
      <c r="I29" s="171"/>
      <c r="J29" s="171"/>
      <c r="K29" s="171"/>
      <c r="L29" s="170"/>
      <c r="M29" s="170"/>
      <c r="N29" s="171"/>
      <c r="O29" s="170"/>
      <c r="P29" s="186"/>
      <c r="Q29" s="170"/>
      <c r="R29" s="170"/>
      <c r="S29" s="170"/>
      <c r="T29" s="170"/>
      <c r="U29" s="170"/>
      <c r="V29" s="170"/>
      <c r="W29" s="170"/>
      <c r="X29" s="170"/>
      <c r="Y29" s="170"/>
      <c r="Z29" s="170"/>
      <c r="AA29" s="170"/>
      <c r="AB29" s="170"/>
      <c r="AC29" s="170"/>
      <c r="AD29" s="170"/>
      <c r="AE29" s="170"/>
      <c r="AF29" s="171"/>
      <c r="AG29" s="170"/>
      <c r="AH29" s="170"/>
      <c r="AI29" s="170"/>
      <c r="AJ29" s="170"/>
      <c r="AK29" s="171"/>
      <c r="AL29" s="171"/>
      <c r="AM29" s="170"/>
      <c r="AN29" s="171"/>
      <c r="AO29" s="170"/>
      <c r="AP29" s="170"/>
      <c r="AQ29" s="171"/>
      <c r="AR29" s="171"/>
      <c r="AS29" s="171"/>
      <c r="AT29" s="170"/>
      <c r="AU29" s="170"/>
      <c r="AV29" s="170"/>
      <c r="AW29" s="170"/>
      <c r="AX29" s="170"/>
      <c r="AY29" s="170"/>
      <c r="AZ29" s="170"/>
      <c r="BA29" s="170"/>
      <c r="BB29" s="170"/>
      <c r="BC29" s="171"/>
      <c r="BD29" s="171"/>
      <c r="BE29" s="171"/>
      <c r="BF29" s="170"/>
      <c r="BG29" s="170"/>
      <c r="BH29" s="171"/>
      <c r="BI29" s="170"/>
      <c r="BJ29" s="170"/>
      <c r="BK29" s="170"/>
      <c r="BL29" s="170"/>
      <c r="BM29" s="171"/>
      <c r="BN29" s="170"/>
      <c r="BO29" s="170"/>
      <c r="BP29" s="170"/>
      <c r="BQ29" s="170"/>
      <c r="BR29" s="170"/>
      <c r="BS29" s="170"/>
      <c r="BT29" s="170"/>
      <c r="BU29" s="170"/>
      <c r="BV29" s="170"/>
      <c r="BW29" s="170"/>
      <c r="BX29" s="171"/>
      <c r="BY29" s="171"/>
      <c r="BZ29" s="170"/>
      <c r="CA29" s="170"/>
      <c r="CB29" s="170"/>
      <c r="CC29" s="170"/>
      <c r="CD29" s="170"/>
      <c r="CE29" s="170"/>
      <c r="CF29" s="170"/>
      <c r="CG29" s="170"/>
    </row>
    <row r="30">
      <c r="A30" s="171"/>
      <c r="B30" s="170"/>
      <c r="C30" s="170"/>
      <c r="D30" s="170"/>
      <c r="E30" s="171"/>
      <c r="F30" s="171"/>
      <c r="G30" s="171"/>
      <c r="H30" s="170"/>
      <c r="I30" s="171"/>
      <c r="J30" s="171"/>
      <c r="K30" s="171"/>
      <c r="L30" s="170"/>
      <c r="M30" s="170"/>
      <c r="N30" s="171"/>
      <c r="O30" s="170"/>
      <c r="P30" s="186"/>
      <c r="Q30" s="170"/>
      <c r="R30" s="170"/>
      <c r="S30" s="170"/>
      <c r="T30" s="170"/>
      <c r="U30" s="170"/>
      <c r="V30" s="170"/>
      <c r="W30" s="170"/>
      <c r="X30" s="170"/>
      <c r="Y30" s="170"/>
      <c r="Z30" s="170"/>
      <c r="AA30" s="170"/>
      <c r="AB30" s="170"/>
      <c r="AC30" s="170"/>
      <c r="AD30" s="170"/>
      <c r="AE30" s="170"/>
      <c r="AF30" s="171"/>
      <c r="AG30" s="170"/>
      <c r="AH30" s="170"/>
      <c r="AI30" s="170"/>
      <c r="AJ30" s="170"/>
      <c r="AK30" s="171"/>
      <c r="AL30" s="171"/>
      <c r="AM30" s="170"/>
      <c r="AN30" s="171"/>
      <c r="AO30" s="170"/>
      <c r="AP30" s="170"/>
      <c r="AQ30" s="171"/>
      <c r="AR30" s="171"/>
      <c r="AS30" s="171"/>
      <c r="AT30" s="170"/>
      <c r="AU30" s="170"/>
      <c r="AV30" s="170"/>
      <c r="AW30" s="170"/>
      <c r="AX30" s="170"/>
      <c r="AY30" s="170"/>
      <c r="AZ30" s="170"/>
      <c r="BA30" s="170"/>
      <c r="BB30" s="170"/>
      <c r="BC30" s="171"/>
      <c r="BD30" s="171"/>
      <c r="BE30" s="171"/>
      <c r="BF30" s="170"/>
      <c r="BG30" s="170"/>
      <c r="BH30" s="171"/>
      <c r="BI30" s="170"/>
      <c r="BJ30" s="170"/>
      <c r="BK30" s="170"/>
      <c r="BL30" s="170"/>
      <c r="BM30" s="171"/>
      <c r="BN30" s="170"/>
      <c r="BO30" s="170"/>
      <c r="BP30" s="170"/>
      <c r="BQ30" s="170"/>
      <c r="BR30" s="170"/>
      <c r="BS30" s="170"/>
      <c r="BT30" s="170"/>
      <c r="BU30" s="170"/>
      <c r="BV30" s="170"/>
      <c r="BW30" s="170"/>
      <c r="BX30" s="171"/>
      <c r="BY30" s="171"/>
      <c r="BZ30" s="170"/>
      <c r="CA30" s="170"/>
      <c r="CB30" s="170"/>
      <c r="CC30" s="170"/>
      <c r="CD30" s="170"/>
      <c r="CE30" s="170"/>
      <c r="CF30" s="170"/>
      <c r="CG30" s="170"/>
    </row>
    <row r="31">
      <c r="A31" s="171"/>
      <c r="B31" s="170"/>
      <c r="C31" s="170"/>
      <c r="D31" s="170"/>
      <c r="E31" s="171"/>
      <c r="F31" s="171"/>
      <c r="G31" s="171"/>
      <c r="H31" s="170"/>
      <c r="I31" s="171"/>
      <c r="J31" s="171"/>
      <c r="K31" s="171"/>
      <c r="L31" s="170"/>
      <c r="M31" s="170"/>
      <c r="N31" s="171"/>
      <c r="O31" s="170"/>
      <c r="P31" s="186"/>
      <c r="Q31" s="170"/>
      <c r="R31" s="170"/>
      <c r="S31" s="170"/>
      <c r="T31" s="170"/>
      <c r="U31" s="170"/>
      <c r="V31" s="170"/>
      <c r="W31" s="170"/>
      <c r="X31" s="170"/>
      <c r="Y31" s="170"/>
      <c r="Z31" s="170"/>
      <c r="AA31" s="170"/>
      <c r="AB31" s="170"/>
      <c r="AC31" s="170"/>
      <c r="AD31" s="170"/>
      <c r="AE31" s="170"/>
      <c r="AF31" s="171"/>
      <c r="AG31" s="170"/>
      <c r="AH31" s="170"/>
      <c r="AI31" s="170"/>
      <c r="AJ31" s="170"/>
      <c r="AK31" s="171"/>
      <c r="AL31" s="171"/>
      <c r="AM31" s="170"/>
      <c r="AN31" s="171"/>
      <c r="AO31" s="170"/>
      <c r="AP31" s="170"/>
      <c r="AQ31" s="171"/>
      <c r="AR31" s="171"/>
      <c r="AS31" s="171"/>
      <c r="AT31" s="170"/>
      <c r="AU31" s="170"/>
      <c r="AV31" s="170"/>
      <c r="AW31" s="170"/>
      <c r="AX31" s="170"/>
      <c r="AY31" s="170"/>
      <c r="AZ31" s="170"/>
      <c r="BA31" s="170"/>
      <c r="BB31" s="170"/>
      <c r="BC31" s="171"/>
      <c r="BD31" s="171"/>
      <c r="BE31" s="171"/>
      <c r="BF31" s="170"/>
      <c r="BG31" s="170"/>
      <c r="BH31" s="171"/>
      <c r="BI31" s="170"/>
      <c r="BJ31" s="170"/>
      <c r="BK31" s="170"/>
      <c r="BL31" s="170"/>
      <c r="BM31" s="171"/>
      <c r="BN31" s="170"/>
      <c r="BO31" s="170"/>
      <c r="BP31" s="170"/>
      <c r="BQ31" s="170"/>
      <c r="BR31" s="170"/>
      <c r="BS31" s="170"/>
      <c r="BT31" s="170"/>
      <c r="BU31" s="170"/>
      <c r="BV31" s="170"/>
      <c r="BW31" s="170"/>
      <c r="BX31" s="171"/>
      <c r="BY31" s="171"/>
      <c r="BZ31" s="170"/>
      <c r="CA31" s="170"/>
      <c r="CB31" s="170"/>
      <c r="CC31" s="170"/>
      <c r="CD31" s="170"/>
      <c r="CE31" s="170"/>
      <c r="CF31" s="170"/>
      <c r="CG31" s="170"/>
    </row>
    <row r="32">
      <c r="A32" s="171"/>
      <c r="B32" s="170"/>
      <c r="C32" s="170"/>
      <c r="D32" s="170"/>
      <c r="E32" s="171"/>
      <c r="F32" s="171"/>
      <c r="G32" s="171"/>
      <c r="H32" s="170"/>
      <c r="I32" s="171"/>
      <c r="J32" s="171"/>
      <c r="K32" s="171"/>
      <c r="L32" s="170"/>
      <c r="M32" s="170"/>
      <c r="N32" s="171"/>
      <c r="O32" s="170"/>
      <c r="P32" s="186"/>
      <c r="Q32" s="170"/>
      <c r="R32" s="170"/>
      <c r="S32" s="170"/>
      <c r="T32" s="170"/>
      <c r="U32" s="170"/>
      <c r="V32" s="170"/>
      <c r="W32" s="170"/>
      <c r="X32" s="170"/>
      <c r="Y32" s="170"/>
      <c r="Z32" s="170"/>
      <c r="AA32" s="170"/>
      <c r="AB32" s="170"/>
      <c r="AC32" s="170"/>
      <c r="AD32" s="170"/>
      <c r="AE32" s="170"/>
      <c r="AF32" s="171"/>
      <c r="AG32" s="170"/>
      <c r="AH32" s="170"/>
      <c r="AI32" s="170"/>
      <c r="AJ32" s="170"/>
      <c r="AK32" s="171"/>
      <c r="AL32" s="171"/>
      <c r="AM32" s="170"/>
      <c r="AN32" s="171"/>
      <c r="AO32" s="170"/>
      <c r="AP32" s="170"/>
      <c r="AQ32" s="171"/>
      <c r="AR32" s="171"/>
      <c r="AS32" s="171"/>
      <c r="AT32" s="170"/>
      <c r="AU32" s="170"/>
      <c r="AV32" s="170"/>
      <c r="AW32" s="170"/>
      <c r="AX32" s="170"/>
      <c r="AY32" s="170"/>
      <c r="AZ32" s="170"/>
      <c r="BA32" s="170"/>
      <c r="BB32" s="170"/>
      <c r="BC32" s="171"/>
      <c r="BD32" s="171"/>
      <c r="BE32" s="171"/>
      <c r="BF32" s="170"/>
      <c r="BG32" s="170"/>
      <c r="BH32" s="171"/>
      <c r="BI32" s="170"/>
      <c r="BJ32" s="170"/>
      <c r="BK32" s="170"/>
      <c r="BL32" s="170"/>
      <c r="BM32" s="171"/>
      <c r="BN32" s="170"/>
      <c r="BO32" s="170"/>
      <c r="BP32" s="170"/>
      <c r="BQ32" s="170"/>
      <c r="BR32" s="170"/>
      <c r="BS32" s="170"/>
      <c r="BT32" s="170"/>
      <c r="BU32" s="170"/>
      <c r="BV32" s="170"/>
      <c r="BW32" s="170"/>
      <c r="BX32" s="171"/>
      <c r="BY32" s="171"/>
      <c r="BZ32" s="170"/>
      <c r="CA32" s="170"/>
      <c r="CB32" s="170"/>
      <c r="CC32" s="170"/>
      <c r="CD32" s="170"/>
      <c r="CE32" s="170"/>
      <c r="CF32" s="170"/>
      <c r="CG32" s="170"/>
    </row>
    <row r="33">
      <c r="A33" s="171"/>
      <c r="B33" s="170"/>
      <c r="C33" s="170"/>
      <c r="D33" s="170"/>
      <c r="E33" s="171"/>
      <c r="F33" s="171"/>
      <c r="G33" s="171"/>
      <c r="H33" s="170"/>
      <c r="I33" s="171"/>
      <c r="J33" s="171"/>
      <c r="K33" s="171"/>
      <c r="L33" s="170"/>
      <c r="M33" s="170"/>
      <c r="N33" s="171"/>
      <c r="O33" s="170"/>
      <c r="P33" s="186"/>
      <c r="Q33" s="170"/>
      <c r="R33" s="170"/>
      <c r="S33" s="170"/>
      <c r="T33" s="170"/>
      <c r="U33" s="170"/>
      <c r="V33" s="170"/>
      <c r="W33" s="170"/>
      <c r="X33" s="170"/>
      <c r="Y33" s="170"/>
      <c r="Z33" s="170"/>
      <c r="AA33" s="170"/>
      <c r="AB33" s="170"/>
      <c r="AC33" s="170"/>
      <c r="AD33" s="170"/>
      <c r="AE33" s="170"/>
      <c r="AF33" s="171"/>
      <c r="AG33" s="170"/>
      <c r="AH33" s="170"/>
      <c r="AI33" s="170"/>
      <c r="AJ33" s="170"/>
      <c r="AK33" s="171"/>
      <c r="AL33" s="171"/>
      <c r="AM33" s="170"/>
      <c r="AN33" s="171"/>
      <c r="AO33" s="170"/>
      <c r="AP33" s="170"/>
      <c r="AQ33" s="171"/>
      <c r="AR33" s="171"/>
      <c r="AS33" s="171"/>
      <c r="AT33" s="170"/>
      <c r="AU33" s="170"/>
      <c r="AV33" s="170"/>
      <c r="AW33" s="170"/>
      <c r="AX33" s="170"/>
      <c r="AY33" s="170"/>
      <c r="AZ33" s="170"/>
      <c r="BA33" s="170"/>
      <c r="BB33" s="170"/>
      <c r="BC33" s="171"/>
      <c r="BD33" s="171"/>
      <c r="BE33" s="171"/>
      <c r="BF33" s="170"/>
      <c r="BG33" s="170"/>
      <c r="BH33" s="171"/>
      <c r="BI33" s="170"/>
      <c r="BJ33" s="170"/>
      <c r="BK33" s="170"/>
      <c r="BL33" s="170"/>
      <c r="BM33" s="171"/>
      <c r="BN33" s="170"/>
      <c r="BO33" s="170"/>
      <c r="BP33" s="170"/>
      <c r="BQ33" s="170"/>
      <c r="BR33" s="170"/>
      <c r="BS33" s="170"/>
      <c r="BT33" s="170"/>
      <c r="BU33" s="170"/>
      <c r="BV33" s="170"/>
      <c r="BW33" s="170"/>
      <c r="BX33" s="171"/>
      <c r="BY33" s="171"/>
      <c r="BZ33" s="170"/>
      <c r="CA33" s="170"/>
      <c r="CB33" s="170"/>
      <c r="CC33" s="170"/>
      <c r="CD33" s="170"/>
      <c r="CE33" s="170"/>
      <c r="CF33" s="170"/>
      <c r="CG33" s="170"/>
    </row>
    <row r="34">
      <c r="A34" s="171"/>
      <c r="B34" s="170"/>
      <c r="C34" s="170"/>
      <c r="D34" s="170"/>
      <c r="E34" s="171"/>
      <c r="F34" s="171"/>
      <c r="G34" s="171"/>
      <c r="H34" s="170"/>
      <c r="I34" s="171"/>
      <c r="J34" s="171"/>
      <c r="K34" s="171"/>
      <c r="L34" s="170"/>
      <c r="M34" s="170"/>
      <c r="N34" s="171"/>
      <c r="O34" s="170"/>
      <c r="P34" s="186"/>
      <c r="Q34" s="170"/>
      <c r="R34" s="170"/>
      <c r="S34" s="170"/>
      <c r="T34" s="170"/>
      <c r="U34" s="170"/>
      <c r="V34" s="170"/>
      <c r="W34" s="170"/>
      <c r="X34" s="170"/>
      <c r="Y34" s="170"/>
      <c r="Z34" s="170"/>
      <c r="AA34" s="170"/>
      <c r="AB34" s="170"/>
      <c r="AC34" s="170"/>
      <c r="AD34" s="170"/>
      <c r="AE34" s="170"/>
      <c r="AF34" s="171"/>
      <c r="AG34" s="170"/>
      <c r="AH34" s="170"/>
      <c r="AI34" s="170"/>
      <c r="AJ34" s="170"/>
      <c r="AK34" s="171"/>
      <c r="AL34" s="171"/>
      <c r="AM34" s="170"/>
      <c r="AN34" s="171"/>
      <c r="AO34" s="170"/>
      <c r="AP34" s="170"/>
      <c r="AQ34" s="171"/>
      <c r="AR34" s="171"/>
      <c r="AS34" s="171"/>
      <c r="AT34" s="170"/>
      <c r="AU34" s="170"/>
      <c r="AV34" s="170"/>
      <c r="AW34" s="170"/>
      <c r="AX34" s="170"/>
      <c r="AY34" s="170"/>
      <c r="AZ34" s="170"/>
      <c r="BA34" s="170"/>
      <c r="BB34" s="170"/>
      <c r="BC34" s="171"/>
      <c r="BD34" s="171"/>
      <c r="BE34" s="171"/>
      <c r="BF34" s="170"/>
      <c r="BG34" s="170"/>
      <c r="BH34" s="171"/>
      <c r="BI34" s="170"/>
      <c r="BJ34" s="170"/>
      <c r="BK34" s="170"/>
      <c r="BL34" s="170"/>
      <c r="BM34" s="171"/>
      <c r="BN34" s="170"/>
      <c r="BO34" s="170"/>
      <c r="BP34" s="170"/>
      <c r="BQ34" s="170"/>
      <c r="BR34" s="170"/>
      <c r="BS34" s="170"/>
      <c r="BT34" s="170"/>
      <c r="BU34" s="170"/>
      <c r="BV34" s="170"/>
      <c r="BW34" s="170"/>
      <c r="BX34" s="171"/>
      <c r="BY34" s="171"/>
      <c r="BZ34" s="170"/>
      <c r="CA34" s="170"/>
      <c r="CB34" s="170"/>
      <c r="CC34" s="170"/>
      <c r="CD34" s="170"/>
      <c r="CE34" s="170"/>
      <c r="CF34" s="170"/>
      <c r="CG34" s="170"/>
    </row>
    <row r="35">
      <c r="A35" s="171"/>
      <c r="B35" s="170"/>
      <c r="C35" s="170"/>
      <c r="D35" s="170"/>
      <c r="E35" s="171"/>
      <c r="F35" s="171"/>
      <c r="G35" s="171"/>
      <c r="H35" s="170"/>
      <c r="I35" s="171"/>
      <c r="J35" s="171"/>
      <c r="K35" s="171"/>
      <c r="L35" s="170"/>
      <c r="M35" s="170"/>
      <c r="N35" s="171"/>
      <c r="O35" s="170"/>
      <c r="P35" s="186"/>
      <c r="Q35" s="170"/>
      <c r="R35" s="170"/>
      <c r="S35" s="170"/>
      <c r="T35" s="170"/>
      <c r="U35" s="170"/>
      <c r="V35" s="170"/>
      <c r="W35" s="170"/>
      <c r="X35" s="170"/>
      <c r="Y35" s="170"/>
      <c r="Z35" s="170"/>
      <c r="AA35" s="170"/>
      <c r="AB35" s="170"/>
      <c r="AC35" s="170"/>
      <c r="AD35" s="170"/>
      <c r="AE35" s="170"/>
      <c r="AF35" s="171"/>
      <c r="AG35" s="170"/>
      <c r="AH35" s="170"/>
      <c r="AI35" s="170"/>
      <c r="AJ35" s="170"/>
      <c r="AK35" s="171"/>
      <c r="AL35" s="171"/>
      <c r="AM35" s="170"/>
      <c r="AN35" s="171"/>
      <c r="AO35" s="170"/>
      <c r="AP35" s="170"/>
      <c r="AQ35" s="171"/>
      <c r="AR35" s="171"/>
      <c r="AS35" s="171"/>
      <c r="AT35" s="170"/>
      <c r="AU35" s="170"/>
      <c r="AV35" s="170"/>
      <c r="AW35" s="170"/>
      <c r="AX35" s="170"/>
      <c r="AY35" s="170"/>
      <c r="AZ35" s="170"/>
      <c r="BA35" s="170"/>
      <c r="BB35" s="170"/>
      <c r="BC35" s="171"/>
      <c r="BD35" s="171"/>
      <c r="BE35" s="171"/>
      <c r="BF35" s="170"/>
      <c r="BG35" s="170"/>
      <c r="BH35" s="171"/>
      <c r="BI35" s="170"/>
      <c r="BJ35" s="170"/>
      <c r="BK35" s="170"/>
      <c r="BL35" s="170"/>
      <c r="BM35" s="171"/>
      <c r="BN35" s="170"/>
      <c r="BO35" s="170"/>
      <c r="BP35" s="170"/>
      <c r="BQ35" s="170"/>
      <c r="BR35" s="170"/>
      <c r="BS35" s="170"/>
      <c r="BT35" s="170"/>
      <c r="BU35" s="170"/>
      <c r="BV35" s="170"/>
      <c r="BW35" s="170"/>
      <c r="BX35" s="171"/>
      <c r="BY35" s="171"/>
      <c r="BZ35" s="170"/>
      <c r="CA35" s="170"/>
      <c r="CB35" s="170"/>
      <c r="CC35" s="170"/>
      <c r="CD35" s="170"/>
      <c r="CE35" s="170"/>
      <c r="CF35" s="170"/>
      <c r="CG35" s="170"/>
    </row>
    <row r="36">
      <c r="A36" s="171"/>
      <c r="B36" s="170"/>
      <c r="C36" s="170"/>
      <c r="D36" s="170"/>
      <c r="E36" s="171"/>
      <c r="F36" s="171"/>
      <c r="G36" s="171"/>
      <c r="H36" s="170"/>
      <c r="I36" s="171"/>
      <c r="J36" s="171"/>
      <c r="K36" s="171"/>
      <c r="L36" s="170"/>
      <c r="M36" s="170"/>
      <c r="N36" s="171"/>
      <c r="O36" s="170"/>
      <c r="P36" s="186"/>
      <c r="Q36" s="170"/>
      <c r="R36" s="170"/>
      <c r="S36" s="170"/>
      <c r="T36" s="170"/>
      <c r="U36" s="170"/>
      <c r="V36" s="170"/>
      <c r="W36" s="170"/>
      <c r="X36" s="170"/>
      <c r="Y36" s="170"/>
      <c r="Z36" s="170"/>
      <c r="AA36" s="170"/>
      <c r="AB36" s="170"/>
      <c r="AC36" s="170"/>
      <c r="AD36" s="170"/>
      <c r="AE36" s="170"/>
      <c r="AF36" s="171"/>
      <c r="AG36" s="170"/>
      <c r="AH36" s="170"/>
      <c r="AI36" s="170"/>
      <c r="AJ36" s="170"/>
      <c r="AK36" s="171"/>
      <c r="AL36" s="171"/>
      <c r="AM36" s="170"/>
      <c r="AN36" s="171"/>
      <c r="AO36" s="170"/>
      <c r="AP36" s="170"/>
      <c r="AQ36" s="171"/>
      <c r="AR36" s="171"/>
      <c r="AS36" s="171"/>
      <c r="AT36" s="170"/>
      <c r="AU36" s="170"/>
      <c r="AV36" s="170"/>
      <c r="AW36" s="170"/>
      <c r="AX36" s="170"/>
      <c r="AY36" s="170"/>
      <c r="AZ36" s="170"/>
      <c r="BA36" s="170"/>
      <c r="BB36" s="170"/>
      <c r="BC36" s="171"/>
      <c r="BD36" s="171"/>
      <c r="BE36" s="171"/>
      <c r="BF36" s="170"/>
      <c r="BG36" s="170"/>
      <c r="BH36" s="171"/>
      <c r="BI36" s="170"/>
      <c r="BJ36" s="170"/>
      <c r="BK36" s="170"/>
      <c r="BL36" s="170"/>
      <c r="BM36" s="171"/>
      <c r="BN36" s="170"/>
      <c r="BO36" s="170"/>
      <c r="BP36" s="170"/>
      <c r="BQ36" s="170"/>
      <c r="BR36" s="170"/>
      <c r="BS36" s="170"/>
      <c r="BT36" s="170"/>
      <c r="BU36" s="170"/>
      <c r="BV36" s="170"/>
      <c r="BW36" s="170"/>
      <c r="BX36" s="171"/>
      <c r="BY36" s="171"/>
      <c r="BZ36" s="170"/>
      <c r="CA36" s="170"/>
      <c r="CB36" s="170"/>
      <c r="CC36" s="170"/>
      <c r="CD36" s="170"/>
      <c r="CE36" s="170"/>
      <c r="CF36" s="170"/>
      <c r="CG36" s="170"/>
    </row>
    <row r="37">
      <c r="A37" s="171"/>
      <c r="B37" s="170"/>
      <c r="C37" s="170"/>
      <c r="D37" s="170"/>
      <c r="E37" s="171"/>
      <c r="F37" s="171"/>
      <c r="G37" s="171"/>
      <c r="H37" s="170"/>
      <c r="I37" s="171"/>
      <c r="J37" s="171"/>
      <c r="K37" s="171"/>
      <c r="L37" s="170"/>
      <c r="M37" s="170"/>
      <c r="N37" s="171"/>
      <c r="O37" s="170"/>
      <c r="P37" s="186"/>
      <c r="Q37" s="170"/>
      <c r="R37" s="170"/>
      <c r="S37" s="170"/>
      <c r="T37" s="170"/>
      <c r="U37" s="170"/>
      <c r="V37" s="170"/>
      <c r="W37" s="170"/>
      <c r="X37" s="170"/>
      <c r="Y37" s="170"/>
      <c r="Z37" s="170"/>
      <c r="AA37" s="170"/>
      <c r="AB37" s="170"/>
      <c r="AC37" s="170"/>
      <c r="AD37" s="170"/>
      <c r="AE37" s="170"/>
      <c r="AF37" s="171"/>
      <c r="AG37" s="170"/>
      <c r="AH37" s="170"/>
      <c r="AI37" s="170"/>
      <c r="AJ37" s="170"/>
      <c r="AK37" s="171"/>
      <c r="AL37" s="171"/>
      <c r="AM37" s="170"/>
      <c r="AN37" s="171"/>
      <c r="AO37" s="170"/>
      <c r="AP37" s="170"/>
      <c r="AQ37" s="171"/>
      <c r="AR37" s="171"/>
      <c r="AS37" s="171"/>
      <c r="AT37" s="170"/>
      <c r="AU37" s="170"/>
      <c r="AV37" s="170"/>
      <c r="AW37" s="170"/>
      <c r="AX37" s="170"/>
      <c r="AY37" s="170"/>
      <c r="AZ37" s="170"/>
      <c r="BA37" s="170"/>
      <c r="BB37" s="170"/>
      <c r="BC37" s="171"/>
      <c r="BD37" s="171"/>
      <c r="BE37" s="171"/>
      <c r="BF37" s="170"/>
      <c r="BG37" s="170"/>
      <c r="BH37" s="171"/>
      <c r="BI37" s="170"/>
      <c r="BJ37" s="170"/>
      <c r="BK37" s="170"/>
      <c r="BL37" s="170"/>
      <c r="BM37" s="171"/>
      <c r="BN37" s="170"/>
      <c r="BO37" s="170"/>
      <c r="BP37" s="170"/>
      <c r="BQ37" s="170"/>
      <c r="BR37" s="170"/>
      <c r="BS37" s="170"/>
      <c r="BT37" s="170"/>
      <c r="BU37" s="170"/>
      <c r="BV37" s="170"/>
      <c r="BW37" s="170"/>
      <c r="BX37" s="171"/>
      <c r="BY37" s="171"/>
      <c r="BZ37" s="170"/>
      <c r="CA37" s="170"/>
      <c r="CB37" s="170"/>
      <c r="CC37" s="170"/>
      <c r="CD37" s="170"/>
      <c r="CE37" s="170"/>
      <c r="CF37" s="170"/>
      <c r="CG37" s="170"/>
    </row>
    <row r="38">
      <c r="A38" s="171"/>
      <c r="B38" s="170"/>
      <c r="C38" s="170"/>
      <c r="D38" s="170"/>
      <c r="E38" s="171"/>
      <c r="F38" s="171"/>
      <c r="G38" s="171"/>
      <c r="H38" s="170"/>
      <c r="I38" s="171"/>
      <c r="J38" s="171"/>
      <c r="K38" s="171"/>
      <c r="L38" s="170"/>
      <c r="M38" s="170"/>
      <c r="N38" s="171"/>
      <c r="O38" s="170"/>
      <c r="P38" s="186"/>
      <c r="Q38" s="170"/>
      <c r="R38" s="170"/>
      <c r="S38" s="170"/>
      <c r="T38" s="170"/>
      <c r="U38" s="170"/>
      <c r="V38" s="170"/>
      <c r="W38" s="170"/>
      <c r="X38" s="170"/>
      <c r="Y38" s="170"/>
      <c r="Z38" s="170"/>
      <c r="AA38" s="170"/>
      <c r="AB38" s="170"/>
      <c r="AC38" s="170"/>
      <c r="AD38" s="170"/>
      <c r="AE38" s="170"/>
      <c r="AF38" s="171"/>
      <c r="AG38" s="170"/>
      <c r="AH38" s="170"/>
      <c r="AI38" s="170"/>
      <c r="AJ38" s="170"/>
      <c r="AK38" s="171"/>
      <c r="AL38" s="171"/>
      <c r="AM38" s="170"/>
      <c r="AN38" s="171"/>
      <c r="AO38" s="170"/>
      <c r="AP38" s="170"/>
      <c r="AQ38" s="171"/>
      <c r="AR38" s="171"/>
      <c r="AS38" s="171"/>
      <c r="AT38" s="170"/>
      <c r="AU38" s="170"/>
      <c r="AV38" s="170"/>
      <c r="AW38" s="170"/>
      <c r="AX38" s="170"/>
      <c r="AY38" s="170"/>
      <c r="AZ38" s="170"/>
      <c r="BA38" s="170"/>
      <c r="BB38" s="170"/>
      <c r="BC38" s="171"/>
      <c r="BD38" s="171"/>
      <c r="BE38" s="171"/>
      <c r="BF38" s="170"/>
      <c r="BG38" s="170"/>
      <c r="BH38" s="171"/>
      <c r="BI38" s="170"/>
      <c r="BJ38" s="170"/>
      <c r="BK38" s="170"/>
      <c r="BL38" s="170"/>
      <c r="BM38" s="171"/>
      <c r="BN38" s="170"/>
      <c r="BO38" s="170"/>
      <c r="BP38" s="170"/>
      <c r="BQ38" s="170"/>
      <c r="BR38" s="170"/>
      <c r="BS38" s="170"/>
      <c r="BT38" s="170"/>
      <c r="BU38" s="170"/>
      <c r="BV38" s="170"/>
      <c r="BW38" s="170"/>
      <c r="BX38" s="171"/>
      <c r="BY38" s="171"/>
      <c r="BZ38" s="170"/>
      <c r="CA38" s="170"/>
      <c r="CB38" s="170"/>
      <c r="CC38" s="170"/>
      <c r="CD38" s="170"/>
      <c r="CE38" s="170"/>
      <c r="CF38" s="170"/>
      <c r="CG38" s="170"/>
    </row>
    <row r="39">
      <c r="A39" s="171"/>
      <c r="B39" s="170"/>
      <c r="C39" s="170"/>
      <c r="D39" s="170"/>
      <c r="E39" s="171"/>
      <c r="F39" s="171"/>
      <c r="G39" s="171"/>
      <c r="H39" s="170"/>
      <c r="I39" s="171"/>
      <c r="J39" s="171"/>
      <c r="K39" s="171"/>
      <c r="L39" s="170"/>
      <c r="M39" s="170"/>
      <c r="N39" s="171"/>
      <c r="O39" s="170"/>
      <c r="P39" s="186"/>
      <c r="Q39" s="170"/>
      <c r="R39" s="170"/>
      <c r="S39" s="170"/>
      <c r="T39" s="170"/>
      <c r="U39" s="170"/>
      <c r="V39" s="170"/>
      <c r="W39" s="170"/>
      <c r="X39" s="170"/>
      <c r="Y39" s="170"/>
      <c r="Z39" s="170"/>
      <c r="AA39" s="170"/>
      <c r="AB39" s="170"/>
      <c r="AC39" s="170"/>
      <c r="AD39" s="170"/>
      <c r="AE39" s="170"/>
      <c r="AF39" s="171"/>
      <c r="AG39" s="170"/>
      <c r="AH39" s="170"/>
      <c r="AI39" s="170"/>
      <c r="AJ39" s="170"/>
      <c r="AK39" s="171"/>
      <c r="AL39" s="171"/>
      <c r="AM39" s="170"/>
      <c r="AN39" s="171"/>
      <c r="AO39" s="170"/>
      <c r="AP39" s="170"/>
      <c r="AQ39" s="171"/>
      <c r="AR39" s="171"/>
      <c r="AS39" s="171"/>
      <c r="AT39" s="170"/>
      <c r="AU39" s="170"/>
      <c r="AV39" s="170"/>
      <c r="AW39" s="170"/>
      <c r="AX39" s="170"/>
      <c r="AY39" s="170"/>
      <c r="AZ39" s="170"/>
      <c r="BA39" s="170"/>
      <c r="BB39" s="170"/>
      <c r="BC39" s="171"/>
      <c r="BD39" s="171"/>
      <c r="BE39" s="171"/>
      <c r="BF39" s="170"/>
      <c r="BG39" s="170"/>
      <c r="BH39" s="171"/>
      <c r="BI39" s="170"/>
      <c r="BJ39" s="170"/>
      <c r="BK39" s="170"/>
      <c r="BL39" s="170"/>
      <c r="BM39" s="171"/>
      <c r="BN39" s="170"/>
      <c r="BO39" s="170"/>
      <c r="BP39" s="170"/>
      <c r="BQ39" s="170"/>
      <c r="BR39" s="170"/>
      <c r="BS39" s="170"/>
      <c r="BT39" s="170"/>
      <c r="BU39" s="170"/>
      <c r="BV39" s="170"/>
      <c r="BW39" s="170"/>
      <c r="BX39" s="171"/>
      <c r="BY39" s="171"/>
      <c r="BZ39" s="170"/>
      <c r="CA39" s="170"/>
      <c r="CB39" s="170"/>
      <c r="CC39" s="170"/>
      <c r="CD39" s="170"/>
      <c r="CE39" s="170"/>
      <c r="CF39" s="170"/>
      <c r="CG39" s="170"/>
    </row>
    <row r="40">
      <c r="A40" s="171"/>
      <c r="B40" s="170"/>
      <c r="C40" s="170"/>
      <c r="D40" s="170"/>
      <c r="E40" s="171"/>
      <c r="F40" s="171"/>
      <c r="G40" s="171"/>
      <c r="H40" s="170"/>
      <c r="I40" s="171"/>
      <c r="J40" s="171"/>
      <c r="K40" s="171"/>
      <c r="L40" s="170"/>
      <c r="M40" s="170"/>
      <c r="N40" s="171"/>
      <c r="O40" s="170"/>
      <c r="P40" s="186"/>
      <c r="Q40" s="170"/>
      <c r="R40" s="170"/>
      <c r="S40" s="170"/>
      <c r="T40" s="170"/>
      <c r="U40" s="170"/>
      <c r="V40" s="170"/>
      <c r="W40" s="170"/>
      <c r="X40" s="170"/>
      <c r="Y40" s="170"/>
      <c r="Z40" s="170"/>
      <c r="AA40" s="170"/>
      <c r="AB40" s="170"/>
      <c r="AC40" s="170"/>
      <c r="AD40" s="170"/>
      <c r="AE40" s="170"/>
      <c r="AF40" s="171"/>
      <c r="AG40" s="170"/>
      <c r="AH40" s="170"/>
      <c r="AI40" s="170"/>
      <c r="AJ40" s="170"/>
      <c r="AK40" s="171"/>
      <c r="AL40" s="171"/>
      <c r="AM40" s="170"/>
      <c r="AN40" s="171"/>
      <c r="AO40" s="170"/>
      <c r="AP40" s="170"/>
      <c r="AQ40" s="171"/>
      <c r="AR40" s="171"/>
      <c r="AS40" s="171"/>
      <c r="AT40" s="170"/>
      <c r="AU40" s="170"/>
      <c r="AV40" s="170"/>
      <c r="AW40" s="170"/>
      <c r="AX40" s="170"/>
      <c r="AY40" s="170"/>
      <c r="AZ40" s="170"/>
      <c r="BA40" s="170"/>
      <c r="BB40" s="170"/>
      <c r="BC40" s="171"/>
      <c r="BD40" s="171"/>
      <c r="BE40" s="171"/>
      <c r="BF40" s="170"/>
      <c r="BG40" s="170"/>
      <c r="BH40" s="171"/>
      <c r="BI40" s="170"/>
      <c r="BJ40" s="170"/>
      <c r="BK40" s="170"/>
      <c r="BL40" s="170"/>
      <c r="BM40" s="171"/>
      <c r="BN40" s="170"/>
      <c r="BO40" s="170"/>
      <c r="BP40" s="170"/>
      <c r="BQ40" s="170"/>
      <c r="BR40" s="170"/>
      <c r="BS40" s="170"/>
      <c r="BT40" s="170"/>
      <c r="BU40" s="170"/>
      <c r="BV40" s="170"/>
      <c r="BW40" s="170"/>
      <c r="BX40" s="171"/>
      <c r="BY40" s="171"/>
      <c r="BZ40" s="170"/>
      <c r="CA40" s="170"/>
      <c r="CB40" s="170"/>
      <c r="CC40" s="170"/>
      <c r="CD40" s="170"/>
      <c r="CE40" s="170"/>
      <c r="CF40" s="170"/>
      <c r="CG40" s="170"/>
    </row>
    <row r="41">
      <c r="A41" s="171"/>
      <c r="B41" s="170"/>
      <c r="C41" s="170"/>
      <c r="D41" s="170"/>
      <c r="E41" s="171"/>
      <c r="F41" s="171"/>
      <c r="G41" s="171"/>
      <c r="H41" s="170"/>
      <c r="I41" s="171"/>
      <c r="J41" s="171"/>
      <c r="K41" s="171"/>
      <c r="L41" s="170"/>
      <c r="M41" s="170"/>
      <c r="N41" s="171"/>
      <c r="O41" s="170"/>
      <c r="P41" s="186"/>
      <c r="Q41" s="170"/>
      <c r="R41" s="170"/>
      <c r="S41" s="170"/>
      <c r="T41" s="170"/>
      <c r="U41" s="170"/>
      <c r="V41" s="170"/>
      <c r="W41" s="170"/>
      <c r="X41" s="170"/>
      <c r="Y41" s="170"/>
      <c r="Z41" s="170"/>
      <c r="AA41" s="170"/>
      <c r="AB41" s="170"/>
      <c r="AC41" s="170"/>
      <c r="AD41" s="170"/>
      <c r="AE41" s="170"/>
      <c r="AF41" s="171"/>
      <c r="AG41" s="170"/>
      <c r="AH41" s="170"/>
      <c r="AI41" s="170"/>
      <c r="AJ41" s="170"/>
      <c r="AK41" s="171"/>
      <c r="AL41" s="171"/>
      <c r="AM41" s="170"/>
      <c r="AN41" s="171"/>
      <c r="AO41" s="170"/>
      <c r="AP41" s="170"/>
      <c r="AQ41" s="171"/>
      <c r="AR41" s="171"/>
      <c r="AS41" s="171"/>
      <c r="AT41" s="170"/>
      <c r="AU41" s="170"/>
      <c r="AV41" s="170"/>
      <c r="AW41" s="170"/>
      <c r="AX41" s="170"/>
      <c r="AY41" s="170"/>
      <c r="AZ41" s="170"/>
      <c r="BA41" s="170"/>
      <c r="BB41" s="170"/>
      <c r="BC41" s="171"/>
      <c r="BD41" s="171"/>
      <c r="BE41" s="171"/>
      <c r="BF41" s="170"/>
      <c r="BG41" s="170"/>
      <c r="BH41" s="171"/>
      <c r="BI41" s="170"/>
      <c r="BJ41" s="170"/>
      <c r="BK41" s="170"/>
      <c r="BL41" s="170"/>
      <c r="BM41" s="171"/>
      <c r="BN41" s="170"/>
      <c r="BO41" s="170"/>
      <c r="BP41" s="170"/>
      <c r="BQ41" s="170"/>
      <c r="BR41" s="170"/>
      <c r="BS41" s="170"/>
      <c r="BT41" s="170"/>
      <c r="BU41" s="170"/>
      <c r="BV41" s="170"/>
      <c r="BW41" s="170"/>
      <c r="BX41" s="171"/>
      <c r="BY41" s="171"/>
      <c r="BZ41" s="170"/>
      <c r="CA41" s="170"/>
      <c r="CB41" s="170"/>
      <c r="CC41" s="170"/>
      <c r="CD41" s="170"/>
      <c r="CE41" s="170"/>
      <c r="CF41" s="170"/>
      <c r="CG41" s="170"/>
    </row>
    <row r="42">
      <c r="A42" s="171"/>
      <c r="B42" s="170"/>
      <c r="C42" s="170"/>
      <c r="D42" s="170"/>
      <c r="E42" s="171"/>
      <c r="F42" s="171"/>
      <c r="G42" s="171"/>
      <c r="H42" s="170"/>
      <c r="I42" s="171"/>
      <c r="J42" s="171"/>
      <c r="K42" s="171"/>
      <c r="L42" s="170"/>
      <c r="M42" s="170"/>
      <c r="N42" s="171"/>
      <c r="O42" s="170"/>
      <c r="P42" s="186"/>
      <c r="Q42" s="170"/>
      <c r="R42" s="170"/>
      <c r="S42" s="170"/>
      <c r="T42" s="170"/>
      <c r="U42" s="170"/>
      <c r="V42" s="170"/>
      <c r="W42" s="170"/>
      <c r="X42" s="170"/>
      <c r="Y42" s="170"/>
      <c r="Z42" s="170"/>
      <c r="AA42" s="170"/>
      <c r="AB42" s="170"/>
      <c r="AC42" s="170"/>
      <c r="AD42" s="170"/>
      <c r="AE42" s="170"/>
      <c r="AF42" s="171"/>
      <c r="AG42" s="170"/>
      <c r="AH42" s="170"/>
      <c r="AI42" s="170"/>
      <c r="AJ42" s="170"/>
      <c r="AK42" s="171"/>
      <c r="AL42" s="171"/>
      <c r="AM42" s="170"/>
      <c r="AN42" s="171"/>
      <c r="AO42" s="170"/>
      <c r="AP42" s="170"/>
      <c r="AQ42" s="171"/>
      <c r="AR42" s="171"/>
      <c r="AS42" s="171"/>
      <c r="AT42" s="170"/>
      <c r="AU42" s="170"/>
      <c r="AV42" s="170"/>
      <c r="AW42" s="170"/>
      <c r="AX42" s="170"/>
      <c r="AY42" s="170"/>
      <c r="AZ42" s="170"/>
      <c r="BA42" s="170"/>
      <c r="BB42" s="170"/>
      <c r="BC42" s="171"/>
      <c r="BD42" s="171"/>
      <c r="BE42" s="171"/>
      <c r="BF42" s="170"/>
      <c r="BG42" s="170"/>
      <c r="BH42" s="171"/>
      <c r="BI42" s="170"/>
      <c r="BJ42" s="170"/>
      <c r="BK42" s="170"/>
      <c r="BL42" s="170"/>
      <c r="BM42" s="171"/>
      <c r="BN42" s="170"/>
      <c r="BO42" s="170"/>
      <c r="BP42" s="170"/>
      <c r="BQ42" s="170"/>
      <c r="BR42" s="170"/>
      <c r="BS42" s="170"/>
      <c r="BT42" s="170"/>
      <c r="BU42" s="170"/>
      <c r="BV42" s="170"/>
      <c r="BW42" s="170"/>
      <c r="BX42" s="171"/>
      <c r="BY42" s="171"/>
      <c r="BZ42" s="170"/>
      <c r="CA42" s="170"/>
      <c r="CB42" s="170"/>
      <c r="CC42" s="170"/>
      <c r="CD42" s="170"/>
      <c r="CE42" s="170"/>
      <c r="CF42" s="170"/>
      <c r="CG42" s="170"/>
    </row>
    <row r="43">
      <c r="A43" s="171"/>
      <c r="B43" s="170"/>
      <c r="C43" s="170"/>
      <c r="D43" s="170"/>
      <c r="E43" s="171"/>
      <c r="F43" s="171"/>
      <c r="G43" s="171"/>
      <c r="H43" s="170"/>
      <c r="I43" s="171"/>
      <c r="J43" s="171"/>
      <c r="K43" s="171"/>
      <c r="L43" s="170"/>
      <c r="M43" s="170"/>
      <c r="N43" s="171"/>
      <c r="O43" s="170"/>
      <c r="P43" s="186"/>
      <c r="Q43" s="170"/>
      <c r="R43" s="170"/>
      <c r="S43" s="170"/>
      <c r="T43" s="170"/>
      <c r="U43" s="170"/>
      <c r="V43" s="170"/>
      <c r="W43" s="170"/>
      <c r="X43" s="170"/>
      <c r="Y43" s="170"/>
      <c r="Z43" s="170"/>
      <c r="AA43" s="170"/>
      <c r="AB43" s="170"/>
      <c r="AC43" s="170"/>
      <c r="AD43" s="170"/>
      <c r="AE43" s="170"/>
      <c r="AF43" s="171"/>
      <c r="AG43" s="170"/>
      <c r="AH43" s="170"/>
      <c r="AI43" s="170"/>
      <c r="AJ43" s="170"/>
      <c r="AK43" s="171"/>
      <c r="AL43" s="171"/>
      <c r="AM43" s="170"/>
      <c r="AN43" s="171"/>
      <c r="AO43" s="170"/>
      <c r="AP43" s="170"/>
      <c r="AQ43" s="171"/>
      <c r="AR43" s="171"/>
      <c r="AS43" s="171"/>
      <c r="AT43" s="170"/>
      <c r="AU43" s="170"/>
      <c r="AV43" s="170"/>
      <c r="AW43" s="170"/>
      <c r="AX43" s="170"/>
      <c r="AY43" s="170"/>
      <c r="AZ43" s="170"/>
      <c r="BA43" s="170"/>
      <c r="BB43" s="170"/>
      <c r="BC43" s="171"/>
      <c r="BD43" s="171"/>
      <c r="BE43" s="171"/>
      <c r="BF43" s="170"/>
      <c r="BG43" s="170"/>
      <c r="BH43" s="171"/>
      <c r="BI43" s="170"/>
      <c r="BJ43" s="170"/>
      <c r="BK43" s="170"/>
      <c r="BL43" s="170"/>
      <c r="BM43" s="171"/>
      <c r="BN43" s="170"/>
      <c r="BO43" s="170"/>
      <c r="BP43" s="170"/>
      <c r="BQ43" s="170"/>
      <c r="BR43" s="170"/>
      <c r="BS43" s="170"/>
      <c r="BT43" s="170"/>
      <c r="BU43" s="170"/>
      <c r="BV43" s="170"/>
      <c r="BW43" s="170"/>
      <c r="BX43" s="171"/>
      <c r="BY43" s="171"/>
      <c r="BZ43" s="170"/>
      <c r="CA43" s="170"/>
      <c r="CB43" s="170"/>
      <c r="CC43" s="170"/>
      <c r="CD43" s="170"/>
      <c r="CE43" s="170"/>
      <c r="CF43" s="170"/>
      <c r="CG43" s="170"/>
    </row>
    <row r="44">
      <c r="A44" s="171"/>
      <c r="B44" s="170"/>
      <c r="C44" s="170"/>
      <c r="D44" s="170"/>
      <c r="E44" s="171"/>
      <c r="F44" s="171"/>
      <c r="G44" s="171"/>
      <c r="H44" s="170"/>
      <c r="I44" s="171"/>
      <c r="J44" s="171"/>
      <c r="K44" s="171"/>
      <c r="L44" s="170"/>
      <c r="M44" s="170"/>
      <c r="N44" s="171"/>
      <c r="O44" s="170"/>
      <c r="P44" s="186"/>
      <c r="Q44" s="170"/>
      <c r="R44" s="170"/>
      <c r="S44" s="170"/>
      <c r="T44" s="170"/>
      <c r="U44" s="170"/>
      <c r="V44" s="170"/>
      <c r="W44" s="170"/>
      <c r="X44" s="170"/>
      <c r="Y44" s="170"/>
      <c r="Z44" s="170"/>
      <c r="AA44" s="170"/>
      <c r="AB44" s="170"/>
      <c r="AC44" s="170"/>
      <c r="AD44" s="170"/>
      <c r="AE44" s="170"/>
      <c r="AF44" s="171"/>
      <c r="AG44" s="170"/>
      <c r="AH44" s="170"/>
      <c r="AI44" s="170"/>
      <c r="AJ44" s="170"/>
      <c r="AK44" s="171"/>
      <c r="AL44" s="171"/>
      <c r="AM44" s="170"/>
      <c r="AN44" s="171"/>
      <c r="AO44" s="170"/>
      <c r="AP44" s="170"/>
      <c r="AQ44" s="171"/>
      <c r="AR44" s="171"/>
      <c r="AS44" s="171"/>
      <c r="AT44" s="170"/>
      <c r="AU44" s="170"/>
      <c r="AV44" s="170"/>
      <c r="AW44" s="170"/>
      <c r="AX44" s="170"/>
      <c r="AY44" s="170"/>
      <c r="AZ44" s="170"/>
      <c r="BA44" s="170"/>
      <c r="BB44" s="170"/>
      <c r="BC44" s="171"/>
      <c r="BD44" s="171"/>
      <c r="BE44" s="171"/>
      <c r="BF44" s="170"/>
      <c r="BG44" s="170"/>
      <c r="BH44" s="171"/>
      <c r="BI44" s="170"/>
      <c r="BJ44" s="170"/>
      <c r="BK44" s="170"/>
      <c r="BL44" s="170"/>
      <c r="BM44" s="171"/>
      <c r="BN44" s="170"/>
      <c r="BO44" s="170"/>
      <c r="BP44" s="170"/>
      <c r="BQ44" s="170"/>
      <c r="BR44" s="170"/>
      <c r="BS44" s="170"/>
      <c r="BT44" s="170"/>
      <c r="BU44" s="170"/>
      <c r="BV44" s="170"/>
      <c r="BW44" s="170"/>
      <c r="BX44" s="171"/>
      <c r="BY44" s="171"/>
      <c r="BZ44" s="170"/>
      <c r="CA44" s="170"/>
      <c r="CB44" s="170"/>
      <c r="CC44" s="170"/>
      <c r="CD44" s="170"/>
      <c r="CE44" s="170"/>
      <c r="CF44" s="170"/>
      <c r="CG44" s="170"/>
    </row>
    <row r="45">
      <c r="A45" s="171"/>
      <c r="B45" s="170"/>
      <c r="C45" s="170"/>
      <c r="D45" s="170"/>
      <c r="E45" s="171"/>
      <c r="F45" s="171"/>
      <c r="G45" s="171"/>
      <c r="H45" s="170"/>
      <c r="I45" s="171"/>
      <c r="J45" s="171"/>
      <c r="K45" s="171"/>
      <c r="L45" s="170"/>
      <c r="M45" s="170"/>
      <c r="N45" s="171"/>
      <c r="O45" s="170"/>
      <c r="P45" s="186"/>
      <c r="Q45" s="170"/>
      <c r="R45" s="170"/>
      <c r="S45" s="170"/>
      <c r="T45" s="170"/>
      <c r="U45" s="170"/>
      <c r="V45" s="170"/>
      <c r="W45" s="170"/>
      <c r="X45" s="170"/>
      <c r="Y45" s="170"/>
      <c r="Z45" s="170"/>
      <c r="AA45" s="170"/>
      <c r="AB45" s="170"/>
      <c r="AC45" s="170"/>
      <c r="AD45" s="170"/>
      <c r="AE45" s="170"/>
      <c r="AF45" s="171"/>
      <c r="AG45" s="170"/>
      <c r="AH45" s="170"/>
      <c r="AI45" s="170"/>
      <c r="AJ45" s="170"/>
      <c r="AK45" s="171"/>
      <c r="AL45" s="171"/>
      <c r="AM45" s="170"/>
      <c r="AN45" s="171"/>
      <c r="AO45" s="170"/>
      <c r="AP45" s="170"/>
      <c r="AQ45" s="171"/>
      <c r="AR45" s="171"/>
      <c r="AS45" s="171"/>
      <c r="AT45" s="170"/>
      <c r="AU45" s="170"/>
      <c r="AV45" s="170"/>
      <c r="AW45" s="170"/>
      <c r="AX45" s="170"/>
      <c r="AY45" s="170"/>
      <c r="AZ45" s="170"/>
      <c r="BA45" s="170"/>
      <c r="BB45" s="170"/>
      <c r="BC45" s="171"/>
      <c r="BD45" s="171"/>
      <c r="BE45" s="171"/>
      <c r="BF45" s="170"/>
      <c r="BG45" s="170"/>
      <c r="BH45" s="171"/>
      <c r="BI45" s="170"/>
      <c r="BJ45" s="170"/>
      <c r="BK45" s="170"/>
      <c r="BL45" s="170"/>
      <c r="BM45" s="171"/>
      <c r="BN45" s="170"/>
      <c r="BO45" s="170"/>
      <c r="BP45" s="170"/>
      <c r="BQ45" s="170"/>
      <c r="BR45" s="170"/>
      <c r="BS45" s="170"/>
      <c r="BT45" s="170"/>
      <c r="BU45" s="170"/>
      <c r="BV45" s="170"/>
      <c r="BW45" s="170"/>
      <c r="BX45" s="171"/>
      <c r="BY45" s="171"/>
      <c r="BZ45" s="170"/>
      <c r="CA45" s="170"/>
      <c r="CB45" s="170"/>
      <c r="CC45" s="170"/>
      <c r="CD45" s="170"/>
      <c r="CE45" s="170"/>
      <c r="CF45" s="170"/>
      <c r="CG45" s="170"/>
    </row>
    <row r="46">
      <c r="A46" s="171"/>
      <c r="B46" s="170"/>
      <c r="C46" s="170"/>
      <c r="D46" s="170"/>
      <c r="E46" s="171"/>
      <c r="F46" s="171"/>
      <c r="G46" s="171"/>
      <c r="H46" s="170"/>
      <c r="I46" s="171"/>
      <c r="J46" s="171"/>
      <c r="K46" s="171"/>
      <c r="L46" s="170"/>
      <c r="M46" s="170"/>
      <c r="N46" s="171"/>
      <c r="O46" s="170"/>
      <c r="P46" s="186"/>
      <c r="Q46" s="170"/>
      <c r="R46" s="170"/>
      <c r="S46" s="170"/>
      <c r="T46" s="170"/>
      <c r="U46" s="170"/>
      <c r="V46" s="170"/>
      <c r="W46" s="170"/>
      <c r="X46" s="170"/>
      <c r="Y46" s="170"/>
      <c r="Z46" s="170"/>
      <c r="AA46" s="170"/>
      <c r="AB46" s="170"/>
      <c r="AC46" s="170"/>
      <c r="AD46" s="170"/>
      <c r="AE46" s="170"/>
      <c r="AF46" s="171"/>
      <c r="AG46" s="170"/>
      <c r="AH46" s="170"/>
      <c r="AI46" s="170"/>
      <c r="AJ46" s="170"/>
      <c r="AK46" s="171"/>
      <c r="AL46" s="171"/>
      <c r="AM46" s="170"/>
      <c r="AN46" s="171"/>
      <c r="AO46" s="170"/>
      <c r="AP46" s="170"/>
      <c r="AQ46" s="171"/>
      <c r="AR46" s="171"/>
      <c r="AS46" s="171"/>
      <c r="AT46" s="170"/>
      <c r="AU46" s="170"/>
      <c r="AV46" s="170"/>
      <c r="AW46" s="170"/>
      <c r="AX46" s="170"/>
      <c r="AY46" s="170"/>
      <c r="AZ46" s="170"/>
      <c r="BA46" s="170"/>
      <c r="BB46" s="170"/>
      <c r="BC46" s="171"/>
      <c r="BD46" s="171"/>
      <c r="BE46" s="171"/>
      <c r="BF46" s="170"/>
      <c r="BG46" s="170"/>
      <c r="BH46" s="171"/>
      <c r="BI46" s="170"/>
      <c r="BJ46" s="170"/>
      <c r="BK46" s="170"/>
      <c r="BL46" s="170"/>
      <c r="BM46" s="171"/>
      <c r="BN46" s="170"/>
      <c r="BO46" s="170"/>
      <c r="BP46" s="170"/>
      <c r="BQ46" s="170"/>
      <c r="BR46" s="170"/>
      <c r="BS46" s="170"/>
      <c r="BT46" s="170"/>
      <c r="BU46" s="170"/>
      <c r="BV46" s="170"/>
      <c r="BW46" s="170"/>
      <c r="BX46" s="171"/>
      <c r="BY46" s="171"/>
      <c r="BZ46" s="170"/>
      <c r="CA46" s="170"/>
      <c r="CB46" s="170"/>
      <c r="CC46" s="170"/>
      <c r="CD46" s="170"/>
      <c r="CE46" s="170"/>
      <c r="CF46" s="170"/>
      <c r="CG46" s="170"/>
    </row>
    <row r="47">
      <c r="A47" s="171"/>
      <c r="B47" s="170"/>
      <c r="C47" s="170"/>
      <c r="D47" s="170"/>
      <c r="E47" s="171"/>
      <c r="F47" s="171"/>
      <c r="G47" s="171"/>
      <c r="H47" s="170"/>
      <c r="I47" s="171"/>
      <c r="J47" s="171"/>
      <c r="K47" s="171"/>
      <c r="L47" s="170"/>
      <c r="M47" s="170"/>
      <c r="N47" s="171"/>
      <c r="O47" s="170"/>
      <c r="P47" s="186"/>
      <c r="Q47" s="170"/>
      <c r="R47" s="170"/>
      <c r="S47" s="170"/>
      <c r="T47" s="170"/>
      <c r="U47" s="170"/>
      <c r="V47" s="170"/>
      <c r="W47" s="170"/>
      <c r="X47" s="170"/>
      <c r="Y47" s="170"/>
      <c r="Z47" s="170"/>
      <c r="AA47" s="170"/>
      <c r="AB47" s="170"/>
      <c r="AC47" s="170"/>
      <c r="AD47" s="170"/>
      <c r="AE47" s="170"/>
      <c r="AF47" s="171"/>
      <c r="AG47" s="170"/>
      <c r="AH47" s="170"/>
      <c r="AI47" s="170"/>
      <c r="AJ47" s="170"/>
      <c r="AK47" s="171"/>
      <c r="AL47" s="171"/>
      <c r="AM47" s="170"/>
      <c r="AN47" s="171"/>
      <c r="AO47" s="170"/>
      <c r="AP47" s="170"/>
      <c r="AQ47" s="171"/>
      <c r="AR47" s="171"/>
      <c r="AS47" s="171"/>
      <c r="AT47" s="170"/>
      <c r="AU47" s="170"/>
      <c r="AV47" s="170"/>
      <c r="AW47" s="170"/>
      <c r="AX47" s="170"/>
      <c r="AY47" s="170"/>
      <c r="AZ47" s="170"/>
      <c r="BA47" s="170"/>
      <c r="BB47" s="170"/>
      <c r="BC47" s="171"/>
      <c r="BD47" s="171"/>
      <c r="BE47" s="171"/>
      <c r="BF47" s="170"/>
      <c r="BG47" s="170"/>
      <c r="BH47" s="171"/>
      <c r="BI47" s="170"/>
      <c r="BJ47" s="170"/>
      <c r="BK47" s="170"/>
      <c r="BL47" s="170"/>
      <c r="BM47" s="171"/>
      <c r="BN47" s="170"/>
      <c r="BO47" s="170"/>
      <c r="BP47" s="170"/>
      <c r="BQ47" s="170"/>
      <c r="BR47" s="170"/>
      <c r="BS47" s="170"/>
      <c r="BT47" s="170"/>
      <c r="BU47" s="170"/>
      <c r="BV47" s="170"/>
      <c r="BW47" s="170"/>
      <c r="BX47" s="171"/>
      <c r="BY47" s="171"/>
      <c r="BZ47" s="170"/>
      <c r="CA47" s="170"/>
      <c r="CB47" s="170"/>
      <c r="CC47" s="170"/>
      <c r="CD47" s="170"/>
      <c r="CE47" s="170"/>
      <c r="CF47" s="170"/>
      <c r="CG47" s="170"/>
    </row>
    <row r="48">
      <c r="A48" s="171"/>
      <c r="B48" s="170"/>
      <c r="C48" s="170"/>
      <c r="D48" s="170"/>
      <c r="E48" s="171"/>
      <c r="F48" s="171"/>
      <c r="G48" s="171"/>
      <c r="H48" s="170"/>
      <c r="I48" s="171"/>
      <c r="J48" s="171"/>
      <c r="K48" s="171"/>
      <c r="L48" s="170"/>
      <c r="M48" s="170"/>
      <c r="N48" s="171"/>
      <c r="O48" s="170"/>
      <c r="P48" s="186"/>
      <c r="Q48" s="170"/>
      <c r="R48" s="170"/>
      <c r="S48" s="170"/>
      <c r="T48" s="170"/>
      <c r="U48" s="170"/>
      <c r="V48" s="170"/>
      <c r="W48" s="170"/>
      <c r="X48" s="170"/>
      <c r="Y48" s="170"/>
      <c r="Z48" s="170"/>
      <c r="AA48" s="170"/>
      <c r="AB48" s="170"/>
      <c r="AC48" s="170"/>
      <c r="AD48" s="170"/>
      <c r="AE48" s="170"/>
      <c r="AF48" s="171"/>
      <c r="AG48" s="170"/>
      <c r="AH48" s="170"/>
      <c r="AI48" s="170"/>
      <c r="AJ48" s="170"/>
      <c r="AK48" s="171"/>
      <c r="AL48" s="171"/>
      <c r="AM48" s="170"/>
      <c r="AN48" s="171"/>
      <c r="AO48" s="170"/>
      <c r="AP48" s="170"/>
      <c r="AQ48" s="171"/>
      <c r="AR48" s="171"/>
      <c r="AS48" s="171"/>
      <c r="AT48" s="170"/>
      <c r="AU48" s="170"/>
      <c r="AV48" s="170"/>
      <c r="AW48" s="170"/>
      <c r="AX48" s="170"/>
      <c r="AY48" s="170"/>
      <c r="AZ48" s="170"/>
      <c r="BA48" s="170"/>
      <c r="BB48" s="170"/>
      <c r="BC48" s="171"/>
      <c r="BD48" s="171"/>
      <c r="BE48" s="171"/>
      <c r="BF48" s="170"/>
      <c r="BG48" s="170"/>
      <c r="BH48" s="171"/>
      <c r="BI48" s="170"/>
      <c r="BJ48" s="170"/>
      <c r="BK48" s="170"/>
      <c r="BL48" s="170"/>
      <c r="BM48" s="171"/>
      <c r="BN48" s="170"/>
      <c r="BO48" s="170"/>
      <c r="BP48" s="170"/>
      <c r="BQ48" s="170"/>
      <c r="BR48" s="170"/>
      <c r="BS48" s="170"/>
      <c r="BT48" s="170"/>
      <c r="BU48" s="170"/>
      <c r="BV48" s="170"/>
      <c r="BW48" s="170"/>
      <c r="BX48" s="171"/>
      <c r="BY48" s="171"/>
      <c r="BZ48" s="170"/>
      <c r="CA48" s="170"/>
      <c r="CB48" s="170"/>
      <c r="CC48" s="170"/>
      <c r="CD48" s="170"/>
      <c r="CE48" s="170"/>
      <c r="CF48" s="170"/>
      <c r="CG48" s="170"/>
    </row>
    <row r="49">
      <c r="A49" s="171"/>
      <c r="B49" s="170"/>
      <c r="C49" s="170"/>
      <c r="D49" s="170"/>
      <c r="E49" s="171"/>
      <c r="F49" s="171"/>
      <c r="G49" s="171"/>
      <c r="H49" s="170"/>
      <c r="I49" s="171"/>
      <c r="J49" s="171"/>
      <c r="K49" s="171"/>
      <c r="L49" s="170"/>
      <c r="M49" s="170"/>
      <c r="N49" s="171"/>
      <c r="O49" s="170"/>
      <c r="P49" s="186"/>
      <c r="Q49" s="170"/>
      <c r="R49" s="170"/>
      <c r="S49" s="170"/>
      <c r="T49" s="170"/>
      <c r="U49" s="170"/>
      <c r="V49" s="170"/>
      <c r="W49" s="170"/>
      <c r="X49" s="170"/>
      <c r="Y49" s="170"/>
      <c r="Z49" s="170"/>
      <c r="AA49" s="170"/>
      <c r="AB49" s="170"/>
      <c r="AC49" s="170"/>
      <c r="AD49" s="170"/>
      <c r="AE49" s="170"/>
      <c r="AF49" s="171"/>
      <c r="AG49" s="170"/>
      <c r="AH49" s="170"/>
      <c r="AI49" s="170"/>
      <c r="AJ49" s="170"/>
      <c r="AK49" s="171"/>
      <c r="AL49" s="171"/>
      <c r="AM49" s="170"/>
      <c r="AN49" s="171"/>
      <c r="AO49" s="170"/>
      <c r="AP49" s="170"/>
      <c r="AQ49" s="171"/>
      <c r="AR49" s="171"/>
      <c r="AS49" s="171"/>
      <c r="AT49" s="170"/>
      <c r="AU49" s="170"/>
      <c r="AV49" s="170"/>
      <c r="AW49" s="170"/>
      <c r="AX49" s="170"/>
      <c r="AY49" s="170"/>
      <c r="AZ49" s="170"/>
      <c r="BA49" s="170"/>
      <c r="BB49" s="170"/>
      <c r="BC49" s="171"/>
      <c r="BD49" s="171"/>
      <c r="BE49" s="171"/>
      <c r="BF49" s="170"/>
      <c r="BG49" s="170"/>
      <c r="BH49" s="171"/>
      <c r="BI49" s="170"/>
      <c r="BJ49" s="170"/>
      <c r="BK49" s="170"/>
      <c r="BL49" s="170"/>
      <c r="BM49" s="171"/>
      <c r="BN49" s="170"/>
      <c r="BO49" s="170"/>
      <c r="BP49" s="170"/>
      <c r="BQ49" s="170"/>
      <c r="BR49" s="170"/>
      <c r="BS49" s="170"/>
      <c r="BT49" s="170"/>
      <c r="BU49" s="170"/>
      <c r="BV49" s="170"/>
      <c r="BW49" s="170"/>
      <c r="BX49" s="171"/>
      <c r="BY49" s="171"/>
      <c r="BZ49" s="170"/>
      <c r="CA49" s="170"/>
      <c r="CB49" s="170"/>
      <c r="CC49" s="170"/>
      <c r="CD49" s="170"/>
      <c r="CE49" s="170"/>
      <c r="CF49" s="170"/>
      <c r="CG49" s="170"/>
    </row>
    <row r="50">
      <c r="A50" s="171"/>
      <c r="B50" s="170"/>
      <c r="C50" s="170"/>
      <c r="D50" s="170"/>
      <c r="E50" s="171"/>
      <c r="F50" s="171"/>
      <c r="G50" s="171"/>
      <c r="H50" s="170"/>
      <c r="I50" s="171"/>
      <c r="J50" s="171"/>
      <c r="K50" s="171"/>
      <c r="L50" s="170"/>
      <c r="M50" s="170"/>
      <c r="N50" s="171"/>
      <c r="O50" s="170"/>
      <c r="P50" s="186"/>
      <c r="Q50" s="170"/>
      <c r="R50" s="170"/>
      <c r="S50" s="170"/>
      <c r="T50" s="170"/>
      <c r="U50" s="170"/>
      <c r="V50" s="170"/>
      <c r="W50" s="170"/>
      <c r="X50" s="170"/>
      <c r="Y50" s="170"/>
      <c r="Z50" s="170"/>
      <c r="AA50" s="170"/>
      <c r="AB50" s="170"/>
      <c r="AC50" s="170"/>
      <c r="AD50" s="170"/>
      <c r="AE50" s="170"/>
      <c r="AF50" s="171"/>
      <c r="AG50" s="170"/>
      <c r="AH50" s="170"/>
      <c r="AI50" s="170"/>
      <c r="AJ50" s="170"/>
      <c r="AK50" s="171"/>
      <c r="AL50" s="171"/>
      <c r="AM50" s="170"/>
      <c r="AN50" s="171"/>
      <c r="AO50" s="170"/>
      <c r="AP50" s="170"/>
      <c r="AQ50" s="171"/>
      <c r="AR50" s="171"/>
      <c r="AS50" s="171"/>
      <c r="AT50" s="170"/>
      <c r="AU50" s="170"/>
      <c r="AV50" s="170"/>
      <c r="AW50" s="170"/>
      <c r="AX50" s="170"/>
      <c r="AY50" s="170"/>
      <c r="AZ50" s="170"/>
      <c r="BA50" s="170"/>
      <c r="BB50" s="170"/>
      <c r="BC50" s="171"/>
      <c r="BD50" s="171"/>
      <c r="BE50" s="171"/>
      <c r="BF50" s="170"/>
      <c r="BG50" s="170"/>
      <c r="BH50" s="171"/>
      <c r="BI50" s="170"/>
      <c r="BJ50" s="170"/>
      <c r="BK50" s="170"/>
      <c r="BL50" s="170"/>
      <c r="BM50" s="171"/>
      <c r="BN50" s="170"/>
      <c r="BO50" s="170"/>
      <c r="BP50" s="170"/>
      <c r="BQ50" s="170"/>
      <c r="BR50" s="170"/>
      <c r="BS50" s="170"/>
      <c r="BT50" s="170"/>
      <c r="BU50" s="170"/>
      <c r="BV50" s="170"/>
      <c r="BW50" s="170"/>
      <c r="BX50" s="171"/>
      <c r="BY50" s="171"/>
      <c r="BZ50" s="170"/>
      <c r="CA50" s="170"/>
      <c r="CB50" s="170"/>
      <c r="CC50" s="170"/>
      <c r="CD50" s="170"/>
      <c r="CE50" s="170"/>
      <c r="CF50" s="170"/>
      <c r="CG50" s="170"/>
    </row>
    <row r="51">
      <c r="A51" s="171"/>
      <c r="B51" s="170"/>
      <c r="C51" s="170"/>
      <c r="D51" s="170"/>
      <c r="E51" s="171"/>
      <c r="F51" s="171"/>
      <c r="G51" s="171"/>
      <c r="H51" s="170"/>
      <c r="I51" s="171"/>
      <c r="J51" s="171"/>
      <c r="K51" s="171"/>
      <c r="L51" s="170"/>
      <c r="M51" s="170"/>
      <c r="N51" s="171"/>
      <c r="O51" s="170"/>
      <c r="P51" s="186"/>
      <c r="Q51" s="170"/>
      <c r="R51" s="170"/>
      <c r="S51" s="170"/>
      <c r="T51" s="170"/>
      <c r="U51" s="170"/>
      <c r="V51" s="170"/>
      <c r="W51" s="170"/>
      <c r="X51" s="170"/>
      <c r="Y51" s="170"/>
      <c r="Z51" s="170"/>
      <c r="AA51" s="170"/>
      <c r="AB51" s="170"/>
      <c r="AC51" s="170"/>
      <c r="AD51" s="170"/>
      <c r="AE51" s="170"/>
      <c r="AF51" s="171"/>
      <c r="AG51" s="170"/>
      <c r="AH51" s="170"/>
      <c r="AI51" s="170"/>
      <c r="AJ51" s="170"/>
      <c r="AK51" s="171"/>
      <c r="AL51" s="171"/>
      <c r="AM51" s="170"/>
      <c r="AN51" s="171"/>
      <c r="AO51" s="170"/>
      <c r="AP51" s="170"/>
      <c r="AQ51" s="171"/>
      <c r="AR51" s="171"/>
      <c r="AS51" s="171"/>
      <c r="AT51" s="170"/>
      <c r="AU51" s="170"/>
      <c r="AV51" s="170"/>
      <c r="AW51" s="170"/>
      <c r="AX51" s="170"/>
      <c r="AY51" s="170"/>
      <c r="AZ51" s="170"/>
      <c r="BA51" s="170"/>
      <c r="BB51" s="170"/>
      <c r="BC51" s="171"/>
      <c r="BD51" s="171"/>
      <c r="BE51" s="171"/>
      <c r="BF51" s="170"/>
      <c r="BG51" s="170"/>
      <c r="BH51" s="171"/>
      <c r="BI51" s="170"/>
      <c r="BJ51" s="170"/>
      <c r="BK51" s="170"/>
      <c r="BL51" s="170"/>
      <c r="BM51" s="171"/>
      <c r="BN51" s="170"/>
      <c r="BO51" s="170"/>
      <c r="BP51" s="170"/>
      <c r="BQ51" s="170"/>
      <c r="BR51" s="170"/>
      <c r="BS51" s="170"/>
      <c r="BT51" s="170"/>
      <c r="BU51" s="170"/>
      <c r="BV51" s="170"/>
      <c r="BW51" s="170"/>
      <c r="BX51" s="171"/>
      <c r="BY51" s="171"/>
      <c r="BZ51" s="170"/>
      <c r="CA51" s="170"/>
      <c r="CB51" s="170"/>
      <c r="CC51" s="170"/>
      <c r="CD51" s="170"/>
      <c r="CE51" s="170"/>
      <c r="CF51" s="170"/>
      <c r="CG51" s="170"/>
    </row>
    <row r="52">
      <c r="A52" s="171"/>
      <c r="B52" s="170"/>
      <c r="C52" s="170"/>
      <c r="D52" s="170"/>
      <c r="E52" s="171"/>
      <c r="F52" s="171"/>
      <c r="G52" s="171"/>
      <c r="H52" s="170"/>
      <c r="I52" s="171"/>
      <c r="J52" s="171"/>
      <c r="K52" s="171"/>
      <c r="L52" s="170"/>
      <c r="M52" s="170"/>
      <c r="N52" s="171"/>
      <c r="O52" s="170"/>
      <c r="P52" s="186"/>
      <c r="Q52" s="170"/>
      <c r="R52" s="170"/>
      <c r="S52" s="170"/>
      <c r="T52" s="170"/>
      <c r="U52" s="170"/>
      <c r="V52" s="170"/>
      <c r="W52" s="170"/>
      <c r="X52" s="170"/>
      <c r="Y52" s="170"/>
      <c r="Z52" s="170"/>
      <c r="AA52" s="170"/>
      <c r="AB52" s="170"/>
      <c r="AC52" s="170"/>
      <c r="AD52" s="170"/>
      <c r="AE52" s="170"/>
      <c r="AF52" s="171"/>
      <c r="AG52" s="170"/>
      <c r="AH52" s="170"/>
      <c r="AI52" s="170"/>
      <c r="AJ52" s="170"/>
      <c r="AK52" s="171"/>
      <c r="AL52" s="171"/>
      <c r="AM52" s="170"/>
      <c r="AN52" s="171"/>
      <c r="AO52" s="170"/>
      <c r="AP52" s="170"/>
      <c r="AQ52" s="171"/>
      <c r="AR52" s="171"/>
      <c r="AS52" s="171"/>
      <c r="AT52" s="170"/>
      <c r="AU52" s="170"/>
      <c r="AV52" s="170"/>
      <c r="AW52" s="170"/>
      <c r="AX52" s="170"/>
      <c r="AY52" s="170"/>
      <c r="AZ52" s="170"/>
      <c r="BA52" s="170"/>
      <c r="BB52" s="170"/>
      <c r="BC52" s="171"/>
      <c r="BD52" s="171"/>
      <c r="BE52" s="171"/>
      <c r="BF52" s="170"/>
      <c r="BG52" s="170"/>
      <c r="BH52" s="171"/>
      <c r="BI52" s="170"/>
      <c r="BJ52" s="170"/>
      <c r="BK52" s="170"/>
      <c r="BL52" s="170"/>
      <c r="BM52" s="171"/>
      <c r="BN52" s="170"/>
      <c r="BO52" s="170"/>
      <c r="BP52" s="170"/>
      <c r="BQ52" s="170"/>
      <c r="BR52" s="170"/>
      <c r="BS52" s="170"/>
      <c r="BT52" s="170"/>
      <c r="BU52" s="170"/>
      <c r="BV52" s="170"/>
      <c r="BW52" s="170"/>
      <c r="BX52" s="171"/>
      <c r="BY52" s="171"/>
      <c r="BZ52" s="170"/>
      <c r="CA52" s="170"/>
      <c r="CB52" s="170"/>
      <c r="CC52" s="170"/>
      <c r="CD52" s="170"/>
      <c r="CE52" s="170"/>
      <c r="CF52" s="170"/>
      <c r="CG52" s="170"/>
    </row>
    <row r="53">
      <c r="A53" s="171"/>
      <c r="B53" s="170"/>
      <c r="C53" s="170"/>
      <c r="D53" s="170"/>
      <c r="E53" s="171"/>
      <c r="F53" s="171"/>
      <c r="G53" s="171"/>
      <c r="H53" s="170"/>
      <c r="I53" s="171"/>
      <c r="J53" s="171"/>
      <c r="K53" s="171"/>
      <c r="L53" s="170"/>
      <c r="M53" s="170"/>
      <c r="N53" s="171"/>
      <c r="O53" s="170"/>
      <c r="P53" s="186"/>
      <c r="Q53" s="170"/>
      <c r="R53" s="170"/>
      <c r="S53" s="170"/>
      <c r="T53" s="170"/>
      <c r="U53" s="170"/>
      <c r="V53" s="170"/>
      <c r="W53" s="170"/>
      <c r="X53" s="170"/>
      <c r="Y53" s="170"/>
      <c r="Z53" s="170"/>
      <c r="AA53" s="170"/>
      <c r="AB53" s="170"/>
      <c r="AC53" s="170"/>
      <c r="AD53" s="170"/>
      <c r="AE53" s="170"/>
      <c r="AF53" s="171"/>
      <c r="AG53" s="170"/>
      <c r="AH53" s="170"/>
      <c r="AI53" s="170"/>
      <c r="AJ53" s="170"/>
      <c r="AK53" s="171"/>
      <c r="AL53" s="171"/>
      <c r="AM53" s="170"/>
      <c r="AN53" s="171"/>
      <c r="AO53" s="170"/>
      <c r="AP53" s="170"/>
      <c r="AQ53" s="171"/>
      <c r="AR53" s="171"/>
      <c r="AS53" s="171"/>
      <c r="AT53" s="170"/>
      <c r="AU53" s="170"/>
      <c r="AV53" s="170"/>
      <c r="AW53" s="170"/>
      <c r="AX53" s="170"/>
      <c r="AY53" s="170"/>
      <c r="AZ53" s="170"/>
      <c r="BA53" s="170"/>
      <c r="BB53" s="170"/>
      <c r="BC53" s="171"/>
      <c r="BD53" s="171"/>
      <c r="BE53" s="171"/>
      <c r="BF53" s="170"/>
      <c r="BG53" s="170"/>
      <c r="BH53" s="171"/>
      <c r="BI53" s="170"/>
      <c r="BJ53" s="170"/>
      <c r="BK53" s="170"/>
      <c r="BL53" s="170"/>
      <c r="BM53" s="171"/>
      <c r="BN53" s="170"/>
      <c r="BO53" s="170"/>
      <c r="BP53" s="170"/>
      <c r="BQ53" s="170"/>
      <c r="BR53" s="170"/>
      <c r="BS53" s="170"/>
      <c r="BT53" s="170"/>
      <c r="BU53" s="170"/>
      <c r="BV53" s="170"/>
      <c r="BW53" s="170"/>
      <c r="BX53" s="171"/>
      <c r="BY53" s="171"/>
      <c r="BZ53" s="170"/>
      <c r="CA53" s="170"/>
      <c r="CB53" s="170"/>
      <c r="CC53" s="170"/>
      <c r="CD53" s="170"/>
      <c r="CE53" s="170"/>
      <c r="CF53" s="170"/>
      <c r="CG53" s="170"/>
    </row>
    <row r="54">
      <c r="A54" s="171"/>
      <c r="B54" s="170"/>
      <c r="C54" s="170"/>
      <c r="D54" s="170"/>
      <c r="E54" s="171"/>
      <c r="F54" s="171"/>
      <c r="G54" s="171"/>
      <c r="H54" s="170"/>
      <c r="I54" s="171"/>
      <c r="J54" s="171"/>
      <c r="K54" s="171"/>
      <c r="L54" s="170"/>
      <c r="M54" s="170"/>
      <c r="N54" s="171"/>
      <c r="O54" s="170"/>
      <c r="P54" s="186"/>
      <c r="Q54" s="170"/>
      <c r="R54" s="170"/>
      <c r="S54" s="170"/>
      <c r="T54" s="170"/>
      <c r="U54" s="170"/>
      <c r="V54" s="170"/>
      <c r="W54" s="170"/>
      <c r="X54" s="170"/>
      <c r="Y54" s="170"/>
      <c r="Z54" s="170"/>
      <c r="AA54" s="170"/>
      <c r="AB54" s="170"/>
      <c r="AC54" s="170"/>
      <c r="AD54" s="170"/>
      <c r="AE54" s="170"/>
      <c r="AF54" s="171"/>
      <c r="AG54" s="170"/>
      <c r="AH54" s="170"/>
      <c r="AI54" s="170"/>
      <c r="AJ54" s="170"/>
      <c r="AK54" s="171"/>
      <c r="AL54" s="171"/>
      <c r="AM54" s="170"/>
      <c r="AN54" s="171"/>
      <c r="AO54" s="170"/>
      <c r="AP54" s="170"/>
      <c r="AQ54" s="171"/>
      <c r="AR54" s="171"/>
      <c r="AS54" s="171"/>
      <c r="AT54" s="170"/>
      <c r="AU54" s="170"/>
      <c r="AV54" s="170"/>
      <c r="AW54" s="170"/>
      <c r="AX54" s="170"/>
      <c r="AY54" s="170"/>
      <c r="AZ54" s="170"/>
      <c r="BA54" s="170"/>
      <c r="BB54" s="170"/>
      <c r="BC54" s="171"/>
      <c r="BD54" s="171"/>
      <c r="BE54" s="171"/>
      <c r="BF54" s="170"/>
      <c r="BG54" s="170"/>
      <c r="BH54" s="171"/>
      <c r="BI54" s="170"/>
      <c r="BJ54" s="170"/>
      <c r="BK54" s="170"/>
      <c r="BL54" s="170"/>
      <c r="BM54" s="171"/>
      <c r="BN54" s="170"/>
      <c r="BO54" s="170"/>
      <c r="BP54" s="170"/>
      <c r="BQ54" s="170"/>
      <c r="BR54" s="170"/>
      <c r="BS54" s="170"/>
      <c r="BT54" s="170"/>
      <c r="BU54" s="170"/>
      <c r="BV54" s="170"/>
      <c r="BW54" s="170"/>
      <c r="BX54" s="171"/>
      <c r="BY54" s="171"/>
      <c r="BZ54" s="170"/>
      <c r="CA54" s="170"/>
      <c r="CB54" s="170"/>
      <c r="CC54" s="170"/>
      <c r="CD54" s="170"/>
      <c r="CE54" s="170"/>
      <c r="CF54" s="170"/>
      <c r="CG54" s="170"/>
    </row>
    <row r="55">
      <c r="A55" s="171"/>
      <c r="B55" s="170"/>
      <c r="C55" s="170"/>
      <c r="D55" s="170"/>
      <c r="E55" s="171"/>
      <c r="F55" s="171"/>
      <c r="G55" s="171"/>
      <c r="H55" s="170"/>
      <c r="I55" s="171"/>
      <c r="J55" s="171"/>
      <c r="K55" s="171"/>
      <c r="L55" s="170"/>
      <c r="M55" s="170"/>
      <c r="N55" s="171"/>
      <c r="O55" s="170"/>
      <c r="P55" s="186"/>
      <c r="Q55" s="170"/>
      <c r="R55" s="170"/>
      <c r="S55" s="170"/>
      <c r="T55" s="170"/>
      <c r="U55" s="170"/>
      <c r="V55" s="170"/>
      <c r="W55" s="170"/>
      <c r="X55" s="170"/>
      <c r="Y55" s="170"/>
      <c r="Z55" s="170"/>
      <c r="AA55" s="170"/>
      <c r="AB55" s="170"/>
      <c r="AC55" s="170"/>
      <c r="AD55" s="170"/>
      <c r="AE55" s="170"/>
      <c r="AF55" s="171"/>
      <c r="AG55" s="170"/>
      <c r="AH55" s="170"/>
      <c r="AI55" s="170"/>
      <c r="AJ55" s="170"/>
      <c r="AK55" s="171"/>
      <c r="AL55" s="171"/>
      <c r="AM55" s="170"/>
      <c r="AN55" s="171"/>
      <c r="AO55" s="170"/>
      <c r="AP55" s="170"/>
      <c r="AQ55" s="171"/>
      <c r="AR55" s="171"/>
      <c r="AS55" s="171"/>
      <c r="AT55" s="170"/>
      <c r="AU55" s="170"/>
      <c r="AV55" s="170"/>
      <c r="AW55" s="170"/>
      <c r="AX55" s="170"/>
      <c r="AY55" s="170"/>
      <c r="AZ55" s="170"/>
      <c r="BA55" s="170"/>
      <c r="BB55" s="170"/>
      <c r="BC55" s="171"/>
      <c r="BD55" s="171"/>
      <c r="BE55" s="171"/>
      <c r="BF55" s="170"/>
      <c r="BG55" s="170"/>
      <c r="BH55" s="171"/>
      <c r="BI55" s="170"/>
      <c r="BJ55" s="170"/>
      <c r="BK55" s="170"/>
      <c r="BL55" s="170"/>
      <c r="BM55" s="171"/>
      <c r="BN55" s="170"/>
      <c r="BO55" s="170"/>
      <c r="BP55" s="170"/>
      <c r="BQ55" s="170"/>
      <c r="BR55" s="170"/>
      <c r="BS55" s="170"/>
      <c r="BT55" s="170"/>
      <c r="BU55" s="170"/>
      <c r="BV55" s="170"/>
      <c r="BW55" s="170"/>
      <c r="BX55" s="171"/>
      <c r="BY55" s="171"/>
      <c r="BZ55" s="170"/>
      <c r="CA55" s="170"/>
      <c r="CB55" s="170"/>
      <c r="CC55" s="170"/>
      <c r="CD55" s="170"/>
      <c r="CE55" s="170"/>
      <c r="CF55" s="170"/>
      <c r="CG55" s="170"/>
    </row>
    <row r="56">
      <c r="A56" s="171"/>
      <c r="B56" s="170"/>
      <c r="C56" s="170"/>
      <c r="D56" s="170"/>
      <c r="E56" s="171"/>
      <c r="F56" s="171"/>
      <c r="G56" s="171"/>
      <c r="H56" s="170"/>
      <c r="I56" s="171"/>
      <c r="J56" s="171"/>
      <c r="K56" s="171"/>
      <c r="L56" s="170"/>
      <c r="M56" s="170"/>
      <c r="N56" s="171"/>
      <c r="O56" s="170"/>
      <c r="P56" s="186"/>
      <c r="Q56" s="170"/>
      <c r="R56" s="170"/>
      <c r="S56" s="170"/>
      <c r="T56" s="170"/>
      <c r="U56" s="170"/>
      <c r="V56" s="170"/>
      <c r="W56" s="170"/>
      <c r="X56" s="170"/>
      <c r="Y56" s="170"/>
      <c r="Z56" s="170"/>
      <c r="AA56" s="170"/>
      <c r="AB56" s="170"/>
      <c r="AC56" s="170"/>
      <c r="AD56" s="170"/>
      <c r="AE56" s="170"/>
      <c r="AF56" s="171"/>
      <c r="AG56" s="170"/>
      <c r="AH56" s="170"/>
      <c r="AI56" s="170"/>
      <c r="AJ56" s="170"/>
      <c r="AK56" s="171"/>
      <c r="AL56" s="171"/>
      <c r="AM56" s="170"/>
      <c r="AN56" s="171"/>
      <c r="AO56" s="170"/>
      <c r="AP56" s="170"/>
      <c r="AQ56" s="171"/>
      <c r="AR56" s="171"/>
      <c r="AS56" s="171"/>
      <c r="AT56" s="170"/>
      <c r="AU56" s="170"/>
      <c r="AV56" s="170"/>
      <c r="AW56" s="170"/>
      <c r="AX56" s="170"/>
      <c r="AY56" s="170"/>
      <c r="AZ56" s="170"/>
      <c r="BA56" s="170"/>
      <c r="BB56" s="170"/>
      <c r="BC56" s="171"/>
      <c r="BD56" s="171"/>
      <c r="BE56" s="171"/>
      <c r="BF56" s="170"/>
      <c r="BG56" s="170"/>
      <c r="BH56" s="171"/>
      <c r="BI56" s="170"/>
      <c r="BJ56" s="170"/>
      <c r="BK56" s="170"/>
      <c r="BL56" s="170"/>
      <c r="BM56" s="171"/>
      <c r="BN56" s="170"/>
      <c r="BO56" s="170"/>
      <c r="BP56" s="170"/>
      <c r="BQ56" s="170"/>
      <c r="BR56" s="170"/>
      <c r="BS56" s="170"/>
      <c r="BT56" s="170"/>
      <c r="BU56" s="170"/>
      <c r="BV56" s="170"/>
      <c r="BW56" s="170"/>
      <c r="BX56" s="171"/>
      <c r="BY56" s="171"/>
      <c r="BZ56" s="170"/>
      <c r="CA56" s="170"/>
      <c r="CB56" s="170"/>
      <c r="CC56" s="170"/>
      <c r="CD56" s="170"/>
      <c r="CE56" s="170"/>
      <c r="CF56" s="170"/>
      <c r="CG56" s="170"/>
    </row>
    <row r="57">
      <c r="A57" s="171"/>
      <c r="B57" s="170"/>
      <c r="C57" s="170"/>
      <c r="D57" s="170"/>
      <c r="E57" s="171"/>
      <c r="F57" s="171"/>
      <c r="G57" s="171"/>
      <c r="H57" s="170"/>
      <c r="I57" s="171"/>
      <c r="J57" s="171"/>
      <c r="K57" s="171"/>
      <c r="L57" s="170"/>
      <c r="M57" s="170"/>
      <c r="N57" s="171"/>
      <c r="O57" s="170"/>
      <c r="P57" s="186"/>
      <c r="Q57" s="170"/>
      <c r="R57" s="170"/>
      <c r="S57" s="170"/>
      <c r="T57" s="170"/>
      <c r="U57" s="170"/>
      <c r="V57" s="170"/>
      <c r="W57" s="170"/>
      <c r="X57" s="170"/>
      <c r="Y57" s="170"/>
      <c r="Z57" s="170"/>
      <c r="AA57" s="170"/>
      <c r="AB57" s="170"/>
      <c r="AC57" s="170"/>
      <c r="AD57" s="170"/>
      <c r="AE57" s="170"/>
      <c r="AF57" s="171"/>
      <c r="AG57" s="170"/>
      <c r="AH57" s="170"/>
      <c r="AI57" s="170"/>
      <c r="AJ57" s="170"/>
      <c r="AK57" s="171"/>
      <c r="AL57" s="171"/>
      <c r="AM57" s="170"/>
      <c r="AN57" s="171"/>
      <c r="AO57" s="170"/>
      <c r="AP57" s="170"/>
      <c r="AQ57" s="171"/>
      <c r="AR57" s="171"/>
      <c r="AS57" s="171"/>
      <c r="AT57" s="170"/>
      <c r="AU57" s="170"/>
      <c r="AV57" s="170"/>
      <c r="AW57" s="170"/>
      <c r="AX57" s="170"/>
      <c r="AY57" s="170"/>
      <c r="AZ57" s="170"/>
      <c r="BA57" s="170"/>
      <c r="BB57" s="170"/>
      <c r="BC57" s="171"/>
      <c r="BD57" s="171"/>
      <c r="BE57" s="171"/>
      <c r="BF57" s="170"/>
      <c r="BG57" s="170"/>
      <c r="BH57" s="171"/>
      <c r="BI57" s="170"/>
      <c r="BJ57" s="170"/>
      <c r="BK57" s="170"/>
      <c r="BL57" s="170"/>
      <c r="BM57" s="171"/>
      <c r="BN57" s="170"/>
      <c r="BO57" s="170"/>
      <c r="BP57" s="170"/>
      <c r="BQ57" s="170"/>
      <c r="BR57" s="170"/>
      <c r="BS57" s="170"/>
      <c r="BT57" s="170"/>
      <c r="BU57" s="170"/>
      <c r="BV57" s="170"/>
      <c r="BW57" s="170"/>
      <c r="BX57" s="171"/>
      <c r="BY57" s="171"/>
      <c r="BZ57" s="170"/>
      <c r="CA57" s="170"/>
      <c r="CB57" s="170"/>
      <c r="CC57" s="170"/>
      <c r="CD57" s="170"/>
      <c r="CE57" s="170"/>
      <c r="CF57" s="170"/>
      <c r="CG57" s="170"/>
    </row>
    <row r="58">
      <c r="A58" s="171"/>
      <c r="B58" s="170"/>
      <c r="C58" s="170"/>
      <c r="D58" s="170"/>
      <c r="E58" s="171"/>
      <c r="F58" s="171"/>
      <c r="G58" s="171"/>
      <c r="H58" s="170"/>
      <c r="I58" s="171"/>
      <c r="J58" s="171"/>
      <c r="K58" s="171"/>
      <c r="L58" s="170"/>
      <c r="M58" s="170"/>
      <c r="N58" s="171"/>
      <c r="O58" s="170"/>
      <c r="P58" s="186"/>
      <c r="Q58" s="170"/>
      <c r="R58" s="170"/>
      <c r="S58" s="170"/>
      <c r="T58" s="170"/>
      <c r="U58" s="170"/>
      <c r="V58" s="170"/>
      <c r="W58" s="170"/>
      <c r="X58" s="170"/>
      <c r="Y58" s="170"/>
      <c r="Z58" s="170"/>
      <c r="AA58" s="170"/>
      <c r="AB58" s="170"/>
      <c r="AC58" s="170"/>
      <c r="AD58" s="170"/>
      <c r="AE58" s="170"/>
      <c r="AF58" s="171"/>
      <c r="AG58" s="170"/>
      <c r="AH58" s="170"/>
      <c r="AI58" s="170"/>
      <c r="AJ58" s="170"/>
      <c r="AK58" s="171"/>
      <c r="AL58" s="171"/>
      <c r="AM58" s="170"/>
      <c r="AN58" s="171"/>
      <c r="AO58" s="170"/>
      <c r="AP58" s="170"/>
      <c r="AQ58" s="171"/>
      <c r="AR58" s="171"/>
      <c r="AS58" s="171"/>
      <c r="AT58" s="170"/>
      <c r="AU58" s="170"/>
      <c r="AV58" s="170"/>
      <c r="AW58" s="170"/>
      <c r="AX58" s="170"/>
      <c r="AY58" s="170"/>
      <c r="AZ58" s="170"/>
      <c r="BA58" s="170"/>
      <c r="BB58" s="170"/>
      <c r="BC58" s="171"/>
      <c r="BD58" s="171"/>
      <c r="BE58" s="171"/>
      <c r="BF58" s="170"/>
      <c r="BG58" s="170"/>
      <c r="BH58" s="171"/>
      <c r="BI58" s="170"/>
      <c r="BJ58" s="170"/>
      <c r="BK58" s="170"/>
      <c r="BL58" s="170"/>
      <c r="BM58" s="171"/>
      <c r="BN58" s="170"/>
      <c r="BO58" s="170"/>
      <c r="BP58" s="170"/>
      <c r="BQ58" s="170"/>
      <c r="BR58" s="170"/>
      <c r="BS58" s="170"/>
      <c r="BT58" s="170"/>
      <c r="BU58" s="170"/>
      <c r="BV58" s="170"/>
      <c r="BW58" s="170"/>
      <c r="BX58" s="171"/>
      <c r="BY58" s="171"/>
      <c r="BZ58" s="170"/>
      <c r="CA58" s="170"/>
      <c r="CB58" s="170"/>
      <c r="CC58" s="170"/>
      <c r="CD58" s="170"/>
      <c r="CE58" s="170"/>
      <c r="CF58" s="170"/>
      <c r="CG58" s="170"/>
    </row>
    <row r="59">
      <c r="A59" s="171"/>
      <c r="B59" s="170"/>
      <c r="C59" s="170"/>
      <c r="D59" s="170"/>
      <c r="E59" s="171"/>
      <c r="F59" s="171"/>
      <c r="G59" s="171"/>
      <c r="H59" s="170"/>
      <c r="I59" s="171"/>
      <c r="J59" s="171"/>
      <c r="K59" s="171"/>
      <c r="L59" s="170"/>
      <c r="M59" s="170"/>
      <c r="N59" s="171"/>
      <c r="O59" s="170"/>
      <c r="P59" s="186"/>
      <c r="Q59" s="170"/>
      <c r="R59" s="170"/>
      <c r="S59" s="170"/>
      <c r="T59" s="170"/>
      <c r="U59" s="170"/>
      <c r="V59" s="170"/>
      <c r="W59" s="170"/>
      <c r="X59" s="170"/>
      <c r="Y59" s="170"/>
      <c r="Z59" s="170"/>
      <c r="AA59" s="170"/>
      <c r="AB59" s="170"/>
      <c r="AC59" s="170"/>
      <c r="AD59" s="170"/>
      <c r="AE59" s="170"/>
      <c r="AF59" s="171"/>
      <c r="AG59" s="170"/>
      <c r="AH59" s="170"/>
      <c r="AI59" s="170"/>
      <c r="AJ59" s="170"/>
      <c r="AK59" s="171"/>
      <c r="AL59" s="171"/>
      <c r="AM59" s="170"/>
      <c r="AN59" s="171"/>
      <c r="AO59" s="170"/>
      <c r="AP59" s="170"/>
      <c r="AQ59" s="171"/>
      <c r="AR59" s="171"/>
      <c r="AS59" s="171"/>
      <c r="AT59" s="170"/>
      <c r="AU59" s="170"/>
      <c r="AV59" s="170"/>
      <c r="AW59" s="170"/>
      <c r="AX59" s="170"/>
      <c r="AY59" s="170"/>
      <c r="AZ59" s="170"/>
      <c r="BA59" s="170"/>
      <c r="BB59" s="170"/>
      <c r="BC59" s="171"/>
      <c r="BD59" s="171"/>
      <c r="BE59" s="171"/>
      <c r="BF59" s="170"/>
      <c r="BG59" s="170"/>
      <c r="BH59" s="171"/>
      <c r="BI59" s="170"/>
      <c r="BJ59" s="170"/>
      <c r="BK59" s="170"/>
      <c r="BL59" s="170"/>
      <c r="BM59" s="171"/>
      <c r="BN59" s="170"/>
      <c r="BO59" s="170"/>
      <c r="BP59" s="170"/>
      <c r="BQ59" s="170"/>
      <c r="BR59" s="170"/>
      <c r="BS59" s="170"/>
      <c r="BT59" s="170"/>
      <c r="BU59" s="170"/>
      <c r="BV59" s="170"/>
      <c r="BW59" s="170"/>
      <c r="BX59" s="171"/>
      <c r="BY59" s="171"/>
      <c r="BZ59" s="170"/>
      <c r="CA59" s="170"/>
      <c r="CB59" s="170"/>
      <c r="CC59" s="170"/>
      <c r="CD59" s="170"/>
      <c r="CE59" s="170"/>
      <c r="CF59" s="170"/>
      <c r="CG59" s="170"/>
    </row>
    <row r="60">
      <c r="A60" s="171"/>
      <c r="B60" s="170"/>
      <c r="C60" s="170"/>
      <c r="D60" s="170"/>
      <c r="E60" s="171"/>
      <c r="F60" s="171"/>
      <c r="G60" s="171"/>
      <c r="H60" s="170"/>
      <c r="I60" s="171"/>
      <c r="J60" s="171"/>
      <c r="K60" s="171"/>
      <c r="L60" s="170"/>
      <c r="M60" s="170"/>
      <c r="N60" s="171"/>
      <c r="O60" s="170"/>
      <c r="P60" s="186"/>
      <c r="Q60" s="170"/>
      <c r="R60" s="170"/>
      <c r="S60" s="170"/>
      <c r="T60" s="170"/>
      <c r="U60" s="170"/>
      <c r="V60" s="170"/>
      <c r="W60" s="170"/>
      <c r="X60" s="170"/>
      <c r="Y60" s="170"/>
      <c r="Z60" s="170"/>
      <c r="AA60" s="170"/>
      <c r="AB60" s="170"/>
      <c r="AC60" s="170"/>
      <c r="AD60" s="170"/>
      <c r="AE60" s="170"/>
      <c r="AF60" s="171"/>
      <c r="AG60" s="170"/>
      <c r="AH60" s="170"/>
      <c r="AI60" s="170"/>
      <c r="AJ60" s="170"/>
      <c r="AK60" s="171"/>
      <c r="AL60" s="171"/>
      <c r="AM60" s="170"/>
      <c r="AN60" s="171"/>
      <c r="AO60" s="170"/>
      <c r="AP60" s="170"/>
      <c r="AQ60" s="171"/>
      <c r="AR60" s="171"/>
      <c r="AS60" s="171"/>
      <c r="AT60" s="170"/>
      <c r="AU60" s="170"/>
      <c r="AV60" s="170"/>
      <c r="AW60" s="170"/>
      <c r="AX60" s="170"/>
      <c r="AY60" s="170"/>
      <c r="AZ60" s="170"/>
      <c r="BA60" s="170"/>
      <c r="BB60" s="170"/>
      <c r="BC60" s="171"/>
      <c r="BD60" s="171"/>
      <c r="BE60" s="171"/>
      <c r="BF60" s="170"/>
      <c r="BG60" s="170"/>
      <c r="BH60" s="171"/>
      <c r="BI60" s="170"/>
      <c r="BJ60" s="170"/>
      <c r="BK60" s="170"/>
      <c r="BL60" s="170"/>
      <c r="BM60" s="171"/>
      <c r="BN60" s="170"/>
      <c r="BO60" s="170"/>
      <c r="BP60" s="170"/>
      <c r="BQ60" s="170"/>
      <c r="BR60" s="170"/>
      <c r="BS60" s="170"/>
      <c r="BT60" s="170"/>
      <c r="BU60" s="170"/>
      <c r="BV60" s="170"/>
      <c r="BW60" s="170"/>
      <c r="BX60" s="171"/>
      <c r="BY60" s="171"/>
      <c r="BZ60" s="170"/>
      <c r="CA60" s="170"/>
      <c r="CB60" s="170"/>
      <c r="CC60" s="170"/>
      <c r="CD60" s="170"/>
      <c r="CE60" s="170"/>
      <c r="CF60" s="170"/>
      <c r="CG60" s="170"/>
    </row>
    <row r="61">
      <c r="A61" s="171"/>
      <c r="B61" s="170"/>
      <c r="C61" s="170"/>
      <c r="D61" s="170"/>
      <c r="E61" s="171"/>
      <c r="F61" s="171"/>
      <c r="G61" s="171"/>
      <c r="H61" s="170"/>
      <c r="I61" s="171"/>
      <c r="J61" s="171"/>
      <c r="K61" s="171"/>
      <c r="L61" s="170"/>
      <c r="M61" s="170"/>
      <c r="N61" s="171"/>
      <c r="O61" s="170"/>
      <c r="P61" s="186"/>
      <c r="Q61" s="170"/>
      <c r="R61" s="170"/>
      <c r="S61" s="170"/>
      <c r="T61" s="170"/>
      <c r="U61" s="170"/>
      <c r="V61" s="170"/>
      <c r="W61" s="170"/>
      <c r="X61" s="170"/>
      <c r="Y61" s="170"/>
      <c r="Z61" s="170"/>
      <c r="AA61" s="170"/>
      <c r="AB61" s="170"/>
      <c r="AC61" s="170"/>
      <c r="AD61" s="170"/>
      <c r="AE61" s="170"/>
      <c r="AF61" s="171"/>
      <c r="AG61" s="170"/>
      <c r="AH61" s="170"/>
      <c r="AI61" s="170"/>
      <c r="AJ61" s="170"/>
      <c r="AK61" s="171"/>
      <c r="AL61" s="171"/>
      <c r="AM61" s="170"/>
      <c r="AN61" s="171"/>
      <c r="AO61" s="170"/>
      <c r="AP61" s="170"/>
      <c r="AQ61" s="171"/>
      <c r="AR61" s="171"/>
      <c r="AS61" s="171"/>
      <c r="AT61" s="170"/>
      <c r="AU61" s="170"/>
      <c r="AV61" s="170"/>
      <c r="AW61" s="170"/>
      <c r="AX61" s="170"/>
      <c r="AY61" s="170"/>
      <c r="AZ61" s="170"/>
      <c r="BA61" s="170"/>
      <c r="BB61" s="170"/>
      <c r="BC61" s="171"/>
      <c r="BD61" s="171"/>
      <c r="BE61" s="171"/>
      <c r="BF61" s="170"/>
      <c r="BG61" s="170"/>
      <c r="BH61" s="171"/>
      <c r="BI61" s="170"/>
      <c r="BJ61" s="170"/>
      <c r="BK61" s="170"/>
      <c r="BL61" s="170"/>
      <c r="BM61" s="171"/>
      <c r="BN61" s="170"/>
      <c r="BO61" s="170"/>
      <c r="BP61" s="170"/>
      <c r="BQ61" s="170"/>
      <c r="BR61" s="170"/>
      <c r="BS61" s="170"/>
      <c r="BT61" s="170"/>
      <c r="BU61" s="170"/>
      <c r="BV61" s="170"/>
      <c r="BW61" s="170"/>
      <c r="BX61" s="171"/>
      <c r="BY61" s="171"/>
      <c r="BZ61" s="170"/>
      <c r="CA61" s="170"/>
      <c r="CB61" s="170"/>
      <c r="CC61" s="170"/>
      <c r="CD61" s="170"/>
      <c r="CE61" s="170"/>
      <c r="CF61" s="170"/>
      <c r="CG61" s="170"/>
    </row>
    <row r="62">
      <c r="A62" s="171"/>
      <c r="B62" s="170"/>
      <c r="C62" s="170"/>
      <c r="D62" s="170"/>
      <c r="E62" s="171"/>
      <c r="F62" s="171"/>
      <c r="G62" s="171"/>
      <c r="H62" s="170"/>
      <c r="I62" s="171"/>
      <c r="J62" s="171"/>
      <c r="K62" s="171"/>
      <c r="L62" s="170"/>
      <c r="M62" s="170"/>
      <c r="N62" s="171"/>
      <c r="O62" s="170"/>
      <c r="P62" s="186"/>
      <c r="Q62" s="170"/>
      <c r="R62" s="170"/>
      <c r="S62" s="170"/>
      <c r="T62" s="170"/>
      <c r="U62" s="170"/>
      <c r="V62" s="170"/>
      <c r="W62" s="170"/>
      <c r="X62" s="170"/>
      <c r="Y62" s="170"/>
      <c r="Z62" s="170"/>
      <c r="AA62" s="170"/>
      <c r="AB62" s="170"/>
      <c r="AC62" s="170"/>
      <c r="AD62" s="170"/>
      <c r="AE62" s="170"/>
      <c r="AF62" s="171"/>
      <c r="AG62" s="170"/>
      <c r="AH62" s="170"/>
      <c r="AI62" s="170"/>
      <c r="AJ62" s="170"/>
      <c r="AK62" s="171"/>
      <c r="AL62" s="171"/>
      <c r="AM62" s="170"/>
      <c r="AN62" s="171"/>
      <c r="AO62" s="170"/>
      <c r="AP62" s="170"/>
      <c r="AQ62" s="171"/>
      <c r="AR62" s="171"/>
      <c r="AS62" s="171"/>
      <c r="AT62" s="170"/>
      <c r="AU62" s="170"/>
      <c r="AV62" s="170"/>
      <c r="AW62" s="170"/>
      <c r="AX62" s="170"/>
      <c r="AY62" s="170"/>
      <c r="AZ62" s="170"/>
      <c r="BA62" s="170"/>
      <c r="BB62" s="170"/>
      <c r="BC62" s="171"/>
      <c r="BD62" s="171"/>
      <c r="BE62" s="171"/>
      <c r="BF62" s="170"/>
      <c r="BG62" s="170"/>
      <c r="BH62" s="171"/>
      <c r="BI62" s="170"/>
      <c r="BJ62" s="170"/>
      <c r="BK62" s="170"/>
      <c r="BL62" s="170"/>
      <c r="BM62" s="171"/>
      <c r="BN62" s="170"/>
      <c r="BO62" s="170"/>
      <c r="BP62" s="170"/>
      <c r="BQ62" s="170"/>
      <c r="BR62" s="170"/>
      <c r="BS62" s="170"/>
      <c r="BT62" s="170"/>
      <c r="BU62" s="170"/>
      <c r="BV62" s="170"/>
      <c r="BW62" s="170"/>
      <c r="BX62" s="171"/>
      <c r="BY62" s="171"/>
      <c r="BZ62" s="170"/>
      <c r="CA62" s="170"/>
      <c r="CB62" s="170"/>
      <c r="CC62" s="170"/>
      <c r="CD62" s="170"/>
      <c r="CE62" s="170"/>
      <c r="CF62" s="170"/>
      <c r="CG62" s="170"/>
    </row>
    <row r="63">
      <c r="A63" s="171"/>
      <c r="B63" s="170"/>
      <c r="C63" s="170"/>
      <c r="D63" s="170"/>
      <c r="E63" s="171"/>
      <c r="F63" s="171"/>
      <c r="G63" s="171"/>
      <c r="H63" s="170"/>
      <c r="I63" s="171"/>
      <c r="J63" s="171"/>
      <c r="K63" s="171"/>
      <c r="L63" s="170"/>
      <c r="M63" s="170"/>
      <c r="N63" s="171"/>
      <c r="O63" s="170"/>
      <c r="P63" s="186"/>
      <c r="Q63" s="170"/>
      <c r="R63" s="170"/>
      <c r="S63" s="170"/>
      <c r="T63" s="170"/>
      <c r="U63" s="170"/>
      <c r="V63" s="170"/>
      <c r="W63" s="170"/>
      <c r="X63" s="170"/>
      <c r="Y63" s="170"/>
      <c r="Z63" s="170"/>
      <c r="AA63" s="170"/>
      <c r="AB63" s="170"/>
      <c r="AC63" s="170"/>
      <c r="AD63" s="170"/>
      <c r="AE63" s="170"/>
      <c r="AF63" s="171"/>
      <c r="AG63" s="170"/>
      <c r="AH63" s="170"/>
      <c r="AI63" s="170"/>
      <c r="AJ63" s="170"/>
      <c r="AK63" s="171"/>
      <c r="AL63" s="171"/>
      <c r="AM63" s="170"/>
      <c r="AN63" s="171"/>
      <c r="AO63" s="170"/>
      <c r="AP63" s="170"/>
      <c r="AQ63" s="171"/>
      <c r="AR63" s="171"/>
      <c r="AS63" s="171"/>
      <c r="AT63" s="170"/>
      <c r="AU63" s="170"/>
      <c r="AV63" s="170"/>
      <c r="AW63" s="170"/>
      <c r="AX63" s="170"/>
      <c r="AY63" s="170"/>
      <c r="AZ63" s="170"/>
      <c r="BA63" s="170"/>
      <c r="BB63" s="170"/>
      <c r="BC63" s="171"/>
      <c r="BD63" s="171"/>
      <c r="BE63" s="171"/>
      <c r="BF63" s="170"/>
      <c r="BG63" s="170"/>
      <c r="BH63" s="171"/>
      <c r="BI63" s="170"/>
      <c r="BJ63" s="170"/>
      <c r="BK63" s="170"/>
      <c r="BL63" s="170"/>
      <c r="BM63" s="171"/>
      <c r="BN63" s="170"/>
      <c r="BO63" s="170"/>
      <c r="BP63" s="170"/>
      <c r="BQ63" s="170"/>
      <c r="BR63" s="170"/>
      <c r="BS63" s="170"/>
      <c r="BT63" s="170"/>
      <c r="BU63" s="170"/>
      <c r="BV63" s="170"/>
      <c r="BW63" s="170"/>
      <c r="BX63" s="171"/>
      <c r="BY63" s="171"/>
      <c r="BZ63" s="170"/>
      <c r="CA63" s="170"/>
      <c r="CB63" s="170"/>
      <c r="CC63" s="170"/>
      <c r="CD63" s="170"/>
      <c r="CE63" s="170"/>
      <c r="CF63" s="170"/>
      <c r="CG63" s="170"/>
    </row>
    <row r="64">
      <c r="A64" s="171"/>
      <c r="B64" s="170"/>
      <c r="C64" s="170"/>
      <c r="D64" s="170"/>
      <c r="E64" s="171"/>
      <c r="F64" s="171"/>
      <c r="G64" s="171"/>
      <c r="H64" s="170"/>
      <c r="I64" s="171"/>
      <c r="J64" s="171"/>
      <c r="K64" s="171"/>
      <c r="L64" s="170"/>
      <c r="M64" s="170"/>
      <c r="N64" s="171"/>
      <c r="O64" s="170"/>
      <c r="P64" s="186"/>
      <c r="Q64" s="170"/>
      <c r="R64" s="170"/>
      <c r="S64" s="170"/>
      <c r="T64" s="170"/>
      <c r="U64" s="170"/>
      <c r="V64" s="170"/>
      <c r="W64" s="170"/>
      <c r="X64" s="170"/>
      <c r="Y64" s="170"/>
      <c r="Z64" s="170"/>
      <c r="AA64" s="170"/>
      <c r="AB64" s="170"/>
      <c r="AC64" s="170"/>
      <c r="AD64" s="170"/>
      <c r="AE64" s="170"/>
      <c r="AF64" s="171"/>
      <c r="AG64" s="170"/>
      <c r="AH64" s="170"/>
      <c r="AI64" s="170"/>
      <c r="AJ64" s="170"/>
      <c r="AK64" s="171"/>
      <c r="AL64" s="171"/>
      <c r="AM64" s="170"/>
      <c r="AN64" s="171"/>
      <c r="AO64" s="170"/>
      <c r="AP64" s="170"/>
      <c r="AQ64" s="171"/>
      <c r="AR64" s="171"/>
      <c r="AS64" s="171"/>
      <c r="AT64" s="170"/>
      <c r="AU64" s="170"/>
      <c r="AV64" s="170"/>
      <c r="AW64" s="170"/>
      <c r="AX64" s="170"/>
      <c r="AY64" s="170"/>
      <c r="AZ64" s="170"/>
      <c r="BA64" s="170"/>
      <c r="BB64" s="170"/>
      <c r="BC64" s="171"/>
      <c r="BD64" s="171"/>
      <c r="BE64" s="171"/>
      <c r="BF64" s="170"/>
      <c r="BG64" s="170"/>
      <c r="BH64" s="171"/>
      <c r="BI64" s="170"/>
      <c r="BJ64" s="170"/>
      <c r="BK64" s="170"/>
      <c r="BL64" s="170"/>
      <c r="BM64" s="171"/>
      <c r="BN64" s="170"/>
      <c r="BO64" s="170"/>
      <c r="BP64" s="170"/>
      <c r="BQ64" s="170"/>
      <c r="BR64" s="170"/>
      <c r="BS64" s="170"/>
      <c r="BT64" s="170"/>
      <c r="BU64" s="170"/>
      <c r="BV64" s="170"/>
      <c r="BW64" s="170"/>
      <c r="BX64" s="171"/>
      <c r="BY64" s="171"/>
      <c r="BZ64" s="170"/>
      <c r="CA64" s="170"/>
      <c r="CB64" s="170"/>
      <c r="CC64" s="170"/>
      <c r="CD64" s="170"/>
      <c r="CE64" s="170"/>
      <c r="CF64" s="170"/>
      <c r="CG64" s="170"/>
    </row>
    <row r="65">
      <c r="A65" s="171"/>
      <c r="B65" s="170"/>
      <c r="C65" s="170"/>
      <c r="D65" s="170"/>
      <c r="E65" s="171"/>
      <c r="F65" s="171"/>
      <c r="G65" s="171"/>
      <c r="H65" s="170"/>
      <c r="I65" s="171"/>
      <c r="J65" s="171"/>
      <c r="K65" s="171"/>
      <c r="L65" s="170"/>
      <c r="M65" s="170"/>
      <c r="N65" s="171"/>
      <c r="O65" s="170"/>
      <c r="P65" s="186"/>
      <c r="Q65" s="170"/>
      <c r="R65" s="170"/>
      <c r="S65" s="170"/>
      <c r="T65" s="170"/>
      <c r="U65" s="170"/>
      <c r="V65" s="170"/>
      <c r="W65" s="170"/>
      <c r="X65" s="170"/>
      <c r="Y65" s="170"/>
      <c r="Z65" s="170"/>
      <c r="AA65" s="170"/>
      <c r="AB65" s="170"/>
      <c r="AC65" s="170"/>
      <c r="AD65" s="170"/>
      <c r="AE65" s="170"/>
      <c r="AF65" s="171"/>
      <c r="AG65" s="170"/>
      <c r="AH65" s="170"/>
      <c r="AI65" s="170"/>
      <c r="AJ65" s="170"/>
      <c r="AK65" s="171"/>
      <c r="AL65" s="171"/>
      <c r="AM65" s="170"/>
      <c r="AN65" s="171"/>
      <c r="AO65" s="170"/>
      <c r="AP65" s="170"/>
      <c r="AQ65" s="171"/>
      <c r="AR65" s="171"/>
      <c r="AS65" s="171"/>
      <c r="AT65" s="170"/>
      <c r="AU65" s="170"/>
      <c r="AV65" s="170"/>
      <c r="AW65" s="170"/>
      <c r="AX65" s="170"/>
      <c r="AY65" s="170"/>
      <c r="AZ65" s="170"/>
      <c r="BA65" s="170"/>
      <c r="BB65" s="170"/>
      <c r="BC65" s="171"/>
      <c r="BD65" s="171"/>
      <c r="BE65" s="171"/>
      <c r="BF65" s="170"/>
      <c r="BG65" s="170"/>
      <c r="BH65" s="171"/>
      <c r="BI65" s="170"/>
      <c r="BJ65" s="170"/>
      <c r="BK65" s="170"/>
      <c r="BL65" s="170"/>
      <c r="BM65" s="171"/>
      <c r="BN65" s="170"/>
      <c r="BO65" s="170"/>
      <c r="BP65" s="170"/>
      <c r="BQ65" s="170"/>
      <c r="BR65" s="170"/>
      <c r="BS65" s="170"/>
      <c r="BT65" s="170"/>
      <c r="BU65" s="170"/>
      <c r="BV65" s="170"/>
      <c r="BW65" s="170"/>
      <c r="BX65" s="171"/>
      <c r="BY65" s="171"/>
      <c r="BZ65" s="170"/>
      <c r="CA65" s="170"/>
      <c r="CB65" s="170"/>
      <c r="CC65" s="170"/>
      <c r="CD65" s="170"/>
      <c r="CE65" s="170"/>
      <c r="CF65" s="170"/>
      <c r="CG65" s="170"/>
    </row>
    <row r="66">
      <c r="A66" s="171"/>
      <c r="B66" s="170"/>
      <c r="C66" s="170"/>
      <c r="D66" s="170"/>
      <c r="E66" s="171"/>
      <c r="F66" s="171"/>
      <c r="G66" s="171"/>
      <c r="H66" s="170"/>
      <c r="I66" s="171"/>
      <c r="J66" s="171"/>
      <c r="K66" s="171"/>
      <c r="L66" s="170"/>
      <c r="M66" s="170"/>
      <c r="N66" s="171"/>
      <c r="O66" s="170"/>
      <c r="P66" s="186"/>
      <c r="Q66" s="170"/>
      <c r="R66" s="170"/>
      <c r="S66" s="170"/>
      <c r="T66" s="170"/>
      <c r="U66" s="170"/>
      <c r="V66" s="170"/>
      <c r="W66" s="170"/>
      <c r="X66" s="170"/>
      <c r="Y66" s="170"/>
      <c r="Z66" s="170"/>
      <c r="AA66" s="170"/>
      <c r="AB66" s="170"/>
      <c r="AC66" s="170"/>
      <c r="AD66" s="170"/>
      <c r="AE66" s="170"/>
      <c r="AF66" s="171"/>
      <c r="AG66" s="170"/>
      <c r="AH66" s="170"/>
      <c r="AI66" s="170"/>
      <c r="AJ66" s="170"/>
      <c r="AK66" s="171"/>
      <c r="AL66" s="171"/>
      <c r="AM66" s="170"/>
      <c r="AN66" s="171"/>
      <c r="AO66" s="170"/>
      <c r="AP66" s="170"/>
      <c r="AQ66" s="171"/>
      <c r="AR66" s="171"/>
      <c r="AS66" s="171"/>
      <c r="AT66" s="170"/>
      <c r="AU66" s="170"/>
      <c r="AV66" s="170"/>
      <c r="AW66" s="170"/>
      <c r="AX66" s="170"/>
      <c r="AY66" s="170"/>
      <c r="AZ66" s="170"/>
      <c r="BA66" s="170"/>
      <c r="BB66" s="170"/>
      <c r="BC66" s="171"/>
      <c r="BD66" s="171"/>
      <c r="BE66" s="171"/>
      <c r="BF66" s="170"/>
      <c r="BG66" s="170"/>
      <c r="BH66" s="171"/>
      <c r="BI66" s="170"/>
      <c r="BJ66" s="170"/>
      <c r="BK66" s="170"/>
      <c r="BL66" s="170"/>
      <c r="BM66" s="171"/>
      <c r="BN66" s="170"/>
      <c r="BO66" s="170"/>
      <c r="BP66" s="170"/>
      <c r="BQ66" s="170"/>
      <c r="BR66" s="170"/>
      <c r="BS66" s="170"/>
      <c r="BT66" s="170"/>
      <c r="BU66" s="170"/>
      <c r="BV66" s="170"/>
      <c r="BW66" s="170"/>
      <c r="BX66" s="171"/>
      <c r="BY66" s="171"/>
      <c r="BZ66" s="170"/>
      <c r="CA66" s="170"/>
      <c r="CB66" s="170"/>
      <c r="CC66" s="170"/>
      <c r="CD66" s="170"/>
      <c r="CE66" s="170"/>
      <c r="CF66" s="170"/>
      <c r="CG66" s="170"/>
    </row>
    <row r="67">
      <c r="A67" s="171"/>
      <c r="B67" s="170"/>
      <c r="C67" s="170"/>
      <c r="D67" s="170"/>
      <c r="E67" s="171"/>
      <c r="F67" s="171"/>
      <c r="G67" s="171"/>
      <c r="H67" s="170"/>
      <c r="I67" s="171"/>
      <c r="J67" s="171"/>
      <c r="K67" s="171"/>
      <c r="L67" s="170"/>
      <c r="M67" s="170"/>
      <c r="N67" s="171"/>
      <c r="O67" s="170"/>
      <c r="P67" s="186"/>
      <c r="Q67" s="170"/>
      <c r="R67" s="170"/>
      <c r="S67" s="170"/>
      <c r="T67" s="170"/>
      <c r="U67" s="170"/>
      <c r="V67" s="170"/>
      <c r="W67" s="170"/>
      <c r="X67" s="170"/>
      <c r="Y67" s="170"/>
      <c r="Z67" s="170"/>
      <c r="AA67" s="170"/>
      <c r="AB67" s="170"/>
      <c r="AC67" s="170"/>
      <c r="AD67" s="170"/>
      <c r="AE67" s="170"/>
      <c r="AF67" s="171"/>
      <c r="AG67" s="170"/>
      <c r="AH67" s="170"/>
      <c r="AI67" s="170"/>
      <c r="AJ67" s="170"/>
      <c r="AK67" s="171"/>
      <c r="AL67" s="171"/>
      <c r="AM67" s="170"/>
      <c r="AN67" s="171"/>
      <c r="AO67" s="170"/>
      <c r="AP67" s="170"/>
      <c r="AQ67" s="171"/>
      <c r="AR67" s="171"/>
      <c r="AS67" s="171"/>
      <c r="AT67" s="170"/>
      <c r="AU67" s="170"/>
      <c r="AV67" s="170"/>
      <c r="AW67" s="170"/>
      <c r="AX67" s="170"/>
      <c r="AY67" s="170"/>
      <c r="AZ67" s="170"/>
      <c r="BA67" s="170"/>
      <c r="BB67" s="170"/>
      <c r="BC67" s="171"/>
      <c r="BD67" s="171"/>
      <c r="BE67" s="171"/>
      <c r="BF67" s="170"/>
      <c r="BG67" s="170"/>
      <c r="BH67" s="171"/>
      <c r="BI67" s="170"/>
      <c r="BJ67" s="170"/>
      <c r="BK67" s="170"/>
      <c r="BL67" s="170"/>
      <c r="BM67" s="171"/>
      <c r="BN67" s="170"/>
      <c r="BO67" s="170"/>
      <c r="BP67" s="170"/>
      <c r="BQ67" s="170"/>
      <c r="BR67" s="170"/>
      <c r="BS67" s="170"/>
      <c r="BT67" s="170"/>
      <c r="BU67" s="170"/>
      <c r="BV67" s="170"/>
      <c r="BW67" s="170"/>
      <c r="BX67" s="171"/>
      <c r="BY67" s="171"/>
      <c r="BZ67" s="170"/>
      <c r="CA67" s="170"/>
      <c r="CB67" s="170"/>
      <c r="CC67" s="170"/>
      <c r="CD67" s="170"/>
      <c r="CE67" s="170"/>
      <c r="CF67" s="170"/>
      <c r="CG67" s="170"/>
    </row>
    <row r="68">
      <c r="A68" s="171"/>
      <c r="B68" s="170"/>
      <c r="C68" s="170"/>
      <c r="D68" s="170"/>
      <c r="E68" s="171"/>
      <c r="F68" s="171"/>
      <c r="G68" s="171"/>
      <c r="H68" s="170"/>
      <c r="I68" s="171"/>
      <c r="J68" s="171"/>
      <c r="K68" s="171"/>
      <c r="L68" s="170"/>
      <c r="M68" s="170"/>
      <c r="N68" s="171"/>
      <c r="O68" s="170"/>
      <c r="P68" s="186"/>
      <c r="Q68" s="170"/>
      <c r="R68" s="170"/>
      <c r="S68" s="170"/>
      <c r="T68" s="170"/>
      <c r="U68" s="170"/>
      <c r="V68" s="170"/>
      <c r="W68" s="170"/>
      <c r="X68" s="170"/>
      <c r="Y68" s="170"/>
      <c r="Z68" s="170"/>
      <c r="AA68" s="170"/>
      <c r="AB68" s="170"/>
      <c r="AC68" s="170"/>
      <c r="AD68" s="170"/>
      <c r="AE68" s="170"/>
      <c r="AF68" s="171"/>
      <c r="AG68" s="170"/>
      <c r="AH68" s="170"/>
      <c r="AI68" s="170"/>
      <c r="AJ68" s="170"/>
      <c r="AK68" s="171"/>
      <c r="AL68" s="171"/>
      <c r="AM68" s="170"/>
      <c r="AN68" s="171"/>
      <c r="AO68" s="170"/>
      <c r="AP68" s="170"/>
      <c r="AQ68" s="171"/>
      <c r="AR68" s="171"/>
      <c r="AS68" s="171"/>
      <c r="AT68" s="170"/>
      <c r="AU68" s="170"/>
      <c r="AV68" s="170"/>
      <c r="AW68" s="170"/>
      <c r="AX68" s="170"/>
      <c r="AY68" s="170"/>
      <c r="AZ68" s="170"/>
      <c r="BA68" s="170"/>
      <c r="BB68" s="170"/>
      <c r="BC68" s="171"/>
      <c r="BD68" s="171"/>
      <c r="BE68" s="171"/>
      <c r="BF68" s="170"/>
      <c r="BG68" s="170"/>
      <c r="BH68" s="171"/>
      <c r="BI68" s="170"/>
      <c r="BJ68" s="170"/>
      <c r="BK68" s="170"/>
      <c r="BL68" s="170"/>
      <c r="BM68" s="171"/>
      <c r="BN68" s="170"/>
      <c r="BO68" s="170"/>
      <c r="BP68" s="170"/>
      <c r="BQ68" s="170"/>
      <c r="BR68" s="170"/>
      <c r="BS68" s="170"/>
      <c r="BT68" s="170"/>
      <c r="BU68" s="170"/>
      <c r="BV68" s="170"/>
      <c r="BW68" s="170"/>
      <c r="BX68" s="171"/>
      <c r="BY68" s="171"/>
      <c r="BZ68" s="170"/>
      <c r="CA68" s="170"/>
      <c r="CB68" s="170"/>
      <c r="CC68" s="170"/>
      <c r="CD68" s="170"/>
      <c r="CE68" s="170"/>
      <c r="CF68" s="170"/>
      <c r="CG68" s="170"/>
    </row>
    <row r="69">
      <c r="A69" s="171"/>
      <c r="B69" s="170"/>
      <c r="C69" s="170"/>
      <c r="D69" s="170"/>
      <c r="E69" s="171"/>
      <c r="F69" s="171"/>
      <c r="G69" s="171"/>
      <c r="H69" s="170"/>
      <c r="I69" s="171"/>
      <c r="J69" s="171"/>
      <c r="K69" s="171"/>
      <c r="L69" s="170"/>
      <c r="M69" s="170"/>
      <c r="N69" s="171"/>
      <c r="O69" s="170"/>
      <c r="P69" s="186"/>
      <c r="Q69" s="170"/>
      <c r="R69" s="170"/>
      <c r="S69" s="170"/>
      <c r="T69" s="170"/>
      <c r="U69" s="170"/>
      <c r="V69" s="170"/>
      <c r="W69" s="170"/>
      <c r="X69" s="170"/>
      <c r="Y69" s="170"/>
      <c r="Z69" s="170"/>
      <c r="AA69" s="170"/>
      <c r="AB69" s="170"/>
      <c r="AC69" s="170"/>
      <c r="AD69" s="170"/>
      <c r="AE69" s="170"/>
      <c r="AF69" s="171"/>
      <c r="AG69" s="170"/>
      <c r="AH69" s="170"/>
      <c r="AI69" s="170"/>
      <c r="AJ69" s="170"/>
      <c r="AK69" s="171"/>
      <c r="AL69" s="171"/>
      <c r="AM69" s="170"/>
      <c r="AN69" s="171"/>
      <c r="AO69" s="170"/>
      <c r="AP69" s="170"/>
      <c r="AQ69" s="171"/>
      <c r="AR69" s="171"/>
      <c r="AS69" s="171"/>
      <c r="AT69" s="170"/>
      <c r="AU69" s="170"/>
      <c r="AV69" s="170"/>
      <c r="AW69" s="170"/>
      <c r="AX69" s="170"/>
      <c r="AY69" s="170"/>
      <c r="AZ69" s="170"/>
      <c r="BA69" s="170"/>
      <c r="BB69" s="170"/>
      <c r="BC69" s="171"/>
      <c r="BD69" s="171"/>
      <c r="BE69" s="171"/>
      <c r="BF69" s="170"/>
      <c r="BG69" s="170"/>
      <c r="BH69" s="171"/>
      <c r="BI69" s="170"/>
      <c r="BJ69" s="170"/>
      <c r="BK69" s="170"/>
      <c r="BL69" s="170"/>
      <c r="BM69" s="171"/>
      <c r="BN69" s="170"/>
      <c r="BO69" s="170"/>
      <c r="BP69" s="170"/>
      <c r="BQ69" s="170"/>
      <c r="BR69" s="170"/>
      <c r="BS69" s="170"/>
      <c r="BT69" s="170"/>
      <c r="BU69" s="170"/>
      <c r="BV69" s="170"/>
      <c r="BW69" s="170"/>
      <c r="BX69" s="171"/>
      <c r="BY69" s="171"/>
      <c r="BZ69" s="170"/>
      <c r="CA69" s="170"/>
      <c r="CB69" s="170"/>
      <c r="CC69" s="170"/>
      <c r="CD69" s="170"/>
      <c r="CE69" s="170"/>
      <c r="CF69" s="170"/>
      <c r="CG69" s="170"/>
    </row>
    <row r="70">
      <c r="A70" s="171"/>
      <c r="B70" s="170"/>
      <c r="C70" s="170"/>
      <c r="D70" s="170"/>
      <c r="E70" s="171"/>
      <c r="F70" s="171"/>
      <c r="G70" s="171"/>
      <c r="H70" s="170"/>
      <c r="I70" s="171"/>
      <c r="J70" s="171"/>
      <c r="K70" s="171"/>
      <c r="L70" s="170"/>
      <c r="M70" s="170"/>
      <c r="N70" s="171"/>
      <c r="O70" s="170"/>
      <c r="P70" s="186"/>
      <c r="Q70" s="170"/>
      <c r="R70" s="170"/>
      <c r="S70" s="170"/>
      <c r="T70" s="170"/>
      <c r="U70" s="170"/>
      <c r="V70" s="170"/>
      <c r="W70" s="170"/>
      <c r="X70" s="170"/>
      <c r="Y70" s="170"/>
      <c r="Z70" s="170"/>
      <c r="AA70" s="170"/>
      <c r="AB70" s="170"/>
      <c r="AC70" s="170"/>
      <c r="AD70" s="170"/>
      <c r="AE70" s="170"/>
      <c r="AF70" s="171"/>
      <c r="AG70" s="170"/>
      <c r="AH70" s="170"/>
      <c r="AI70" s="170"/>
      <c r="AJ70" s="170"/>
      <c r="AK70" s="171"/>
      <c r="AL70" s="171"/>
      <c r="AM70" s="170"/>
      <c r="AN70" s="171"/>
      <c r="AO70" s="170"/>
      <c r="AP70" s="170"/>
      <c r="AQ70" s="171"/>
      <c r="AR70" s="171"/>
      <c r="AS70" s="171"/>
      <c r="AT70" s="170"/>
      <c r="AU70" s="170"/>
      <c r="AV70" s="170"/>
      <c r="AW70" s="170"/>
      <c r="AX70" s="170"/>
      <c r="AY70" s="170"/>
      <c r="AZ70" s="170"/>
      <c r="BA70" s="170"/>
      <c r="BB70" s="170"/>
      <c r="BC70" s="171"/>
      <c r="BD70" s="171"/>
      <c r="BE70" s="171"/>
      <c r="BF70" s="170"/>
      <c r="BG70" s="170"/>
      <c r="BH70" s="171"/>
      <c r="BI70" s="170"/>
      <c r="BJ70" s="170"/>
      <c r="BK70" s="170"/>
      <c r="BL70" s="170"/>
      <c r="BM70" s="171"/>
      <c r="BN70" s="170"/>
      <c r="BO70" s="170"/>
      <c r="BP70" s="170"/>
      <c r="BQ70" s="170"/>
      <c r="BR70" s="170"/>
      <c r="BS70" s="170"/>
      <c r="BT70" s="170"/>
      <c r="BU70" s="170"/>
      <c r="BV70" s="170"/>
      <c r="BW70" s="170"/>
      <c r="BX70" s="171"/>
      <c r="BY70" s="171"/>
      <c r="BZ70" s="170"/>
      <c r="CA70" s="170"/>
      <c r="CB70" s="170"/>
      <c r="CC70" s="170"/>
      <c r="CD70" s="170"/>
      <c r="CE70" s="170"/>
      <c r="CF70" s="170"/>
      <c r="CG70" s="170"/>
    </row>
    <row r="71">
      <c r="A71" s="171"/>
      <c r="B71" s="170"/>
      <c r="C71" s="170"/>
      <c r="D71" s="170"/>
      <c r="E71" s="171"/>
      <c r="F71" s="171"/>
      <c r="G71" s="171"/>
      <c r="H71" s="170"/>
      <c r="I71" s="171"/>
      <c r="J71" s="171"/>
      <c r="K71" s="171"/>
      <c r="L71" s="170"/>
      <c r="M71" s="170"/>
      <c r="N71" s="171"/>
      <c r="O71" s="170"/>
      <c r="P71" s="186"/>
      <c r="Q71" s="170"/>
      <c r="R71" s="170"/>
      <c r="S71" s="170"/>
      <c r="T71" s="170"/>
      <c r="U71" s="170"/>
      <c r="V71" s="170"/>
      <c r="W71" s="170"/>
      <c r="X71" s="170"/>
      <c r="Y71" s="170"/>
      <c r="Z71" s="170"/>
      <c r="AA71" s="170"/>
      <c r="AB71" s="170"/>
      <c r="AC71" s="170"/>
      <c r="AD71" s="170"/>
      <c r="AE71" s="170"/>
      <c r="AF71" s="171"/>
      <c r="AG71" s="170"/>
      <c r="AH71" s="170"/>
      <c r="AI71" s="170"/>
      <c r="AJ71" s="170"/>
      <c r="AK71" s="171"/>
      <c r="AL71" s="171"/>
      <c r="AM71" s="170"/>
      <c r="AN71" s="171"/>
      <c r="AO71" s="170"/>
      <c r="AP71" s="170"/>
      <c r="AQ71" s="171"/>
      <c r="AR71" s="171"/>
      <c r="AS71" s="171"/>
      <c r="AT71" s="170"/>
      <c r="AU71" s="170"/>
      <c r="AV71" s="170"/>
      <c r="AW71" s="170"/>
      <c r="AX71" s="170"/>
      <c r="AY71" s="170"/>
      <c r="AZ71" s="170"/>
      <c r="BA71" s="170"/>
      <c r="BB71" s="170"/>
      <c r="BC71" s="171"/>
      <c r="BD71" s="171"/>
      <c r="BE71" s="171"/>
      <c r="BF71" s="170"/>
      <c r="BG71" s="170"/>
      <c r="BH71" s="171"/>
      <c r="BI71" s="170"/>
      <c r="BJ71" s="170"/>
      <c r="BK71" s="170"/>
      <c r="BL71" s="170"/>
      <c r="BM71" s="171"/>
      <c r="BN71" s="170"/>
      <c r="BO71" s="170"/>
      <c r="BP71" s="170"/>
      <c r="BQ71" s="170"/>
      <c r="BR71" s="170"/>
      <c r="BS71" s="170"/>
      <c r="BT71" s="170"/>
      <c r="BU71" s="170"/>
      <c r="BV71" s="170"/>
      <c r="BW71" s="170"/>
      <c r="BX71" s="171"/>
      <c r="BY71" s="171"/>
      <c r="BZ71" s="170"/>
      <c r="CA71" s="170"/>
      <c r="CB71" s="170"/>
      <c r="CC71" s="170"/>
      <c r="CD71" s="170"/>
      <c r="CE71" s="170"/>
      <c r="CF71" s="170"/>
      <c r="CG71" s="170"/>
    </row>
    <row r="72">
      <c r="A72" s="171"/>
      <c r="B72" s="170"/>
      <c r="C72" s="170"/>
      <c r="D72" s="170"/>
      <c r="E72" s="171"/>
      <c r="F72" s="171"/>
      <c r="G72" s="171"/>
      <c r="H72" s="170"/>
      <c r="I72" s="171"/>
      <c r="J72" s="171"/>
      <c r="K72" s="171"/>
      <c r="L72" s="170"/>
      <c r="M72" s="170"/>
      <c r="N72" s="171"/>
      <c r="O72" s="170"/>
      <c r="P72" s="186"/>
      <c r="Q72" s="170"/>
      <c r="R72" s="170"/>
      <c r="S72" s="170"/>
      <c r="T72" s="170"/>
      <c r="U72" s="170"/>
      <c r="V72" s="170"/>
      <c r="W72" s="170"/>
      <c r="X72" s="170"/>
      <c r="Y72" s="170"/>
      <c r="Z72" s="170"/>
      <c r="AA72" s="170"/>
      <c r="AB72" s="170"/>
      <c r="AC72" s="170"/>
      <c r="AD72" s="170"/>
      <c r="AE72" s="170"/>
      <c r="AF72" s="171"/>
      <c r="AG72" s="170"/>
      <c r="AH72" s="170"/>
      <c r="AI72" s="170"/>
      <c r="AJ72" s="170"/>
      <c r="AK72" s="171"/>
      <c r="AL72" s="171"/>
      <c r="AM72" s="170"/>
      <c r="AN72" s="171"/>
      <c r="AO72" s="170"/>
      <c r="AP72" s="170"/>
      <c r="AQ72" s="171"/>
      <c r="AR72" s="171"/>
      <c r="AS72" s="171"/>
      <c r="AT72" s="170"/>
      <c r="AU72" s="170"/>
      <c r="AV72" s="170"/>
      <c r="AW72" s="170"/>
      <c r="AX72" s="170"/>
      <c r="AY72" s="170"/>
      <c r="AZ72" s="170"/>
      <c r="BA72" s="170"/>
      <c r="BB72" s="170"/>
      <c r="BC72" s="171"/>
      <c r="BD72" s="171"/>
      <c r="BE72" s="171"/>
      <c r="BF72" s="170"/>
      <c r="BG72" s="170"/>
      <c r="BH72" s="171"/>
      <c r="BI72" s="170"/>
      <c r="BJ72" s="170"/>
      <c r="BK72" s="170"/>
      <c r="BL72" s="170"/>
      <c r="BM72" s="171"/>
      <c r="BN72" s="170"/>
      <c r="BO72" s="170"/>
      <c r="BP72" s="170"/>
      <c r="BQ72" s="170"/>
      <c r="BR72" s="170"/>
      <c r="BS72" s="170"/>
      <c r="BT72" s="170"/>
      <c r="BU72" s="170"/>
      <c r="BV72" s="170"/>
      <c r="BW72" s="170"/>
      <c r="BX72" s="171"/>
      <c r="BY72" s="171"/>
      <c r="BZ72" s="170"/>
      <c r="CA72" s="170"/>
      <c r="CB72" s="170"/>
      <c r="CC72" s="170"/>
      <c r="CD72" s="170"/>
      <c r="CE72" s="170"/>
      <c r="CF72" s="170"/>
      <c r="CG72" s="170"/>
    </row>
    <row r="73">
      <c r="A73" s="171"/>
      <c r="B73" s="170"/>
      <c r="C73" s="170"/>
      <c r="D73" s="170"/>
      <c r="E73" s="171"/>
      <c r="F73" s="171"/>
      <c r="G73" s="171"/>
      <c r="H73" s="170"/>
      <c r="I73" s="171"/>
      <c r="J73" s="171"/>
      <c r="K73" s="171"/>
      <c r="L73" s="170"/>
      <c r="M73" s="170"/>
      <c r="N73" s="171"/>
      <c r="O73" s="170"/>
      <c r="P73" s="186"/>
      <c r="Q73" s="170"/>
      <c r="R73" s="170"/>
      <c r="S73" s="170"/>
      <c r="T73" s="170"/>
      <c r="U73" s="170"/>
      <c r="V73" s="170"/>
      <c r="W73" s="170"/>
      <c r="X73" s="170"/>
      <c r="Y73" s="170"/>
      <c r="Z73" s="170"/>
      <c r="AA73" s="170"/>
      <c r="AB73" s="170"/>
      <c r="AC73" s="170"/>
      <c r="AD73" s="170"/>
      <c r="AE73" s="170"/>
      <c r="AF73" s="171"/>
      <c r="AG73" s="170"/>
      <c r="AH73" s="170"/>
      <c r="AI73" s="170"/>
      <c r="AJ73" s="170"/>
      <c r="AK73" s="171"/>
      <c r="AL73" s="171"/>
      <c r="AM73" s="170"/>
      <c r="AN73" s="171"/>
      <c r="AO73" s="170"/>
      <c r="AP73" s="170"/>
      <c r="AQ73" s="171"/>
      <c r="AR73" s="171"/>
      <c r="AS73" s="171"/>
      <c r="AT73" s="170"/>
      <c r="AU73" s="170"/>
      <c r="AV73" s="170"/>
      <c r="AW73" s="170"/>
      <c r="AX73" s="170"/>
      <c r="AY73" s="170"/>
      <c r="AZ73" s="170"/>
      <c r="BA73" s="170"/>
      <c r="BB73" s="170"/>
      <c r="BC73" s="171"/>
      <c r="BD73" s="171"/>
      <c r="BE73" s="171"/>
      <c r="BF73" s="170"/>
      <c r="BG73" s="170"/>
      <c r="BH73" s="171"/>
      <c r="BI73" s="170"/>
      <c r="BJ73" s="170"/>
      <c r="BK73" s="170"/>
      <c r="BL73" s="170"/>
      <c r="BM73" s="171"/>
      <c r="BN73" s="170"/>
      <c r="BO73" s="170"/>
      <c r="BP73" s="170"/>
      <c r="BQ73" s="170"/>
      <c r="BR73" s="170"/>
      <c r="BS73" s="170"/>
      <c r="BT73" s="170"/>
      <c r="BU73" s="170"/>
      <c r="BV73" s="170"/>
      <c r="BW73" s="170"/>
      <c r="BX73" s="171"/>
      <c r="BY73" s="171"/>
      <c r="BZ73" s="170"/>
      <c r="CA73" s="170"/>
      <c r="CB73" s="170"/>
      <c r="CC73" s="170"/>
      <c r="CD73" s="170"/>
      <c r="CE73" s="170"/>
      <c r="CF73" s="170"/>
      <c r="CG73" s="170"/>
    </row>
    <row r="74">
      <c r="A74" s="171"/>
      <c r="B74" s="170"/>
      <c r="C74" s="170"/>
      <c r="D74" s="170"/>
      <c r="E74" s="171"/>
      <c r="F74" s="171"/>
      <c r="G74" s="171"/>
      <c r="H74" s="170"/>
      <c r="I74" s="171"/>
      <c r="J74" s="171"/>
      <c r="K74" s="171"/>
      <c r="L74" s="170"/>
      <c r="M74" s="170"/>
      <c r="N74" s="171"/>
      <c r="O74" s="170"/>
      <c r="P74" s="186"/>
      <c r="Q74" s="170"/>
      <c r="R74" s="170"/>
      <c r="S74" s="170"/>
      <c r="T74" s="170"/>
      <c r="U74" s="170"/>
      <c r="V74" s="170"/>
      <c r="W74" s="170"/>
      <c r="X74" s="170"/>
      <c r="Y74" s="170"/>
      <c r="Z74" s="170"/>
      <c r="AA74" s="170"/>
      <c r="AB74" s="170"/>
      <c r="AC74" s="170"/>
      <c r="AD74" s="170"/>
      <c r="AE74" s="170"/>
      <c r="AF74" s="171"/>
      <c r="AG74" s="170"/>
      <c r="AH74" s="170"/>
      <c r="AI74" s="170"/>
      <c r="AJ74" s="170"/>
      <c r="AK74" s="171"/>
      <c r="AL74" s="171"/>
      <c r="AM74" s="170"/>
      <c r="AN74" s="171"/>
      <c r="AO74" s="170"/>
      <c r="AP74" s="170"/>
      <c r="AQ74" s="171"/>
      <c r="AR74" s="171"/>
      <c r="AS74" s="171"/>
      <c r="AT74" s="170"/>
      <c r="AU74" s="170"/>
      <c r="AV74" s="170"/>
      <c r="AW74" s="170"/>
      <c r="AX74" s="170"/>
      <c r="AY74" s="170"/>
      <c r="AZ74" s="170"/>
      <c r="BA74" s="170"/>
      <c r="BB74" s="170"/>
      <c r="BC74" s="171"/>
      <c r="BD74" s="171"/>
      <c r="BE74" s="171"/>
      <c r="BF74" s="170"/>
      <c r="BG74" s="170"/>
      <c r="BH74" s="171"/>
      <c r="BI74" s="170"/>
      <c r="BJ74" s="170"/>
      <c r="BK74" s="170"/>
      <c r="BL74" s="170"/>
      <c r="BM74" s="171"/>
      <c r="BN74" s="170"/>
      <c r="BO74" s="170"/>
      <c r="BP74" s="170"/>
      <c r="BQ74" s="170"/>
      <c r="BR74" s="170"/>
      <c r="BS74" s="170"/>
      <c r="BT74" s="170"/>
      <c r="BU74" s="170"/>
      <c r="BV74" s="170"/>
      <c r="BW74" s="170"/>
      <c r="BX74" s="171"/>
      <c r="BY74" s="171"/>
      <c r="BZ74" s="170"/>
      <c r="CA74" s="170"/>
      <c r="CB74" s="170"/>
      <c r="CC74" s="170"/>
      <c r="CD74" s="170"/>
      <c r="CE74" s="170"/>
      <c r="CF74" s="170"/>
      <c r="CG74" s="170"/>
    </row>
    <row r="75">
      <c r="A75" s="171"/>
      <c r="B75" s="170"/>
      <c r="C75" s="170"/>
      <c r="D75" s="170"/>
      <c r="E75" s="171"/>
      <c r="F75" s="171"/>
      <c r="G75" s="171"/>
      <c r="H75" s="170"/>
      <c r="I75" s="171"/>
      <c r="J75" s="171"/>
      <c r="K75" s="171"/>
      <c r="L75" s="170"/>
      <c r="M75" s="170"/>
      <c r="N75" s="171"/>
      <c r="O75" s="170"/>
      <c r="P75" s="186"/>
      <c r="Q75" s="170"/>
      <c r="R75" s="170"/>
      <c r="S75" s="170"/>
      <c r="T75" s="170"/>
      <c r="U75" s="170"/>
      <c r="V75" s="170"/>
      <c r="W75" s="170"/>
      <c r="X75" s="170"/>
      <c r="Y75" s="170"/>
      <c r="Z75" s="170"/>
      <c r="AA75" s="170"/>
      <c r="AB75" s="170"/>
      <c r="AC75" s="170"/>
      <c r="AD75" s="170"/>
      <c r="AE75" s="170"/>
      <c r="AF75" s="171"/>
      <c r="AG75" s="170"/>
      <c r="AH75" s="170"/>
      <c r="AI75" s="170"/>
      <c r="AJ75" s="170"/>
      <c r="AK75" s="171"/>
      <c r="AL75" s="171"/>
      <c r="AM75" s="170"/>
      <c r="AN75" s="171"/>
      <c r="AO75" s="170"/>
      <c r="AP75" s="170"/>
      <c r="AQ75" s="171"/>
      <c r="AR75" s="171"/>
      <c r="AS75" s="171"/>
      <c r="AT75" s="170"/>
      <c r="AU75" s="170"/>
      <c r="AV75" s="170"/>
      <c r="AW75" s="170"/>
      <c r="AX75" s="170"/>
      <c r="AY75" s="170"/>
      <c r="AZ75" s="170"/>
      <c r="BA75" s="170"/>
      <c r="BB75" s="170"/>
      <c r="BC75" s="171"/>
      <c r="BD75" s="171"/>
      <c r="BE75" s="171"/>
      <c r="BF75" s="170"/>
      <c r="BG75" s="170"/>
      <c r="BH75" s="171"/>
      <c r="BI75" s="170"/>
      <c r="BJ75" s="170"/>
      <c r="BK75" s="170"/>
      <c r="BL75" s="170"/>
      <c r="BM75" s="171"/>
      <c r="BN75" s="170"/>
      <c r="BO75" s="170"/>
      <c r="BP75" s="170"/>
      <c r="BQ75" s="170"/>
      <c r="BR75" s="170"/>
      <c r="BS75" s="170"/>
      <c r="BT75" s="170"/>
      <c r="BU75" s="170"/>
      <c r="BV75" s="170"/>
      <c r="BW75" s="170"/>
      <c r="BX75" s="171"/>
      <c r="BY75" s="171"/>
      <c r="BZ75" s="170"/>
      <c r="CA75" s="170"/>
      <c r="CB75" s="170"/>
      <c r="CC75" s="170"/>
      <c r="CD75" s="170"/>
      <c r="CE75" s="170"/>
      <c r="CF75" s="170"/>
      <c r="CG75" s="170"/>
    </row>
    <row r="76">
      <c r="A76" s="171"/>
      <c r="B76" s="170"/>
      <c r="C76" s="170"/>
      <c r="D76" s="170"/>
      <c r="E76" s="171"/>
      <c r="F76" s="171"/>
      <c r="G76" s="171"/>
      <c r="H76" s="170"/>
      <c r="I76" s="171"/>
      <c r="J76" s="171"/>
      <c r="K76" s="171"/>
      <c r="L76" s="170"/>
      <c r="M76" s="170"/>
      <c r="N76" s="171"/>
      <c r="O76" s="170"/>
      <c r="P76" s="186"/>
      <c r="Q76" s="170"/>
      <c r="R76" s="170"/>
      <c r="S76" s="170"/>
      <c r="T76" s="170"/>
      <c r="U76" s="170"/>
      <c r="V76" s="170"/>
      <c r="W76" s="170"/>
      <c r="X76" s="170"/>
      <c r="Y76" s="170"/>
      <c r="Z76" s="170"/>
      <c r="AA76" s="170"/>
      <c r="AB76" s="170"/>
      <c r="AC76" s="170"/>
      <c r="AD76" s="170"/>
      <c r="AE76" s="170"/>
      <c r="AF76" s="171"/>
      <c r="AG76" s="170"/>
      <c r="AH76" s="170"/>
      <c r="AI76" s="170"/>
      <c r="AJ76" s="170"/>
      <c r="AK76" s="171"/>
      <c r="AL76" s="171"/>
      <c r="AM76" s="170"/>
      <c r="AN76" s="171"/>
      <c r="AO76" s="170"/>
      <c r="AP76" s="170"/>
      <c r="AQ76" s="171"/>
      <c r="AR76" s="171"/>
      <c r="AS76" s="171"/>
      <c r="AT76" s="170"/>
      <c r="AU76" s="170"/>
      <c r="AV76" s="170"/>
      <c r="AW76" s="170"/>
      <c r="AX76" s="170"/>
      <c r="AY76" s="170"/>
      <c r="AZ76" s="170"/>
      <c r="BA76" s="170"/>
      <c r="BB76" s="170"/>
      <c r="BC76" s="171"/>
      <c r="BD76" s="171"/>
      <c r="BE76" s="171"/>
      <c r="BF76" s="170"/>
      <c r="BG76" s="170"/>
      <c r="BH76" s="171"/>
      <c r="BI76" s="170"/>
      <c r="BJ76" s="170"/>
      <c r="BK76" s="170"/>
      <c r="BL76" s="170"/>
      <c r="BM76" s="171"/>
      <c r="BN76" s="170"/>
      <c r="BO76" s="170"/>
      <c r="BP76" s="170"/>
      <c r="BQ76" s="170"/>
      <c r="BR76" s="170"/>
      <c r="BS76" s="170"/>
      <c r="BT76" s="170"/>
      <c r="BU76" s="170"/>
      <c r="BV76" s="170"/>
      <c r="BW76" s="170"/>
      <c r="BX76" s="171"/>
      <c r="BY76" s="171"/>
      <c r="BZ76" s="170"/>
      <c r="CA76" s="170"/>
      <c r="CB76" s="170"/>
      <c r="CC76" s="170"/>
      <c r="CD76" s="170"/>
      <c r="CE76" s="170"/>
      <c r="CF76" s="170"/>
      <c r="CG76" s="170"/>
    </row>
    <row r="77">
      <c r="A77" s="171"/>
      <c r="B77" s="170"/>
      <c r="C77" s="170"/>
      <c r="D77" s="170"/>
      <c r="E77" s="171"/>
      <c r="F77" s="171"/>
      <c r="G77" s="171"/>
      <c r="H77" s="170"/>
      <c r="I77" s="171"/>
      <c r="J77" s="171"/>
      <c r="K77" s="171"/>
      <c r="L77" s="170"/>
      <c r="M77" s="170"/>
      <c r="N77" s="171"/>
      <c r="O77" s="170"/>
      <c r="P77" s="186"/>
      <c r="Q77" s="170"/>
      <c r="R77" s="170"/>
      <c r="S77" s="170"/>
      <c r="T77" s="170"/>
      <c r="U77" s="170"/>
      <c r="V77" s="170"/>
      <c r="W77" s="170"/>
      <c r="X77" s="170"/>
      <c r="Y77" s="170"/>
      <c r="Z77" s="170"/>
      <c r="AA77" s="170"/>
      <c r="AB77" s="170"/>
      <c r="AC77" s="170"/>
      <c r="AD77" s="170"/>
      <c r="AE77" s="170"/>
      <c r="AF77" s="171"/>
      <c r="AG77" s="170"/>
      <c r="AH77" s="170"/>
      <c r="AI77" s="170"/>
      <c r="AJ77" s="170"/>
      <c r="AK77" s="171"/>
      <c r="AL77" s="171"/>
      <c r="AM77" s="170"/>
      <c r="AN77" s="171"/>
      <c r="AO77" s="170"/>
      <c r="AP77" s="170"/>
      <c r="AQ77" s="171"/>
      <c r="AR77" s="171"/>
      <c r="AS77" s="171"/>
      <c r="AT77" s="170"/>
      <c r="AU77" s="170"/>
      <c r="AV77" s="170"/>
      <c r="AW77" s="170"/>
      <c r="AX77" s="170"/>
      <c r="AY77" s="170"/>
      <c r="AZ77" s="170"/>
      <c r="BA77" s="170"/>
      <c r="BB77" s="170"/>
      <c r="BC77" s="171"/>
      <c r="BD77" s="171"/>
      <c r="BE77" s="171"/>
      <c r="BF77" s="170"/>
      <c r="BG77" s="170"/>
      <c r="BH77" s="171"/>
      <c r="BI77" s="170"/>
      <c r="BJ77" s="170"/>
      <c r="BK77" s="170"/>
      <c r="BL77" s="170"/>
      <c r="BM77" s="171"/>
      <c r="BN77" s="170"/>
      <c r="BO77" s="170"/>
      <c r="BP77" s="170"/>
      <c r="BQ77" s="170"/>
      <c r="BR77" s="170"/>
      <c r="BS77" s="170"/>
      <c r="BT77" s="170"/>
      <c r="BU77" s="170"/>
      <c r="BV77" s="170"/>
      <c r="BW77" s="170"/>
      <c r="BX77" s="171"/>
      <c r="BY77" s="171"/>
      <c r="BZ77" s="170"/>
      <c r="CA77" s="170"/>
      <c r="CB77" s="170"/>
      <c r="CC77" s="170"/>
      <c r="CD77" s="170"/>
      <c r="CE77" s="170"/>
      <c r="CF77" s="170"/>
      <c r="CG77" s="170"/>
    </row>
    <row r="78">
      <c r="A78" s="171"/>
      <c r="B78" s="170"/>
      <c r="C78" s="170"/>
      <c r="D78" s="170"/>
      <c r="E78" s="171"/>
      <c r="F78" s="171"/>
      <c r="G78" s="171"/>
      <c r="H78" s="170"/>
      <c r="I78" s="171"/>
      <c r="J78" s="171"/>
      <c r="K78" s="171"/>
      <c r="L78" s="170"/>
      <c r="M78" s="170"/>
      <c r="N78" s="171"/>
      <c r="O78" s="170"/>
      <c r="P78" s="186"/>
      <c r="Q78" s="170"/>
      <c r="R78" s="170"/>
      <c r="S78" s="170"/>
      <c r="T78" s="170"/>
      <c r="U78" s="170"/>
      <c r="V78" s="170"/>
      <c r="W78" s="170"/>
      <c r="X78" s="170"/>
      <c r="Y78" s="170"/>
      <c r="Z78" s="170"/>
      <c r="AA78" s="170"/>
      <c r="AB78" s="170"/>
      <c r="AC78" s="170"/>
      <c r="AD78" s="170"/>
      <c r="AE78" s="170"/>
      <c r="AF78" s="171"/>
      <c r="AG78" s="170"/>
      <c r="AH78" s="170"/>
      <c r="AI78" s="170"/>
      <c r="AJ78" s="170"/>
      <c r="AK78" s="171"/>
      <c r="AL78" s="171"/>
      <c r="AM78" s="170"/>
      <c r="AN78" s="171"/>
      <c r="AO78" s="170"/>
      <c r="AP78" s="170"/>
      <c r="AQ78" s="171"/>
      <c r="AR78" s="171"/>
      <c r="AS78" s="171"/>
      <c r="AT78" s="170"/>
      <c r="AU78" s="170"/>
      <c r="AV78" s="170"/>
      <c r="AW78" s="170"/>
      <c r="AX78" s="170"/>
      <c r="AY78" s="170"/>
      <c r="AZ78" s="170"/>
      <c r="BA78" s="170"/>
      <c r="BB78" s="170"/>
      <c r="BC78" s="171"/>
      <c r="BD78" s="171"/>
      <c r="BE78" s="171"/>
      <c r="BF78" s="170"/>
      <c r="BG78" s="170"/>
      <c r="BH78" s="171"/>
      <c r="BI78" s="170"/>
      <c r="BJ78" s="170"/>
      <c r="BK78" s="170"/>
      <c r="BL78" s="170"/>
      <c r="BM78" s="171"/>
      <c r="BN78" s="170"/>
      <c r="BO78" s="170"/>
      <c r="BP78" s="170"/>
      <c r="BQ78" s="170"/>
      <c r="BR78" s="170"/>
      <c r="BS78" s="170"/>
      <c r="BT78" s="170"/>
      <c r="BU78" s="170"/>
      <c r="BV78" s="170"/>
      <c r="BW78" s="170"/>
      <c r="BX78" s="171"/>
      <c r="BY78" s="171"/>
      <c r="BZ78" s="170"/>
      <c r="CA78" s="170"/>
      <c r="CB78" s="170"/>
      <c r="CC78" s="170"/>
      <c r="CD78" s="170"/>
      <c r="CE78" s="170"/>
      <c r="CF78" s="170"/>
      <c r="CG78" s="170"/>
    </row>
    <row r="79">
      <c r="A79" s="171"/>
      <c r="B79" s="170"/>
      <c r="C79" s="170"/>
      <c r="D79" s="170"/>
      <c r="E79" s="171"/>
      <c r="F79" s="171"/>
      <c r="G79" s="171"/>
      <c r="H79" s="170"/>
      <c r="I79" s="171"/>
      <c r="J79" s="171"/>
      <c r="K79" s="171"/>
      <c r="L79" s="170"/>
      <c r="M79" s="170"/>
      <c r="N79" s="171"/>
      <c r="O79" s="170"/>
      <c r="P79" s="186"/>
      <c r="Q79" s="170"/>
      <c r="R79" s="170"/>
      <c r="S79" s="170"/>
      <c r="T79" s="170"/>
      <c r="U79" s="170"/>
      <c r="V79" s="170"/>
      <c r="W79" s="170"/>
      <c r="X79" s="170"/>
      <c r="Y79" s="170"/>
      <c r="Z79" s="170"/>
      <c r="AA79" s="170"/>
      <c r="AB79" s="170"/>
      <c r="AC79" s="170"/>
      <c r="AD79" s="170"/>
      <c r="AE79" s="170"/>
      <c r="AF79" s="171"/>
      <c r="AG79" s="170"/>
      <c r="AH79" s="170"/>
      <c r="AI79" s="170"/>
      <c r="AJ79" s="170"/>
      <c r="AK79" s="171"/>
      <c r="AL79" s="171"/>
      <c r="AM79" s="170"/>
      <c r="AN79" s="171"/>
      <c r="AO79" s="170"/>
      <c r="AP79" s="170"/>
      <c r="AQ79" s="171"/>
      <c r="AR79" s="171"/>
      <c r="AS79" s="171"/>
      <c r="AT79" s="170"/>
      <c r="AU79" s="170"/>
      <c r="AV79" s="170"/>
      <c r="AW79" s="170"/>
      <c r="AX79" s="170"/>
      <c r="AY79" s="170"/>
      <c r="AZ79" s="170"/>
      <c r="BA79" s="170"/>
      <c r="BB79" s="170"/>
      <c r="BC79" s="171"/>
      <c r="BD79" s="171"/>
      <c r="BE79" s="171"/>
      <c r="BF79" s="170"/>
      <c r="BG79" s="170"/>
      <c r="BH79" s="171"/>
      <c r="BI79" s="170"/>
      <c r="BJ79" s="170"/>
      <c r="BK79" s="170"/>
      <c r="BL79" s="170"/>
      <c r="BM79" s="171"/>
      <c r="BN79" s="170"/>
      <c r="BO79" s="170"/>
      <c r="BP79" s="170"/>
      <c r="BQ79" s="170"/>
      <c r="BR79" s="170"/>
      <c r="BS79" s="170"/>
      <c r="BT79" s="170"/>
      <c r="BU79" s="170"/>
      <c r="BV79" s="170"/>
      <c r="BW79" s="170"/>
      <c r="BX79" s="171"/>
      <c r="BY79" s="171"/>
      <c r="BZ79" s="170"/>
      <c r="CA79" s="170"/>
      <c r="CB79" s="170"/>
      <c r="CC79" s="170"/>
      <c r="CD79" s="170"/>
      <c r="CE79" s="170"/>
      <c r="CF79" s="170"/>
      <c r="CG79" s="170"/>
    </row>
    <row r="80">
      <c r="A80" s="171"/>
      <c r="B80" s="170"/>
      <c r="C80" s="170"/>
      <c r="D80" s="170"/>
      <c r="E80" s="171"/>
      <c r="F80" s="171"/>
      <c r="G80" s="171"/>
      <c r="H80" s="170"/>
      <c r="I80" s="171"/>
      <c r="J80" s="171"/>
      <c r="K80" s="171"/>
      <c r="L80" s="170"/>
      <c r="M80" s="170"/>
      <c r="N80" s="171"/>
      <c r="O80" s="170"/>
      <c r="P80" s="186"/>
      <c r="Q80" s="170"/>
      <c r="R80" s="170"/>
      <c r="S80" s="170"/>
      <c r="T80" s="170"/>
      <c r="U80" s="170"/>
      <c r="V80" s="170"/>
      <c r="W80" s="170"/>
      <c r="X80" s="170"/>
      <c r="Y80" s="170"/>
      <c r="Z80" s="170"/>
      <c r="AA80" s="170"/>
      <c r="AB80" s="170"/>
      <c r="AC80" s="170"/>
      <c r="AD80" s="170"/>
      <c r="AE80" s="170"/>
      <c r="AF80" s="171"/>
      <c r="AG80" s="170"/>
      <c r="AH80" s="170"/>
      <c r="AI80" s="170"/>
      <c r="AJ80" s="170"/>
      <c r="AK80" s="171"/>
      <c r="AL80" s="171"/>
      <c r="AM80" s="170"/>
      <c r="AN80" s="171"/>
      <c r="AO80" s="170"/>
      <c r="AP80" s="170"/>
      <c r="AQ80" s="171"/>
      <c r="AR80" s="171"/>
      <c r="AS80" s="171"/>
      <c r="AT80" s="170"/>
      <c r="AU80" s="170"/>
      <c r="AV80" s="170"/>
      <c r="AW80" s="170"/>
      <c r="AX80" s="170"/>
      <c r="AY80" s="170"/>
      <c r="AZ80" s="170"/>
      <c r="BA80" s="170"/>
      <c r="BB80" s="170"/>
      <c r="BC80" s="171"/>
      <c r="BD80" s="171"/>
      <c r="BE80" s="171"/>
      <c r="BF80" s="170"/>
      <c r="BG80" s="170"/>
      <c r="BH80" s="171"/>
      <c r="BI80" s="170"/>
      <c r="BJ80" s="170"/>
      <c r="BK80" s="170"/>
      <c r="BL80" s="170"/>
      <c r="BM80" s="171"/>
      <c r="BN80" s="170"/>
      <c r="BO80" s="170"/>
      <c r="BP80" s="170"/>
      <c r="BQ80" s="170"/>
      <c r="BR80" s="170"/>
      <c r="BS80" s="170"/>
      <c r="BT80" s="170"/>
      <c r="BU80" s="170"/>
      <c r="BV80" s="170"/>
      <c r="BW80" s="170"/>
      <c r="BX80" s="171"/>
      <c r="BY80" s="171"/>
      <c r="BZ80" s="170"/>
      <c r="CA80" s="170"/>
      <c r="CB80" s="170"/>
      <c r="CC80" s="170"/>
      <c r="CD80" s="170"/>
      <c r="CE80" s="170"/>
      <c r="CF80" s="170"/>
      <c r="CG80" s="170"/>
    </row>
    <row r="81">
      <c r="A81" s="171"/>
      <c r="B81" s="170"/>
      <c r="C81" s="170"/>
      <c r="D81" s="170"/>
      <c r="E81" s="171"/>
      <c r="F81" s="171"/>
      <c r="G81" s="171"/>
      <c r="H81" s="170"/>
      <c r="I81" s="171"/>
      <c r="J81" s="171"/>
      <c r="K81" s="171"/>
      <c r="L81" s="170"/>
      <c r="M81" s="170"/>
      <c r="N81" s="171"/>
      <c r="O81" s="170"/>
      <c r="P81" s="186"/>
      <c r="Q81" s="170"/>
      <c r="R81" s="170"/>
      <c r="S81" s="170"/>
      <c r="T81" s="170"/>
      <c r="U81" s="170"/>
      <c r="V81" s="170"/>
      <c r="W81" s="170"/>
      <c r="X81" s="170"/>
      <c r="Y81" s="170"/>
      <c r="Z81" s="170"/>
      <c r="AA81" s="170"/>
      <c r="AB81" s="170"/>
      <c r="AC81" s="170"/>
      <c r="AD81" s="170"/>
      <c r="AE81" s="170"/>
      <c r="AF81" s="171"/>
      <c r="AG81" s="170"/>
      <c r="AH81" s="170"/>
      <c r="AI81" s="170"/>
      <c r="AJ81" s="170"/>
      <c r="AK81" s="171"/>
      <c r="AL81" s="171"/>
      <c r="AM81" s="170"/>
      <c r="AN81" s="171"/>
      <c r="AO81" s="170"/>
      <c r="AP81" s="170"/>
      <c r="AQ81" s="171"/>
      <c r="AR81" s="171"/>
      <c r="AS81" s="171"/>
      <c r="AT81" s="170"/>
      <c r="AU81" s="170"/>
      <c r="AV81" s="170"/>
      <c r="AW81" s="170"/>
      <c r="AX81" s="170"/>
      <c r="AY81" s="170"/>
      <c r="AZ81" s="170"/>
      <c r="BA81" s="170"/>
      <c r="BB81" s="170"/>
      <c r="BC81" s="171"/>
      <c r="BD81" s="171"/>
      <c r="BE81" s="171"/>
      <c r="BF81" s="170"/>
      <c r="BG81" s="170"/>
      <c r="BH81" s="171"/>
      <c r="BI81" s="170"/>
      <c r="BJ81" s="170"/>
      <c r="BK81" s="170"/>
      <c r="BL81" s="170"/>
      <c r="BM81" s="171"/>
      <c r="BN81" s="170"/>
      <c r="BO81" s="170"/>
      <c r="BP81" s="170"/>
      <c r="BQ81" s="170"/>
      <c r="BR81" s="170"/>
      <c r="BS81" s="170"/>
      <c r="BT81" s="170"/>
      <c r="BU81" s="170"/>
      <c r="BV81" s="170"/>
      <c r="BW81" s="170"/>
      <c r="BX81" s="171"/>
      <c r="BY81" s="171"/>
      <c r="BZ81" s="170"/>
      <c r="CA81" s="170"/>
      <c r="CB81" s="170"/>
      <c r="CC81" s="170"/>
      <c r="CD81" s="170"/>
      <c r="CE81" s="170"/>
      <c r="CF81" s="170"/>
      <c r="CG81" s="170"/>
    </row>
    <row r="82">
      <c r="A82" s="171"/>
      <c r="B82" s="170"/>
      <c r="C82" s="170"/>
      <c r="D82" s="170"/>
      <c r="E82" s="171"/>
      <c r="F82" s="171"/>
      <c r="G82" s="171"/>
      <c r="H82" s="170"/>
      <c r="I82" s="171"/>
      <c r="J82" s="171"/>
      <c r="K82" s="171"/>
      <c r="L82" s="170"/>
      <c r="M82" s="170"/>
      <c r="N82" s="171"/>
      <c r="O82" s="170"/>
      <c r="P82" s="186"/>
      <c r="Q82" s="170"/>
      <c r="R82" s="170"/>
      <c r="S82" s="170"/>
      <c r="T82" s="170"/>
      <c r="U82" s="170"/>
      <c r="V82" s="170"/>
      <c r="W82" s="170"/>
      <c r="X82" s="170"/>
      <c r="Y82" s="170"/>
      <c r="Z82" s="170"/>
      <c r="AA82" s="170"/>
      <c r="AB82" s="170"/>
      <c r="AC82" s="170"/>
      <c r="AD82" s="170"/>
      <c r="AE82" s="170"/>
      <c r="AF82" s="171"/>
      <c r="AG82" s="170"/>
      <c r="AH82" s="170"/>
      <c r="AI82" s="170"/>
      <c r="AJ82" s="170"/>
      <c r="AK82" s="171"/>
      <c r="AL82" s="171"/>
      <c r="AM82" s="170"/>
      <c r="AN82" s="171"/>
      <c r="AO82" s="170"/>
      <c r="AP82" s="170"/>
      <c r="AQ82" s="171"/>
      <c r="AR82" s="171"/>
      <c r="AS82" s="171"/>
      <c r="AT82" s="170"/>
      <c r="AU82" s="170"/>
      <c r="AV82" s="170"/>
      <c r="AW82" s="170"/>
      <c r="AX82" s="170"/>
      <c r="AY82" s="170"/>
      <c r="AZ82" s="170"/>
      <c r="BA82" s="170"/>
      <c r="BB82" s="170"/>
      <c r="BC82" s="171"/>
      <c r="BD82" s="171"/>
      <c r="BE82" s="171"/>
      <c r="BF82" s="170"/>
      <c r="BG82" s="170"/>
      <c r="BH82" s="171"/>
      <c r="BI82" s="170"/>
      <c r="BJ82" s="170"/>
      <c r="BK82" s="170"/>
      <c r="BL82" s="170"/>
      <c r="BM82" s="171"/>
      <c r="BN82" s="170"/>
      <c r="BO82" s="170"/>
      <c r="BP82" s="170"/>
      <c r="BQ82" s="170"/>
      <c r="BR82" s="170"/>
      <c r="BS82" s="170"/>
      <c r="BT82" s="170"/>
      <c r="BU82" s="170"/>
      <c r="BV82" s="170"/>
      <c r="BW82" s="170"/>
      <c r="BX82" s="171"/>
      <c r="BY82" s="171"/>
      <c r="BZ82" s="170"/>
      <c r="CA82" s="170"/>
      <c r="CB82" s="170"/>
      <c r="CC82" s="170"/>
      <c r="CD82" s="170"/>
      <c r="CE82" s="170"/>
      <c r="CF82" s="170"/>
      <c r="CG82" s="170"/>
    </row>
    <row r="83">
      <c r="A83" s="171"/>
      <c r="B83" s="170"/>
      <c r="C83" s="170"/>
      <c r="D83" s="170"/>
      <c r="E83" s="171"/>
      <c r="F83" s="171"/>
      <c r="G83" s="171"/>
      <c r="H83" s="170"/>
      <c r="I83" s="171"/>
      <c r="J83" s="171"/>
      <c r="K83" s="171"/>
      <c r="L83" s="170"/>
      <c r="M83" s="170"/>
      <c r="N83" s="171"/>
      <c r="O83" s="170"/>
      <c r="P83" s="186"/>
      <c r="Q83" s="170"/>
      <c r="R83" s="170"/>
      <c r="S83" s="170"/>
      <c r="T83" s="170"/>
      <c r="U83" s="170"/>
      <c r="V83" s="170"/>
      <c r="W83" s="170"/>
      <c r="X83" s="170"/>
      <c r="Y83" s="170"/>
      <c r="Z83" s="170"/>
      <c r="AA83" s="170"/>
      <c r="AB83" s="170"/>
      <c r="AC83" s="170"/>
      <c r="AD83" s="170"/>
      <c r="AE83" s="170"/>
      <c r="AF83" s="171"/>
      <c r="AG83" s="170"/>
      <c r="AH83" s="170"/>
      <c r="AI83" s="170"/>
      <c r="AJ83" s="170"/>
      <c r="AK83" s="171"/>
      <c r="AL83" s="171"/>
      <c r="AM83" s="170"/>
      <c r="AN83" s="171"/>
      <c r="AO83" s="170"/>
      <c r="AP83" s="170"/>
      <c r="AQ83" s="171"/>
      <c r="AR83" s="171"/>
      <c r="AS83" s="171"/>
      <c r="AT83" s="170"/>
      <c r="AU83" s="170"/>
      <c r="AV83" s="170"/>
      <c r="AW83" s="170"/>
      <c r="AX83" s="170"/>
      <c r="AY83" s="170"/>
      <c r="AZ83" s="170"/>
      <c r="BA83" s="170"/>
      <c r="BB83" s="170"/>
      <c r="BC83" s="171"/>
      <c r="BD83" s="171"/>
      <c r="BE83" s="171"/>
      <c r="BF83" s="170"/>
      <c r="BG83" s="170"/>
      <c r="BH83" s="171"/>
      <c r="BI83" s="170"/>
      <c r="BJ83" s="170"/>
      <c r="BK83" s="170"/>
      <c r="BL83" s="170"/>
      <c r="BM83" s="171"/>
      <c r="BN83" s="170"/>
      <c r="BO83" s="170"/>
      <c r="BP83" s="170"/>
      <c r="BQ83" s="170"/>
      <c r="BR83" s="170"/>
      <c r="BS83" s="170"/>
      <c r="BT83" s="170"/>
      <c r="BU83" s="170"/>
      <c r="BV83" s="170"/>
      <c r="BW83" s="170"/>
      <c r="BX83" s="171"/>
      <c r="BY83" s="171"/>
      <c r="BZ83" s="170"/>
      <c r="CA83" s="170"/>
      <c r="CB83" s="170"/>
      <c r="CC83" s="170"/>
      <c r="CD83" s="170"/>
      <c r="CE83" s="170"/>
      <c r="CF83" s="170"/>
      <c r="CG83" s="170"/>
    </row>
    <row r="84">
      <c r="A84" s="171"/>
      <c r="B84" s="170"/>
      <c r="C84" s="170"/>
      <c r="D84" s="170"/>
      <c r="E84" s="171"/>
      <c r="F84" s="171"/>
      <c r="G84" s="171"/>
      <c r="H84" s="170"/>
      <c r="I84" s="171"/>
      <c r="J84" s="171"/>
      <c r="K84" s="171"/>
      <c r="L84" s="170"/>
      <c r="M84" s="170"/>
      <c r="N84" s="171"/>
      <c r="O84" s="170"/>
      <c r="P84" s="186"/>
      <c r="Q84" s="170"/>
      <c r="R84" s="170"/>
      <c r="S84" s="170"/>
      <c r="T84" s="170"/>
      <c r="U84" s="170"/>
      <c r="V84" s="170"/>
      <c r="W84" s="170"/>
      <c r="X84" s="170"/>
      <c r="Y84" s="170"/>
      <c r="Z84" s="170"/>
      <c r="AA84" s="170"/>
      <c r="AB84" s="170"/>
      <c r="AC84" s="170"/>
      <c r="AD84" s="170"/>
      <c r="AE84" s="170"/>
      <c r="AF84" s="171"/>
      <c r="AG84" s="170"/>
      <c r="AH84" s="170"/>
      <c r="AI84" s="170"/>
      <c r="AJ84" s="170"/>
      <c r="AK84" s="171"/>
      <c r="AL84" s="171"/>
      <c r="AM84" s="170"/>
      <c r="AN84" s="171"/>
      <c r="AO84" s="170"/>
      <c r="AP84" s="170"/>
      <c r="AQ84" s="171"/>
      <c r="AR84" s="171"/>
      <c r="AS84" s="171"/>
      <c r="AT84" s="170"/>
      <c r="AU84" s="170"/>
      <c r="AV84" s="170"/>
      <c r="AW84" s="170"/>
      <c r="AX84" s="170"/>
      <c r="AY84" s="170"/>
      <c r="AZ84" s="170"/>
      <c r="BA84" s="170"/>
      <c r="BB84" s="170"/>
      <c r="BC84" s="171"/>
      <c r="BD84" s="171"/>
      <c r="BE84" s="171"/>
      <c r="BF84" s="170"/>
      <c r="BG84" s="170"/>
      <c r="BH84" s="171"/>
      <c r="BI84" s="170"/>
      <c r="BJ84" s="170"/>
      <c r="BK84" s="170"/>
      <c r="BL84" s="170"/>
      <c r="BM84" s="171"/>
      <c r="BN84" s="170"/>
      <c r="BO84" s="170"/>
      <c r="BP84" s="170"/>
      <c r="BQ84" s="170"/>
      <c r="BR84" s="170"/>
      <c r="BS84" s="170"/>
      <c r="BT84" s="170"/>
      <c r="BU84" s="170"/>
      <c r="BV84" s="170"/>
      <c r="BW84" s="170"/>
      <c r="BX84" s="171"/>
      <c r="BY84" s="171"/>
      <c r="BZ84" s="170"/>
      <c r="CA84" s="170"/>
      <c r="CB84" s="170"/>
      <c r="CC84" s="170"/>
      <c r="CD84" s="170"/>
      <c r="CE84" s="170"/>
      <c r="CF84" s="170"/>
      <c r="CG84" s="170"/>
    </row>
    <row r="85">
      <c r="A85" s="171"/>
      <c r="B85" s="170"/>
      <c r="C85" s="170"/>
      <c r="D85" s="170"/>
      <c r="E85" s="171"/>
      <c r="F85" s="171"/>
      <c r="G85" s="171"/>
      <c r="H85" s="170"/>
      <c r="I85" s="171"/>
      <c r="J85" s="171"/>
      <c r="K85" s="171"/>
      <c r="L85" s="170"/>
      <c r="M85" s="170"/>
      <c r="N85" s="171"/>
      <c r="O85" s="170"/>
      <c r="P85" s="186"/>
      <c r="Q85" s="170"/>
      <c r="R85" s="170"/>
      <c r="S85" s="170"/>
      <c r="T85" s="170"/>
      <c r="U85" s="170"/>
      <c r="V85" s="170"/>
      <c r="W85" s="170"/>
      <c r="X85" s="170"/>
      <c r="Y85" s="170"/>
      <c r="Z85" s="170"/>
      <c r="AA85" s="170"/>
      <c r="AB85" s="170"/>
      <c r="AC85" s="170"/>
      <c r="AD85" s="170"/>
      <c r="AE85" s="170"/>
      <c r="AF85" s="171"/>
      <c r="AG85" s="170"/>
      <c r="AH85" s="170"/>
      <c r="AI85" s="170"/>
      <c r="AJ85" s="170"/>
      <c r="AK85" s="171"/>
      <c r="AL85" s="171"/>
      <c r="AM85" s="170"/>
      <c r="AN85" s="171"/>
      <c r="AO85" s="170"/>
      <c r="AP85" s="170"/>
      <c r="AQ85" s="171"/>
      <c r="AR85" s="171"/>
      <c r="AS85" s="171"/>
      <c r="AT85" s="170"/>
      <c r="AU85" s="170"/>
      <c r="AV85" s="170"/>
      <c r="AW85" s="170"/>
      <c r="AX85" s="170"/>
      <c r="AY85" s="170"/>
      <c r="AZ85" s="170"/>
      <c r="BA85" s="170"/>
      <c r="BB85" s="170"/>
      <c r="BC85" s="171"/>
      <c r="BD85" s="171"/>
      <c r="BE85" s="171"/>
      <c r="BF85" s="170"/>
      <c r="BG85" s="170"/>
      <c r="BH85" s="171"/>
      <c r="BI85" s="170"/>
      <c r="BJ85" s="170"/>
      <c r="BK85" s="170"/>
      <c r="BL85" s="170"/>
      <c r="BM85" s="171"/>
      <c r="BN85" s="170"/>
      <c r="BO85" s="170"/>
      <c r="BP85" s="170"/>
      <c r="BQ85" s="170"/>
      <c r="BR85" s="170"/>
      <c r="BS85" s="170"/>
      <c r="BT85" s="170"/>
      <c r="BU85" s="170"/>
      <c r="BV85" s="170"/>
      <c r="BW85" s="170"/>
      <c r="BX85" s="171"/>
      <c r="BY85" s="171"/>
      <c r="BZ85" s="170"/>
      <c r="CA85" s="170"/>
      <c r="CB85" s="170"/>
      <c r="CC85" s="170"/>
      <c r="CD85" s="170"/>
      <c r="CE85" s="170"/>
      <c r="CF85" s="170"/>
      <c r="CG85" s="170"/>
    </row>
    <row r="86">
      <c r="A86" s="171"/>
      <c r="B86" s="170"/>
      <c r="C86" s="170"/>
      <c r="D86" s="170"/>
      <c r="E86" s="171"/>
      <c r="F86" s="171"/>
      <c r="G86" s="171"/>
      <c r="H86" s="170"/>
      <c r="I86" s="171"/>
      <c r="J86" s="171"/>
      <c r="K86" s="171"/>
      <c r="L86" s="170"/>
      <c r="M86" s="170"/>
      <c r="N86" s="171"/>
      <c r="O86" s="170"/>
      <c r="P86" s="186"/>
      <c r="Q86" s="170"/>
      <c r="R86" s="170"/>
      <c r="S86" s="170"/>
      <c r="T86" s="170"/>
      <c r="U86" s="170"/>
      <c r="V86" s="170"/>
      <c r="W86" s="170"/>
      <c r="X86" s="170"/>
      <c r="Y86" s="170"/>
      <c r="Z86" s="170"/>
      <c r="AA86" s="170"/>
      <c r="AB86" s="170"/>
      <c r="AC86" s="170"/>
      <c r="AD86" s="170"/>
      <c r="AE86" s="170"/>
      <c r="AF86" s="171"/>
      <c r="AG86" s="170"/>
      <c r="AH86" s="170"/>
      <c r="AI86" s="170"/>
      <c r="AJ86" s="170"/>
      <c r="AK86" s="171"/>
      <c r="AL86" s="171"/>
      <c r="AM86" s="170"/>
      <c r="AN86" s="171"/>
      <c r="AO86" s="170"/>
      <c r="AP86" s="170"/>
      <c r="AQ86" s="171"/>
      <c r="AR86" s="171"/>
      <c r="AS86" s="171"/>
      <c r="AT86" s="170"/>
      <c r="AU86" s="170"/>
      <c r="AV86" s="170"/>
      <c r="AW86" s="170"/>
      <c r="AX86" s="170"/>
      <c r="AY86" s="170"/>
      <c r="AZ86" s="170"/>
      <c r="BA86" s="170"/>
      <c r="BB86" s="170"/>
      <c r="BC86" s="171"/>
      <c r="BD86" s="171"/>
      <c r="BE86" s="171"/>
      <c r="BF86" s="170"/>
      <c r="BG86" s="170"/>
      <c r="BH86" s="171"/>
      <c r="BI86" s="170"/>
      <c r="BJ86" s="170"/>
      <c r="BK86" s="170"/>
      <c r="BL86" s="170"/>
      <c r="BM86" s="171"/>
      <c r="BN86" s="170"/>
      <c r="BO86" s="170"/>
      <c r="BP86" s="170"/>
      <c r="BQ86" s="170"/>
      <c r="BR86" s="170"/>
      <c r="BS86" s="170"/>
      <c r="BT86" s="170"/>
      <c r="BU86" s="170"/>
      <c r="BV86" s="170"/>
      <c r="BW86" s="170"/>
      <c r="BX86" s="171"/>
      <c r="BY86" s="171"/>
      <c r="BZ86" s="170"/>
      <c r="CA86" s="170"/>
      <c r="CB86" s="170"/>
      <c r="CC86" s="170"/>
      <c r="CD86" s="170"/>
      <c r="CE86" s="170"/>
      <c r="CF86" s="170"/>
      <c r="CG86" s="170"/>
    </row>
    <row r="87">
      <c r="A87" s="171"/>
      <c r="B87" s="170"/>
      <c r="C87" s="170"/>
      <c r="D87" s="170"/>
      <c r="E87" s="171"/>
      <c r="F87" s="171"/>
      <c r="G87" s="171"/>
      <c r="H87" s="170"/>
      <c r="I87" s="171"/>
      <c r="J87" s="171"/>
      <c r="K87" s="171"/>
      <c r="L87" s="170"/>
      <c r="M87" s="170"/>
      <c r="N87" s="171"/>
      <c r="O87" s="170"/>
      <c r="P87" s="186"/>
      <c r="Q87" s="170"/>
      <c r="R87" s="170"/>
      <c r="S87" s="170"/>
      <c r="T87" s="170"/>
      <c r="U87" s="170"/>
      <c r="V87" s="170"/>
      <c r="W87" s="170"/>
      <c r="X87" s="170"/>
      <c r="Y87" s="170"/>
      <c r="Z87" s="170"/>
      <c r="AA87" s="170"/>
      <c r="AB87" s="170"/>
      <c r="AC87" s="170"/>
      <c r="AD87" s="170"/>
      <c r="AE87" s="170"/>
      <c r="AF87" s="171"/>
      <c r="AG87" s="170"/>
      <c r="AH87" s="170"/>
      <c r="AI87" s="170"/>
      <c r="AJ87" s="170"/>
      <c r="AK87" s="171"/>
      <c r="AL87" s="171"/>
      <c r="AM87" s="170"/>
      <c r="AN87" s="171"/>
      <c r="AO87" s="170"/>
      <c r="AP87" s="170"/>
      <c r="AQ87" s="171"/>
      <c r="AR87" s="171"/>
      <c r="AS87" s="171"/>
      <c r="AT87" s="170"/>
      <c r="AU87" s="170"/>
      <c r="AV87" s="170"/>
      <c r="AW87" s="170"/>
      <c r="AX87" s="170"/>
      <c r="AY87" s="170"/>
      <c r="AZ87" s="170"/>
      <c r="BA87" s="170"/>
      <c r="BB87" s="170"/>
      <c r="BC87" s="171"/>
      <c r="BD87" s="171"/>
      <c r="BE87" s="171"/>
      <c r="BF87" s="170"/>
      <c r="BG87" s="170"/>
      <c r="BH87" s="171"/>
      <c r="BI87" s="170"/>
      <c r="BJ87" s="170"/>
      <c r="BK87" s="170"/>
      <c r="BL87" s="170"/>
      <c r="BM87" s="171"/>
      <c r="BN87" s="170"/>
      <c r="BO87" s="170"/>
      <c r="BP87" s="170"/>
      <c r="BQ87" s="170"/>
      <c r="BR87" s="170"/>
      <c r="BS87" s="170"/>
      <c r="BT87" s="170"/>
      <c r="BU87" s="170"/>
      <c r="BV87" s="170"/>
      <c r="BW87" s="170"/>
      <c r="BX87" s="171"/>
      <c r="BY87" s="171"/>
      <c r="BZ87" s="170"/>
      <c r="CA87" s="170"/>
      <c r="CB87" s="170"/>
      <c r="CC87" s="170"/>
      <c r="CD87" s="170"/>
      <c r="CE87" s="170"/>
      <c r="CF87" s="170"/>
      <c r="CG87" s="170"/>
    </row>
    <row r="88">
      <c r="A88" s="171"/>
      <c r="B88" s="170"/>
      <c r="C88" s="170"/>
      <c r="D88" s="170"/>
      <c r="E88" s="171"/>
      <c r="F88" s="171"/>
      <c r="G88" s="171"/>
      <c r="H88" s="170"/>
      <c r="I88" s="171"/>
      <c r="J88" s="171"/>
      <c r="K88" s="171"/>
      <c r="L88" s="170"/>
      <c r="M88" s="170"/>
      <c r="N88" s="171"/>
      <c r="O88" s="170"/>
      <c r="P88" s="186"/>
      <c r="Q88" s="170"/>
      <c r="R88" s="170"/>
      <c r="S88" s="170"/>
      <c r="T88" s="170"/>
      <c r="U88" s="170"/>
      <c r="V88" s="170"/>
      <c r="W88" s="170"/>
      <c r="X88" s="170"/>
      <c r="Y88" s="170"/>
      <c r="Z88" s="170"/>
      <c r="AA88" s="170"/>
      <c r="AB88" s="170"/>
      <c r="AC88" s="170"/>
      <c r="AD88" s="170"/>
      <c r="AE88" s="170"/>
      <c r="AF88" s="171"/>
      <c r="AG88" s="170"/>
      <c r="AH88" s="170"/>
      <c r="AI88" s="170"/>
      <c r="AJ88" s="170"/>
      <c r="AK88" s="171"/>
      <c r="AL88" s="171"/>
      <c r="AM88" s="170"/>
      <c r="AN88" s="171"/>
      <c r="AO88" s="170"/>
      <c r="AP88" s="170"/>
      <c r="AQ88" s="171"/>
      <c r="AR88" s="171"/>
      <c r="AS88" s="171"/>
      <c r="AT88" s="170"/>
      <c r="AU88" s="170"/>
      <c r="AV88" s="170"/>
      <c r="AW88" s="170"/>
      <c r="AX88" s="170"/>
      <c r="AY88" s="170"/>
      <c r="AZ88" s="170"/>
      <c r="BA88" s="170"/>
      <c r="BB88" s="170"/>
      <c r="BC88" s="171"/>
      <c r="BD88" s="171"/>
      <c r="BE88" s="171"/>
      <c r="BF88" s="170"/>
      <c r="BG88" s="170"/>
      <c r="BH88" s="171"/>
      <c r="BI88" s="170"/>
      <c r="BJ88" s="170"/>
      <c r="BK88" s="170"/>
      <c r="BL88" s="170"/>
      <c r="BM88" s="171"/>
      <c r="BN88" s="170"/>
      <c r="BO88" s="170"/>
      <c r="BP88" s="170"/>
      <c r="BQ88" s="170"/>
      <c r="BR88" s="170"/>
      <c r="BS88" s="170"/>
      <c r="BT88" s="170"/>
      <c r="BU88" s="170"/>
      <c r="BV88" s="170"/>
      <c r="BW88" s="170"/>
      <c r="BX88" s="171"/>
      <c r="BY88" s="171"/>
      <c r="BZ88" s="170"/>
      <c r="CA88" s="170"/>
      <c r="CB88" s="170"/>
      <c r="CC88" s="170"/>
      <c r="CD88" s="170"/>
      <c r="CE88" s="170"/>
      <c r="CF88" s="170"/>
      <c r="CG88" s="170"/>
    </row>
    <row r="89">
      <c r="A89" s="171"/>
      <c r="B89" s="170"/>
      <c r="C89" s="170"/>
      <c r="D89" s="170"/>
      <c r="E89" s="171"/>
      <c r="F89" s="171"/>
      <c r="G89" s="171"/>
      <c r="H89" s="170"/>
      <c r="I89" s="171"/>
      <c r="J89" s="171"/>
      <c r="K89" s="171"/>
      <c r="L89" s="170"/>
      <c r="M89" s="170"/>
      <c r="N89" s="171"/>
      <c r="O89" s="170"/>
      <c r="P89" s="186"/>
      <c r="Q89" s="170"/>
      <c r="R89" s="170"/>
      <c r="S89" s="170"/>
      <c r="T89" s="170"/>
      <c r="U89" s="170"/>
      <c r="V89" s="170"/>
      <c r="W89" s="170"/>
      <c r="X89" s="170"/>
      <c r="Y89" s="170"/>
      <c r="Z89" s="170"/>
      <c r="AA89" s="170"/>
      <c r="AB89" s="170"/>
      <c r="AC89" s="170"/>
      <c r="AD89" s="170"/>
      <c r="AE89" s="170"/>
      <c r="AF89" s="171"/>
      <c r="AG89" s="170"/>
      <c r="AH89" s="170"/>
      <c r="AI89" s="170"/>
      <c r="AJ89" s="170"/>
      <c r="AK89" s="171"/>
      <c r="AL89" s="171"/>
      <c r="AM89" s="170"/>
      <c r="AN89" s="171"/>
      <c r="AO89" s="170"/>
      <c r="AP89" s="170"/>
      <c r="AQ89" s="171"/>
      <c r="AR89" s="171"/>
      <c r="AS89" s="171"/>
      <c r="AT89" s="170"/>
      <c r="AU89" s="170"/>
      <c r="AV89" s="170"/>
      <c r="AW89" s="170"/>
      <c r="AX89" s="170"/>
      <c r="AY89" s="170"/>
      <c r="AZ89" s="170"/>
      <c r="BA89" s="170"/>
      <c r="BB89" s="170"/>
      <c r="BC89" s="171"/>
      <c r="BD89" s="171"/>
      <c r="BE89" s="171"/>
      <c r="BF89" s="170"/>
      <c r="BG89" s="170"/>
      <c r="BH89" s="171"/>
      <c r="BI89" s="170"/>
      <c r="BJ89" s="170"/>
      <c r="BK89" s="170"/>
      <c r="BL89" s="170"/>
      <c r="BM89" s="171"/>
      <c r="BN89" s="170"/>
      <c r="BO89" s="170"/>
      <c r="BP89" s="170"/>
      <c r="BQ89" s="170"/>
      <c r="BR89" s="170"/>
      <c r="BS89" s="170"/>
      <c r="BT89" s="170"/>
      <c r="BU89" s="170"/>
      <c r="BV89" s="170"/>
      <c r="BW89" s="170"/>
      <c r="BX89" s="171"/>
      <c r="BY89" s="171"/>
      <c r="BZ89" s="170"/>
      <c r="CA89" s="170"/>
      <c r="CB89" s="170"/>
      <c r="CC89" s="170"/>
      <c r="CD89" s="170"/>
      <c r="CE89" s="170"/>
      <c r="CF89" s="170"/>
      <c r="CG89" s="170"/>
    </row>
    <row r="90">
      <c r="A90" s="171"/>
      <c r="B90" s="170"/>
      <c r="C90" s="170"/>
      <c r="D90" s="170"/>
      <c r="E90" s="171"/>
      <c r="F90" s="171"/>
      <c r="G90" s="171"/>
      <c r="H90" s="170"/>
      <c r="I90" s="171"/>
      <c r="J90" s="171"/>
      <c r="K90" s="171"/>
      <c r="L90" s="170"/>
      <c r="M90" s="170"/>
      <c r="N90" s="171"/>
      <c r="O90" s="170"/>
      <c r="P90" s="186"/>
      <c r="Q90" s="170"/>
      <c r="R90" s="170"/>
      <c r="S90" s="170"/>
      <c r="T90" s="170"/>
      <c r="U90" s="170"/>
      <c r="V90" s="170"/>
      <c r="W90" s="170"/>
      <c r="X90" s="170"/>
      <c r="Y90" s="170"/>
      <c r="Z90" s="170"/>
      <c r="AA90" s="170"/>
      <c r="AB90" s="170"/>
      <c r="AC90" s="170"/>
      <c r="AD90" s="170"/>
      <c r="AE90" s="170"/>
      <c r="AF90" s="171"/>
      <c r="AG90" s="170"/>
      <c r="AH90" s="170"/>
      <c r="AI90" s="170"/>
      <c r="AJ90" s="170"/>
      <c r="AK90" s="171"/>
      <c r="AL90" s="171"/>
      <c r="AM90" s="170"/>
      <c r="AN90" s="171"/>
      <c r="AO90" s="170"/>
      <c r="AP90" s="170"/>
      <c r="AQ90" s="171"/>
      <c r="AR90" s="171"/>
      <c r="AS90" s="171"/>
      <c r="AT90" s="170"/>
      <c r="AU90" s="170"/>
      <c r="AV90" s="170"/>
      <c r="AW90" s="170"/>
      <c r="AX90" s="170"/>
      <c r="AY90" s="170"/>
      <c r="AZ90" s="170"/>
      <c r="BA90" s="170"/>
      <c r="BB90" s="170"/>
      <c r="BC90" s="171"/>
      <c r="BD90" s="171"/>
      <c r="BE90" s="171"/>
      <c r="BF90" s="170"/>
      <c r="BG90" s="170"/>
      <c r="BH90" s="171"/>
      <c r="BI90" s="170"/>
      <c r="BJ90" s="170"/>
      <c r="BK90" s="170"/>
      <c r="BL90" s="170"/>
      <c r="BM90" s="171"/>
      <c r="BN90" s="170"/>
      <c r="BO90" s="170"/>
      <c r="BP90" s="170"/>
      <c r="BQ90" s="170"/>
      <c r="BR90" s="170"/>
      <c r="BS90" s="170"/>
      <c r="BT90" s="170"/>
      <c r="BU90" s="170"/>
      <c r="BV90" s="170"/>
      <c r="BW90" s="170"/>
      <c r="BX90" s="171"/>
      <c r="BY90" s="171"/>
      <c r="BZ90" s="170"/>
      <c r="CA90" s="170"/>
      <c r="CB90" s="170"/>
      <c r="CC90" s="170"/>
      <c r="CD90" s="170"/>
      <c r="CE90" s="170"/>
      <c r="CF90" s="170"/>
      <c r="CG90" s="170"/>
    </row>
    <row r="91">
      <c r="A91" s="171"/>
      <c r="B91" s="170"/>
      <c r="C91" s="170"/>
      <c r="D91" s="170"/>
      <c r="E91" s="171"/>
      <c r="F91" s="171"/>
      <c r="G91" s="171"/>
      <c r="H91" s="170"/>
      <c r="I91" s="171"/>
      <c r="J91" s="171"/>
      <c r="K91" s="171"/>
      <c r="L91" s="170"/>
      <c r="M91" s="170"/>
      <c r="N91" s="171"/>
      <c r="O91" s="170"/>
      <c r="P91" s="186"/>
      <c r="Q91" s="170"/>
      <c r="R91" s="170"/>
      <c r="S91" s="170"/>
      <c r="T91" s="170"/>
      <c r="U91" s="170"/>
      <c r="V91" s="170"/>
      <c r="W91" s="170"/>
      <c r="X91" s="170"/>
      <c r="Y91" s="170"/>
      <c r="Z91" s="170"/>
      <c r="AA91" s="170"/>
      <c r="AB91" s="170"/>
      <c r="AC91" s="170"/>
      <c r="AD91" s="170"/>
      <c r="AE91" s="170"/>
      <c r="AF91" s="171"/>
      <c r="AG91" s="170"/>
      <c r="AH91" s="170"/>
      <c r="AI91" s="170"/>
      <c r="AJ91" s="170"/>
      <c r="AK91" s="171"/>
      <c r="AL91" s="171"/>
      <c r="AM91" s="170"/>
      <c r="AN91" s="171"/>
      <c r="AO91" s="170"/>
      <c r="AP91" s="170"/>
      <c r="AQ91" s="171"/>
      <c r="AR91" s="171"/>
      <c r="AS91" s="171"/>
      <c r="AT91" s="170"/>
      <c r="AU91" s="170"/>
      <c r="AV91" s="170"/>
      <c r="AW91" s="170"/>
      <c r="AX91" s="170"/>
      <c r="AY91" s="170"/>
      <c r="AZ91" s="170"/>
      <c r="BA91" s="170"/>
      <c r="BB91" s="170"/>
      <c r="BC91" s="171"/>
      <c r="BD91" s="171"/>
      <c r="BE91" s="171"/>
      <c r="BF91" s="170"/>
      <c r="BG91" s="170"/>
      <c r="BH91" s="171"/>
      <c r="BI91" s="170"/>
      <c r="BJ91" s="170"/>
      <c r="BK91" s="170"/>
      <c r="BL91" s="170"/>
      <c r="BM91" s="171"/>
      <c r="BN91" s="170"/>
      <c r="BO91" s="170"/>
      <c r="BP91" s="170"/>
      <c r="BQ91" s="170"/>
      <c r="BR91" s="170"/>
      <c r="BS91" s="170"/>
      <c r="BT91" s="170"/>
      <c r="BU91" s="170"/>
      <c r="BV91" s="170"/>
      <c r="BW91" s="170"/>
      <c r="BX91" s="171"/>
      <c r="BY91" s="171"/>
      <c r="BZ91" s="170"/>
      <c r="CA91" s="170"/>
      <c r="CB91" s="170"/>
      <c r="CC91" s="170"/>
      <c r="CD91" s="170"/>
      <c r="CE91" s="170"/>
      <c r="CF91" s="170"/>
      <c r="CG91" s="170"/>
    </row>
    <row r="92">
      <c r="A92" s="171"/>
      <c r="B92" s="170"/>
      <c r="C92" s="170"/>
      <c r="D92" s="170"/>
      <c r="E92" s="171"/>
      <c r="F92" s="171"/>
      <c r="G92" s="171"/>
      <c r="H92" s="170"/>
      <c r="I92" s="171"/>
      <c r="J92" s="171"/>
      <c r="K92" s="171"/>
      <c r="L92" s="170"/>
      <c r="M92" s="170"/>
      <c r="N92" s="171"/>
      <c r="O92" s="170"/>
      <c r="P92" s="186"/>
      <c r="Q92" s="170"/>
      <c r="R92" s="170"/>
      <c r="S92" s="170"/>
      <c r="T92" s="170"/>
      <c r="U92" s="170"/>
      <c r="V92" s="170"/>
      <c r="W92" s="170"/>
      <c r="X92" s="170"/>
      <c r="Y92" s="170"/>
      <c r="Z92" s="170"/>
      <c r="AA92" s="170"/>
      <c r="AB92" s="170"/>
      <c r="AC92" s="170"/>
      <c r="AD92" s="170"/>
      <c r="AE92" s="170"/>
      <c r="AF92" s="171"/>
      <c r="AG92" s="170"/>
      <c r="AH92" s="170"/>
      <c r="AI92" s="170"/>
      <c r="AJ92" s="170"/>
      <c r="AK92" s="171"/>
      <c r="AL92" s="171"/>
      <c r="AM92" s="170"/>
      <c r="AN92" s="171"/>
      <c r="AO92" s="170"/>
      <c r="AP92" s="170"/>
      <c r="AQ92" s="171"/>
      <c r="AR92" s="171"/>
      <c r="AS92" s="171"/>
      <c r="AT92" s="170"/>
      <c r="AU92" s="170"/>
      <c r="AV92" s="170"/>
      <c r="AW92" s="170"/>
      <c r="AX92" s="170"/>
      <c r="AY92" s="170"/>
      <c r="AZ92" s="170"/>
      <c r="BA92" s="170"/>
      <c r="BB92" s="170"/>
      <c r="BC92" s="171"/>
      <c r="BD92" s="171"/>
      <c r="BE92" s="171"/>
      <c r="BF92" s="170"/>
      <c r="BG92" s="170"/>
      <c r="BH92" s="171"/>
      <c r="BI92" s="170"/>
      <c r="BJ92" s="170"/>
      <c r="BK92" s="170"/>
      <c r="BL92" s="170"/>
      <c r="BM92" s="171"/>
      <c r="BN92" s="170"/>
      <c r="BO92" s="170"/>
      <c r="BP92" s="170"/>
      <c r="BQ92" s="170"/>
      <c r="BR92" s="170"/>
      <c r="BS92" s="170"/>
      <c r="BT92" s="170"/>
      <c r="BU92" s="170"/>
      <c r="BV92" s="170"/>
      <c r="BW92" s="170"/>
      <c r="BX92" s="171"/>
      <c r="BY92" s="171"/>
      <c r="BZ92" s="170"/>
      <c r="CA92" s="170"/>
      <c r="CB92" s="170"/>
      <c r="CC92" s="170"/>
      <c r="CD92" s="170"/>
      <c r="CE92" s="170"/>
      <c r="CF92" s="170"/>
      <c r="CG92" s="170"/>
    </row>
    <row r="93">
      <c r="A93" s="171"/>
      <c r="B93" s="170"/>
      <c r="C93" s="170"/>
      <c r="D93" s="170"/>
      <c r="E93" s="171"/>
      <c r="F93" s="171"/>
      <c r="G93" s="171"/>
      <c r="H93" s="170"/>
      <c r="I93" s="171"/>
      <c r="J93" s="171"/>
      <c r="K93" s="171"/>
      <c r="L93" s="170"/>
      <c r="M93" s="170"/>
      <c r="N93" s="171"/>
      <c r="O93" s="170"/>
      <c r="P93" s="186"/>
      <c r="Q93" s="170"/>
      <c r="R93" s="170"/>
      <c r="S93" s="170"/>
      <c r="T93" s="170"/>
      <c r="U93" s="170"/>
      <c r="V93" s="170"/>
      <c r="W93" s="170"/>
      <c r="X93" s="170"/>
      <c r="Y93" s="170"/>
      <c r="Z93" s="170"/>
      <c r="AA93" s="170"/>
      <c r="AB93" s="170"/>
      <c r="AC93" s="170"/>
      <c r="AD93" s="170"/>
      <c r="AE93" s="170"/>
      <c r="AF93" s="171"/>
      <c r="AG93" s="170"/>
      <c r="AH93" s="170"/>
      <c r="AI93" s="170"/>
      <c r="AJ93" s="170"/>
      <c r="AK93" s="171"/>
      <c r="AL93" s="171"/>
      <c r="AM93" s="170"/>
      <c r="AN93" s="171"/>
      <c r="AO93" s="170"/>
      <c r="AP93" s="170"/>
      <c r="AQ93" s="171"/>
      <c r="AR93" s="171"/>
      <c r="AS93" s="171"/>
      <c r="AT93" s="170"/>
      <c r="AU93" s="170"/>
      <c r="AV93" s="170"/>
      <c r="AW93" s="170"/>
      <c r="AX93" s="170"/>
      <c r="AY93" s="170"/>
      <c r="AZ93" s="170"/>
      <c r="BA93" s="170"/>
      <c r="BB93" s="170"/>
      <c r="BC93" s="171"/>
      <c r="BD93" s="171"/>
      <c r="BE93" s="171"/>
      <c r="BF93" s="170"/>
      <c r="BG93" s="170"/>
      <c r="BH93" s="171"/>
      <c r="BI93" s="170"/>
      <c r="BJ93" s="170"/>
      <c r="BK93" s="170"/>
      <c r="BL93" s="170"/>
      <c r="BM93" s="171"/>
      <c r="BN93" s="170"/>
      <c r="BO93" s="170"/>
      <c r="BP93" s="170"/>
      <c r="BQ93" s="170"/>
      <c r="BR93" s="170"/>
      <c r="BS93" s="170"/>
      <c r="BT93" s="170"/>
      <c r="BU93" s="170"/>
      <c r="BV93" s="170"/>
      <c r="BW93" s="170"/>
      <c r="BX93" s="171"/>
      <c r="BY93" s="171"/>
      <c r="BZ93" s="170"/>
      <c r="CA93" s="170"/>
      <c r="CB93" s="170"/>
      <c r="CC93" s="170"/>
      <c r="CD93" s="170"/>
      <c r="CE93" s="170"/>
      <c r="CF93" s="170"/>
      <c r="CG93" s="170"/>
    </row>
    <row r="94">
      <c r="A94" s="171"/>
      <c r="B94" s="170"/>
      <c r="C94" s="170"/>
      <c r="D94" s="170"/>
      <c r="E94" s="171"/>
      <c r="F94" s="171"/>
      <c r="G94" s="171"/>
      <c r="H94" s="170"/>
      <c r="I94" s="171"/>
      <c r="J94" s="171"/>
      <c r="K94" s="171"/>
      <c r="L94" s="170"/>
      <c r="M94" s="170"/>
      <c r="N94" s="171"/>
      <c r="O94" s="170"/>
      <c r="P94" s="186"/>
      <c r="Q94" s="170"/>
      <c r="R94" s="170"/>
      <c r="S94" s="170"/>
      <c r="T94" s="170"/>
      <c r="U94" s="170"/>
      <c r="V94" s="170"/>
      <c r="W94" s="170"/>
      <c r="X94" s="170"/>
      <c r="Y94" s="170"/>
      <c r="Z94" s="170"/>
      <c r="AA94" s="170"/>
      <c r="AB94" s="170"/>
      <c r="AC94" s="170"/>
      <c r="AD94" s="170"/>
      <c r="AE94" s="170"/>
      <c r="AF94" s="171"/>
      <c r="AG94" s="170"/>
      <c r="AH94" s="170"/>
      <c r="AI94" s="170"/>
      <c r="AJ94" s="170"/>
      <c r="AK94" s="171"/>
      <c r="AL94" s="171"/>
      <c r="AM94" s="170"/>
      <c r="AN94" s="171"/>
      <c r="AO94" s="170"/>
      <c r="AP94" s="170"/>
      <c r="AQ94" s="171"/>
      <c r="AR94" s="171"/>
      <c r="AS94" s="171"/>
      <c r="AT94" s="170"/>
      <c r="AU94" s="170"/>
      <c r="AV94" s="170"/>
      <c r="AW94" s="170"/>
      <c r="AX94" s="170"/>
      <c r="AY94" s="170"/>
      <c r="AZ94" s="170"/>
      <c r="BA94" s="170"/>
      <c r="BB94" s="170"/>
      <c r="BC94" s="171"/>
      <c r="BD94" s="171"/>
      <c r="BE94" s="171"/>
      <c r="BF94" s="170"/>
      <c r="BG94" s="170"/>
      <c r="BH94" s="171"/>
      <c r="BI94" s="170"/>
      <c r="BJ94" s="170"/>
      <c r="BK94" s="170"/>
      <c r="BL94" s="170"/>
      <c r="BM94" s="171"/>
      <c r="BN94" s="170"/>
      <c r="BO94" s="170"/>
      <c r="BP94" s="170"/>
      <c r="BQ94" s="170"/>
      <c r="BR94" s="170"/>
      <c r="BS94" s="170"/>
      <c r="BT94" s="170"/>
      <c r="BU94" s="170"/>
      <c r="BV94" s="170"/>
      <c r="BW94" s="170"/>
      <c r="BX94" s="171"/>
      <c r="BY94" s="171"/>
      <c r="BZ94" s="170"/>
      <c r="CA94" s="170"/>
      <c r="CB94" s="170"/>
      <c r="CC94" s="170"/>
      <c r="CD94" s="170"/>
      <c r="CE94" s="170"/>
      <c r="CF94" s="170"/>
      <c r="CG94" s="170"/>
    </row>
    <row r="95">
      <c r="A95" s="171"/>
      <c r="B95" s="170"/>
      <c r="C95" s="170"/>
      <c r="D95" s="170"/>
      <c r="E95" s="171"/>
      <c r="F95" s="171"/>
      <c r="G95" s="171"/>
      <c r="H95" s="170"/>
      <c r="I95" s="171"/>
      <c r="J95" s="171"/>
      <c r="K95" s="171"/>
      <c r="L95" s="170"/>
      <c r="M95" s="170"/>
      <c r="N95" s="171"/>
      <c r="O95" s="170"/>
      <c r="P95" s="186"/>
      <c r="Q95" s="170"/>
      <c r="R95" s="170"/>
      <c r="S95" s="170"/>
      <c r="T95" s="170"/>
      <c r="U95" s="170"/>
      <c r="V95" s="170"/>
      <c r="W95" s="170"/>
      <c r="X95" s="170"/>
      <c r="Y95" s="170"/>
      <c r="Z95" s="170"/>
      <c r="AA95" s="170"/>
      <c r="AB95" s="170"/>
      <c r="AC95" s="170"/>
      <c r="AD95" s="170"/>
      <c r="AE95" s="170"/>
      <c r="AF95" s="171"/>
      <c r="AG95" s="170"/>
      <c r="AH95" s="170"/>
      <c r="AI95" s="170"/>
      <c r="AJ95" s="170"/>
      <c r="AK95" s="171"/>
      <c r="AL95" s="171"/>
      <c r="AM95" s="170"/>
      <c r="AN95" s="171"/>
      <c r="AO95" s="170"/>
      <c r="AP95" s="170"/>
      <c r="AQ95" s="171"/>
      <c r="AR95" s="171"/>
      <c r="AS95" s="171"/>
      <c r="AT95" s="170"/>
      <c r="AU95" s="170"/>
      <c r="AV95" s="170"/>
      <c r="AW95" s="170"/>
      <c r="AX95" s="170"/>
      <c r="AY95" s="170"/>
      <c r="AZ95" s="170"/>
      <c r="BA95" s="170"/>
      <c r="BB95" s="170"/>
      <c r="BC95" s="171"/>
      <c r="BD95" s="171"/>
      <c r="BE95" s="171"/>
      <c r="BF95" s="170"/>
      <c r="BG95" s="170"/>
      <c r="BH95" s="171"/>
      <c r="BI95" s="170"/>
      <c r="BJ95" s="170"/>
      <c r="BK95" s="170"/>
      <c r="BL95" s="170"/>
      <c r="BM95" s="171"/>
      <c r="BN95" s="170"/>
      <c r="BO95" s="170"/>
      <c r="BP95" s="170"/>
      <c r="BQ95" s="170"/>
      <c r="BR95" s="170"/>
      <c r="BS95" s="170"/>
      <c r="BT95" s="170"/>
      <c r="BU95" s="170"/>
      <c r="BV95" s="170"/>
      <c r="BW95" s="170"/>
      <c r="BX95" s="171"/>
      <c r="BY95" s="171"/>
      <c r="BZ95" s="170"/>
      <c r="CA95" s="170"/>
      <c r="CB95" s="170"/>
      <c r="CC95" s="170"/>
      <c r="CD95" s="170"/>
      <c r="CE95" s="170"/>
      <c r="CF95" s="170"/>
      <c r="CG95" s="170"/>
    </row>
    <row r="96">
      <c r="A96" s="171"/>
      <c r="B96" s="170"/>
      <c r="C96" s="170"/>
      <c r="D96" s="170"/>
      <c r="E96" s="171"/>
      <c r="F96" s="171"/>
      <c r="G96" s="171"/>
      <c r="H96" s="170"/>
      <c r="I96" s="171"/>
      <c r="J96" s="171"/>
      <c r="K96" s="171"/>
      <c r="L96" s="170"/>
      <c r="M96" s="170"/>
      <c r="N96" s="171"/>
      <c r="O96" s="170"/>
      <c r="P96" s="186"/>
      <c r="Q96" s="170"/>
      <c r="R96" s="170"/>
      <c r="S96" s="170"/>
      <c r="T96" s="170"/>
      <c r="U96" s="170"/>
      <c r="V96" s="170"/>
      <c r="W96" s="170"/>
      <c r="X96" s="170"/>
      <c r="Y96" s="170"/>
      <c r="Z96" s="170"/>
      <c r="AA96" s="170"/>
      <c r="AB96" s="170"/>
      <c r="AC96" s="170"/>
      <c r="AD96" s="170"/>
      <c r="AE96" s="170"/>
      <c r="AF96" s="171"/>
      <c r="AG96" s="170"/>
      <c r="AH96" s="170"/>
      <c r="AI96" s="170"/>
      <c r="AJ96" s="170"/>
      <c r="AK96" s="171"/>
      <c r="AL96" s="171"/>
      <c r="AM96" s="170"/>
      <c r="AN96" s="171"/>
      <c r="AO96" s="170"/>
      <c r="AP96" s="170"/>
      <c r="AQ96" s="171"/>
      <c r="AR96" s="171"/>
      <c r="AS96" s="171"/>
      <c r="AT96" s="170"/>
      <c r="AU96" s="170"/>
      <c r="AV96" s="170"/>
      <c r="AW96" s="170"/>
      <c r="AX96" s="170"/>
      <c r="AY96" s="170"/>
      <c r="AZ96" s="170"/>
      <c r="BA96" s="170"/>
      <c r="BB96" s="170"/>
      <c r="BC96" s="171"/>
      <c r="BD96" s="171"/>
      <c r="BE96" s="171"/>
      <c r="BF96" s="170"/>
      <c r="BG96" s="170"/>
      <c r="BH96" s="171"/>
      <c r="BI96" s="170"/>
      <c r="BJ96" s="170"/>
      <c r="BK96" s="170"/>
      <c r="BL96" s="170"/>
      <c r="BM96" s="171"/>
      <c r="BN96" s="170"/>
      <c r="BO96" s="170"/>
      <c r="BP96" s="170"/>
      <c r="BQ96" s="170"/>
      <c r="BR96" s="170"/>
      <c r="BS96" s="170"/>
      <c r="BT96" s="170"/>
      <c r="BU96" s="170"/>
      <c r="BV96" s="170"/>
      <c r="BW96" s="170"/>
      <c r="BX96" s="171"/>
      <c r="BY96" s="171"/>
      <c r="BZ96" s="170"/>
      <c r="CA96" s="170"/>
      <c r="CB96" s="170"/>
      <c r="CC96" s="170"/>
      <c r="CD96" s="170"/>
      <c r="CE96" s="170"/>
      <c r="CF96" s="170"/>
      <c r="CG96" s="170"/>
    </row>
    <row r="97">
      <c r="A97" s="171"/>
      <c r="B97" s="170"/>
      <c r="C97" s="170"/>
      <c r="D97" s="170"/>
      <c r="E97" s="171"/>
      <c r="F97" s="171"/>
      <c r="G97" s="171"/>
      <c r="H97" s="170"/>
      <c r="I97" s="171"/>
      <c r="J97" s="171"/>
      <c r="K97" s="171"/>
      <c r="L97" s="170"/>
      <c r="M97" s="170"/>
      <c r="N97" s="171"/>
      <c r="O97" s="170"/>
      <c r="P97" s="186"/>
      <c r="Q97" s="170"/>
      <c r="R97" s="170"/>
      <c r="S97" s="170"/>
      <c r="T97" s="170"/>
      <c r="U97" s="170"/>
      <c r="V97" s="170"/>
      <c r="W97" s="170"/>
      <c r="X97" s="170"/>
      <c r="Y97" s="170"/>
      <c r="Z97" s="170"/>
      <c r="AA97" s="170"/>
      <c r="AB97" s="170"/>
      <c r="AC97" s="170"/>
      <c r="AD97" s="170"/>
      <c r="AE97" s="170"/>
      <c r="AF97" s="171"/>
      <c r="AG97" s="170"/>
      <c r="AH97" s="170"/>
      <c r="AI97" s="170"/>
      <c r="AJ97" s="170"/>
      <c r="AK97" s="171"/>
      <c r="AL97" s="171"/>
      <c r="AM97" s="170"/>
      <c r="AN97" s="171"/>
      <c r="AO97" s="170"/>
      <c r="AP97" s="170"/>
      <c r="AQ97" s="171"/>
      <c r="AR97" s="171"/>
      <c r="AS97" s="171"/>
      <c r="AT97" s="170"/>
      <c r="AU97" s="170"/>
      <c r="AV97" s="170"/>
      <c r="AW97" s="170"/>
      <c r="AX97" s="170"/>
      <c r="AY97" s="170"/>
      <c r="AZ97" s="170"/>
      <c r="BA97" s="170"/>
      <c r="BB97" s="170"/>
      <c r="BC97" s="171"/>
      <c r="BD97" s="171"/>
      <c r="BE97" s="171"/>
      <c r="BF97" s="170"/>
      <c r="BG97" s="170"/>
      <c r="BH97" s="171"/>
      <c r="BI97" s="170"/>
      <c r="BJ97" s="170"/>
      <c r="BK97" s="170"/>
      <c r="BL97" s="170"/>
      <c r="BM97" s="171"/>
      <c r="BN97" s="170"/>
      <c r="BO97" s="170"/>
      <c r="BP97" s="170"/>
      <c r="BQ97" s="170"/>
      <c r="BR97" s="170"/>
      <c r="BS97" s="170"/>
      <c r="BT97" s="170"/>
      <c r="BU97" s="170"/>
      <c r="BV97" s="170"/>
      <c r="BW97" s="170"/>
      <c r="BX97" s="171"/>
      <c r="BY97" s="171"/>
      <c r="BZ97" s="170"/>
      <c r="CA97" s="170"/>
      <c r="CB97" s="170"/>
      <c r="CC97" s="170"/>
      <c r="CD97" s="170"/>
      <c r="CE97" s="170"/>
      <c r="CF97" s="170"/>
      <c r="CG97" s="170"/>
    </row>
    <row r="98">
      <c r="A98" s="171"/>
      <c r="B98" s="170"/>
      <c r="C98" s="170"/>
      <c r="D98" s="170"/>
      <c r="E98" s="171"/>
      <c r="F98" s="171"/>
      <c r="G98" s="171"/>
      <c r="H98" s="170"/>
      <c r="I98" s="171"/>
      <c r="J98" s="171"/>
      <c r="K98" s="171"/>
      <c r="L98" s="170"/>
      <c r="M98" s="170"/>
      <c r="N98" s="171"/>
      <c r="O98" s="170"/>
      <c r="P98" s="186"/>
      <c r="Q98" s="170"/>
      <c r="R98" s="170"/>
      <c r="S98" s="170"/>
      <c r="T98" s="170"/>
      <c r="U98" s="170"/>
      <c r="V98" s="170"/>
      <c r="W98" s="170"/>
      <c r="X98" s="170"/>
      <c r="Y98" s="170"/>
      <c r="Z98" s="170"/>
      <c r="AA98" s="170"/>
      <c r="AB98" s="170"/>
      <c r="AC98" s="170"/>
      <c r="AD98" s="170"/>
      <c r="AE98" s="170"/>
      <c r="AF98" s="171"/>
      <c r="AG98" s="170"/>
      <c r="AH98" s="170"/>
      <c r="AI98" s="170"/>
      <c r="AJ98" s="170"/>
      <c r="AK98" s="171"/>
      <c r="AL98" s="171"/>
      <c r="AM98" s="170"/>
      <c r="AN98" s="171"/>
      <c r="AO98" s="170"/>
      <c r="AP98" s="170"/>
      <c r="AQ98" s="171"/>
      <c r="AR98" s="171"/>
      <c r="AS98" s="171"/>
      <c r="AT98" s="170"/>
      <c r="AU98" s="170"/>
      <c r="AV98" s="170"/>
      <c r="AW98" s="170"/>
      <c r="AX98" s="170"/>
      <c r="AY98" s="170"/>
      <c r="AZ98" s="170"/>
      <c r="BA98" s="170"/>
      <c r="BB98" s="170"/>
      <c r="BC98" s="171"/>
      <c r="BD98" s="171"/>
      <c r="BE98" s="171"/>
      <c r="BF98" s="170"/>
      <c r="BG98" s="170"/>
      <c r="BH98" s="171"/>
      <c r="BI98" s="170"/>
      <c r="BJ98" s="170"/>
      <c r="BK98" s="170"/>
      <c r="BL98" s="170"/>
      <c r="BM98" s="171"/>
      <c r="BN98" s="170"/>
      <c r="BO98" s="170"/>
      <c r="BP98" s="170"/>
      <c r="BQ98" s="170"/>
      <c r="BR98" s="170"/>
      <c r="BS98" s="170"/>
      <c r="BT98" s="170"/>
      <c r="BU98" s="170"/>
      <c r="BV98" s="170"/>
      <c r="BW98" s="170"/>
      <c r="BX98" s="171"/>
      <c r="BY98" s="171"/>
      <c r="BZ98" s="170"/>
      <c r="CA98" s="170"/>
      <c r="CB98" s="170"/>
      <c r="CC98" s="170"/>
      <c r="CD98" s="170"/>
      <c r="CE98" s="170"/>
      <c r="CF98" s="170"/>
      <c r="CG98" s="170"/>
    </row>
    <row r="99">
      <c r="A99" s="171"/>
      <c r="B99" s="170"/>
      <c r="C99" s="170"/>
      <c r="D99" s="170"/>
      <c r="E99" s="171"/>
      <c r="F99" s="171"/>
      <c r="G99" s="171"/>
      <c r="H99" s="170"/>
      <c r="I99" s="171"/>
      <c r="J99" s="171"/>
      <c r="K99" s="171"/>
      <c r="L99" s="170"/>
      <c r="M99" s="170"/>
      <c r="N99" s="171"/>
      <c r="O99" s="170"/>
      <c r="P99" s="186"/>
      <c r="Q99" s="170"/>
      <c r="R99" s="170"/>
      <c r="S99" s="170"/>
      <c r="T99" s="170"/>
      <c r="U99" s="170"/>
      <c r="V99" s="170"/>
      <c r="W99" s="170"/>
      <c r="X99" s="170"/>
      <c r="Y99" s="170"/>
      <c r="Z99" s="170"/>
      <c r="AA99" s="170"/>
      <c r="AB99" s="170"/>
      <c r="AC99" s="170"/>
      <c r="AD99" s="170"/>
      <c r="AE99" s="170"/>
      <c r="AF99" s="171"/>
      <c r="AG99" s="170"/>
      <c r="AH99" s="170"/>
      <c r="AI99" s="170"/>
      <c r="AJ99" s="170"/>
      <c r="AK99" s="171"/>
      <c r="AL99" s="171"/>
      <c r="AM99" s="170"/>
      <c r="AN99" s="171"/>
      <c r="AO99" s="170"/>
      <c r="AP99" s="170"/>
      <c r="AQ99" s="171"/>
      <c r="AR99" s="171"/>
      <c r="AS99" s="171"/>
      <c r="AT99" s="170"/>
      <c r="AU99" s="170"/>
      <c r="AV99" s="170"/>
      <c r="AW99" s="170"/>
      <c r="AX99" s="170"/>
      <c r="AY99" s="170"/>
      <c r="AZ99" s="170"/>
      <c r="BA99" s="170"/>
      <c r="BB99" s="170"/>
      <c r="BC99" s="171"/>
      <c r="BD99" s="171"/>
      <c r="BE99" s="171"/>
      <c r="BF99" s="170"/>
      <c r="BG99" s="170"/>
      <c r="BH99" s="171"/>
      <c r="BI99" s="170"/>
      <c r="BJ99" s="170"/>
      <c r="BK99" s="170"/>
      <c r="BL99" s="170"/>
      <c r="BM99" s="171"/>
      <c r="BN99" s="170"/>
      <c r="BO99" s="170"/>
      <c r="BP99" s="170"/>
      <c r="BQ99" s="170"/>
      <c r="BR99" s="170"/>
      <c r="BS99" s="170"/>
      <c r="BT99" s="170"/>
      <c r="BU99" s="170"/>
      <c r="BV99" s="170"/>
      <c r="BW99" s="170"/>
      <c r="BX99" s="171"/>
      <c r="BY99" s="171"/>
      <c r="BZ99" s="170"/>
      <c r="CA99" s="170"/>
      <c r="CB99" s="170"/>
      <c r="CC99" s="170"/>
      <c r="CD99" s="170"/>
      <c r="CE99" s="170"/>
      <c r="CF99" s="170"/>
      <c r="CG99" s="170"/>
    </row>
    <row r="100">
      <c r="A100" s="171"/>
      <c r="B100" s="170"/>
      <c r="C100" s="170"/>
      <c r="D100" s="170"/>
      <c r="E100" s="171"/>
      <c r="F100" s="171"/>
      <c r="G100" s="171"/>
      <c r="H100" s="170"/>
      <c r="I100" s="171"/>
      <c r="J100" s="171"/>
      <c r="K100" s="171"/>
      <c r="L100" s="170"/>
      <c r="M100" s="170"/>
      <c r="N100" s="171"/>
      <c r="O100" s="170"/>
      <c r="P100" s="186"/>
      <c r="Q100" s="170"/>
      <c r="R100" s="170"/>
      <c r="S100" s="170"/>
      <c r="T100" s="170"/>
      <c r="U100" s="170"/>
      <c r="V100" s="170"/>
      <c r="W100" s="170"/>
      <c r="X100" s="170"/>
      <c r="Y100" s="170"/>
      <c r="Z100" s="170"/>
      <c r="AA100" s="170"/>
      <c r="AB100" s="170"/>
      <c r="AC100" s="170"/>
      <c r="AD100" s="170"/>
      <c r="AE100" s="170"/>
      <c r="AF100" s="171"/>
      <c r="AG100" s="170"/>
      <c r="AH100" s="170"/>
      <c r="AI100" s="170"/>
      <c r="AJ100" s="170"/>
      <c r="AK100" s="171"/>
      <c r="AL100" s="171"/>
      <c r="AM100" s="170"/>
      <c r="AN100" s="171"/>
      <c r="AO100" s="170"/>
      <c r="AP100" s="170"/>
      <c r="AQ100" s="171"/>
      <c r="AR100" s="171"/>
      <c r="AS100" s="171"/>
      <c r="AT100" s="170"/>
      <c r="AU100" s="170"/>
      <c r="AV100" s="170"/>
      <c r="AW100" s="170"/>
      <c r="AX100" s="170"/>
      <c r="AY100" s="170"/>
      <c r="AZ100" s="170"/>
      <c r="BA100" s="170"/>
      <c r="BB100" s="170"/>
      <c r="BC100" s="171"/>
      <c r="BD100" s="171"/>
      <c r="BE100" s="171"/>
      <c r="BF100" s="170"/>
      <c r="BG100" s="170"/>
      <c r="BH100" s="171"/>
      <c r="BI100" s="170"/>
      <c r="BJ100" s="170"/>
      <c r="BK100" s="170"/>
      <c r="BL100" s="170"/>
      <c r="BM100" s="171"/>
      <c r="BN100" s="170"/>
      <c r="BO100" s="170"/>
      <c r="BP100" s="170"/>
      <c r="BQ100" s="170"/>
      <c r="BR100" s="170"/>
      <c r="BS100" s="170"/>
      <c r="BT100" s="170"/>
      <c r="BU100" s="170"/>
      <c r="BV100" s="170"/>
      <c r="BW100" s="170"/>
      <c r="BX100" s="171"/>
      <c r="BY100" s="171"/>
      <c r="BZ100" s="170"/>
      <c r="CA100" s="170"/>
      <c r="CB100" s="170"/>
      <c r="CC100" s="170"/>
      <c r="CD100" s="170"/>
      <c r="CE100" s="170"/>
      <c r="CF100" s="170"/>
      <c r="CG100" s="170"/>
    </row>
    <row r="101">
      <c r="A101" s="171"/>
      <c r="B101" s="170"/>
      <c r="C101" s="170"/>
      <c r="D101" s="170"/>
      <c r="E101" s="171"/>
      <c r="F101" s="171"/>
      <c r="G101" s="171"/>
      <c r="H101" s="170"/>
      <c r="I101" s="171"/>
      <c r="J101" s="171"/>
      <c r="K101" s="171"/>
      <c r="L101" s="170"/>
      <c r="M101" s="170"/>
      <c r="N101" s="171"/>
      <c r="O101" s="170"/>
      <c r="P101" s="186"/>
      <c r="Q101" s="170"/>
      <c r="R101" s="170"/>
      <c r="S101" s="170"/>
      <c r="T101" s="170"/>
      <c r="U101" s="170"/>
      <c r="V101" s="170"/>
      <c r="W101" s="170"/>
      <c r="X101" s="170"/>
      <c r="Y101" s="170"/>
      <c r="Z101" s="170"/>
      <c r="AA101" s="170"/>
      <c r="AB101" s="170"/>
      <c r="AC101" s="170"/>
      <c r="AD101" s="170"/>
      <c r="AE101" s="170"/>
      <c r="AF101" s="171"/>
      <c r="AG101" s="170"/>
      <c r="AH101" s="170"/>
      <c r="AI101" s="170"/>
      <c r="AJ101" s="170"/>
      <c r="AK101" s="171"/>
      <c r="AL101" s="171"/>
      <c r="AM101" s="170"/>
      <c r="AN101" s="171"/>
      <c r="AO101" s="170"/>
      <c r="AP101" s="170"/>
      <c r="AQ101" s="171"/>
      <c r="AR101" s="171"/>
      <c r="AS101" s="171"/>
      <c r="AT101" s="170"/>
      <c r="AU101" s="170"/>
      <c r="AV101" s="170"/>
      <c r="AW101" s="170"/>
      <c r="AX101" s="170"/>
      <c r="AY101" s="170"/>
      <c r="AZ101" s="170"/>
      <c r="BA101" s="170"/>
      <c r="BB101" s="170"/>
      <c r="BC101" s="171"/>
      <c r="BD101" s="171"/>
      <c r="BE101" s="171"/>
      <c r="BF101" s="170"/>
      <c r="BG101" s="170"/>
      <c r="BH101" s="171"/>
      <c r="BI101" s="170"/>
      <c r="BJ101" s="170"/>
      <c r="BK101" s="170"/>
      <c r="BL101" s="170"/>
      <c r="BM101" s="171"/>
      <c r="BN101" s="170"/>
      <c r="BO101" s="170"/>
      <c r="BP101" s="170"/>
      <c r="BQ101" s="170"/>
      <c r="BR101" s="170"/>
      <c r="BS101" s="170"/>
      <c r="BT101" s="170"/>
      <c r="BU101" s="170"/>
      <c r="BV101" s="170"/>
      <c r="BW101" s="170"/>
      <c r="BX101" s="171"/>
      <c r="BY101" s="171"/>
      <c r="BZ101" s="170"/>
      <c r="CA101" s="170"/>
      <c r="CB101" s="170"/>
      <c r="CC101" s="170"/>
      <c r="CD101" s="170"/>
      <c r="CE101" s="170"/>
      <c r="CF101" s="170"/>
      <c r="CG101" s="170"/>
    </row>
    <row r="102">
      <c r="A102" s="171"/>
      <c r="B102" s="170"/>
      <c r="C102" s="170"/>
      <c r="D102" s="170"/>
      <c r="E102" s="171"/>
      <c r="F102" s="171"/>
      <c r="G102" s="171"/>
      <c r="H102" s="170"/>
      <c r="I102" s="171"/>
      <c r="J102" s="171"/>
      <c r="K102" s="171"/>
      <c r="L102" s="170"/>
      <c r="M102" s="170"/>
      <c r="N102" s="171"/>
      <c r="O102" s="170"/>
      <c r="P102" s="186"/>
      <c r="Q102" s="170"/>
      <c r="R102" s="170"/>
      <c r="S102" s="170"/>
      <c r="T102" s="170"/>
      <c r="U102" s="170"/>
      <c r="V102" s="170"/>
      <c r="W102" s="170"/>
      <c r="X102" s="170"/>
      <c r="Y102" s="170"/>
      <c r="Z102" s="170"/>
      <c r="AA102" s="170"/>
      <c r="AB102" s="170"/>
      <c r="AC102" s="170"/>
      <c r="AD102" s="170"/>
      <c r="AE102" s="170"/>
      <c r="AF102" s="171"/>
      <c r="AG102" s="170"/>
      <c r="AH102" s="170"/>
      <c r="AI102" s="170"/>
      <c r="AJ102" s="170"/>
      <c r="AK102" s="171"/>
      <c r="AL102" s="171"/>
      <c r="AM102" s="170"/>
      <c r="AN102" s="171"/>
      <c r="AO102" s="170"/>
      <c r="AP102" s="170"/>
      <c r="AQ102" s="171"/>
      <c r="AR102" s="171"/>
      <c r="AS102" s="171"/>
      <c r="AT102" s="170"/>
      <c r="AU102" s="170"/>
      <c r="AV102" s="170"/>
      <c r="AW102" s="170"/>
      <c r="AX102" s="170"/>
      <c r="AY102" s="170"/>
      <c r="AZ102" s="170"/>
      <c r="BA102" s="170"/>
      <c r="BB102" s="170"/>
      <c r="BC102" s="171"/>
      <c r="BD102" s="171"/>
      <c r="BE102" s="171"/>
      <c r="BF102" s="170"/>
      <c r="BG102" s="170"/>
      <c r="BH102" s="171"/>
      <c r="BI102" s="170"/>
      <c r="BJ102" s="170"/>
      <c r="BK102" s="170"/>
      <c r="BL102" s="170"/>
      <c r="BM102" s="171"/>
      <c r="BN102" s="170"/>
      <c r="BO102" s="170"/>
      <c r="BP102" s="170"/>
      <c r="BQ102" s="170"/>
      <c r="BR102" s="170"/>
      <c r="BS102" s="170"/>
      <c r="BT102" s="170"/>
      <c r="BU102" s="170"/>
      <c r="BV102" s="170"/>
      <c r="BW102" s="170"/>
      <c r="BX102" s="171"/>
      <c r="BY102" s="171"/>
      <c r="BZ102" s="170"/>
      <c r="CA102" s="170"/>
      <c r="CB102" s="170"/>
      <c r="CC102" s="170"/>
      <c r="CD102" s="170"/>
      <c r="CE102" s="170"/>
      <c r="CF102" s="170"/>
      <c r="CG102" s="170"/>
    </row>
    <row r="103">
      <c r="A103" s="171"/>
      <c r="B103" s="170"/>
      <c r="C103" s="170"/>
      <c r="D103" s="170"/>
      <c r="E103" s="171"/>
      <c r="F103" s="171"/>
      <c r="G103" s="171"/>
      <c r="H103" s="170"/>
      <c r="I103" s="171"/>
      <c r="J103" s="171"/>
      <c r="K103" s="171"/>
      <c r="L103" s="170"/>
      <c r="M103" s="170"/>
      <c r="N103" s="171"/>
      <c r="O103" s="170"/>
      <c r="P103" s="186"/>
      <c r="Q103" s="170"/>
      <c r="R103" s="170"/>
      <c r="S103" s="170"/>
      <c r="T103" s="170"/>
      <c r="U103" s="170"/>
      <c r="V103" s="170"/>
      <c r="W103" s="170"/>
      <c r="X103" s="170"/>
      <c r="Y103" s="170"/>
      <c r="Z103" s="170"/>
      <c r="AA103" s="170"/>
      <c r="AB103" s="170"/>
      <c r="AC103" s="170"/>
      <c r="AD103" s="170"/>
      <c r="AE103" s="170"/>
      <c r="AF103" s="171"/>
      <c r="AG103" s="170"/>
      <c r="AH103" s="170"/>
      <c r="AI103" s="170"/>
      <c r="AJ103" s="170"/>
      <c r="AK103" s="171"/>
      <c r="AL103" s="171"/>
      <c r="AM103" s="170"/>
      <c r="AN103" s="171"/>
      <c r="AO103" s="170"/>
      <c r="AP103" s="170"/>
      <c r="AQ103" s="171"/>
      <c r="AR103" s="171"/>
      <c r="AS103" s="171"/>
      <c r="AT103" s="170"/>
      <c r="AU103" s="170"/>
      <c r="AV103" s="170"/>
      <c r="AW103" s="170"/>
      <c r="AX103" s="170"/>
      <c r="AY103" s="170"/>
      <c r="AZ103" s="170"/>
      <c r="BA103" s="170"/>
      <c r="BB103" s="170"/>
      <c r="BC103" s="171"/>
      <c r="BD103" s="171"/>
      <c r="BE103" s="171"/>
      <c r="BF103" s="170"/>
      <c r="BG103" s="170"/>
      <c r="BH103" s="171"/>
      <c r="BI103" s="170"/>
      <c r="BJ103" s="170"/>
      <c r="BK103" s="170"/>
      <c r="BL103" s="170"/>
      <c r="BM103" s="171"/>
      <c r="BN103" s="170"/>
      <c r="BO103" s="170"/>
      <c r="BP103" s="170"/>
      <c r="BQ103" s="170"/>
      <c r="BR103" s="170"/>
      <c r="BS103" s="170"/>
      <c r="BT103" s="170"/>
      <c r="BU103" s="170"/>
      <c r="BV103" s="170"/>
      <c r="BW103" s="170"/>
      <c r="BX103" s="171"/>
      <c r="BY103" s="171"/>
      <c r="BZ103" s="170"/>
      <c r="CA103" s="170"/>
      <c r="CB103" s="170"/>
      <c r="CC103" s="170"/>
      <c r="CD103" s="170"/>
      <c r="CE103" s="170"/>
      <c r="CF103" s="170"/>
      <c r="CG103" s="170"/>
    </row>
    <row r="104">
      <c r="A104" s="171"/>
      <c r="B104" s="170"/>
      <c r="C104" s="170"/>
      <c r="D104" s="170"/>
      <c r="E104" s="171"/>
      <c r="F104" s="171"/>
      <c r="G104" s="171"/>
      <c r="H104" s="170"/>
      <c r="I104" s="171"/>
      <c r="J104" s="171"/>
      <c r="K104" s="171"/>
      <c r="L104" s="170"/>
      <c r="M104" s="170"/>
      <c r="N104" s="171"/>
      <c r="O104" s="170"/>
      <c r="P104" s="186"/>
      <c r="Q104" s="170"/>
      <c r="R104" s="170"/>
      <c r="S104" s="170"/>
      <c r="T104" s="170"/>
      <c r="U104" s="170"/>
      <c r="V104" s="170"/>
      <c r="W104" s="170"/>
      <c r="X104" s="170"/>
      <c r="Y104" s="170"/>
      <c r="Z104" s="170"/>
      <c r="AA104" s="170"/>
      <c r="AB104" s="170"/>
      <c r="AC104" s="170"/>
      <c r="AD104" s="170"/>
      <c r="AE104" s="170"/>
      <c r="AF104" s="171"/>
      <c r="AG104" s="170"/>
      <c r="AH104" s="170"/>
      <c r="AI104" s="170"/>
      <c r="AJ104" s="170"/>
      <c r="AK104" s="171"/>
      <c r="AL104" s="171"/>
      <c r="AM104" s="170"/>
      <c r="AN104" s="171"/>
      <c r="AO104" s="170"/>
      <c r="AP104" s="170"/>
      <c r="AQ104" s="171"/>
      <c r="AR104" s="171"/>
      <c r="AS104" s="171"/>
      <c r="AT104" s="170"/>
      <c r="AU104" s="170"/>
      <c r="AV104" s="170"/>
      <c r="AW104" s="170"/>
      <c r="AX104" s="170"/>
      <c r="AY104" s="170"/>
      <c r="AZ104" s="170"/>
      <c r="BA104" s="170"/>
      <c r="BB104" s="170"/>
      <c r="BC104" s="171"/>
      <c r="BD104" s="171"/>
      <c r="BE104" s="171"/>
      <c r="BF104" s="170"/>
      <c r="BG104" s="170"/>
      <c r="BH104" s="171"/>
      <c r="BI104" s="170"/>
      <c r="BJ104" s="170"/>
      <c r="BK104" s="170"/>
      <c r="BL104" s="170"/>
      <c r="BM104" s="171"/>
      <c r="BN104" s="170"/>
      <c r="BO104" s="170"/>
      <c r="BP104" s="170"/>
      <c r="BQ104" s="170"/>
      <c r="BR104" s="170"/>
      <c r="BS104" s="170"/>
      <c r="BT104" s="170"/>
      <c r="BU104" s="170"/>
      <c r="BV104" s="170"/>
      <c r="BW104" s="170"/>
      <c r="BX104" s="171"/>
      <c r="BY104" s="171"/>
      <c r="BZ104" s="170"/>
      <c r="CA104" s="170"/>
      <c r="CB104" s="170"/>
      <c r="CC104" s="170"/>
      <c r="CD104" s="170"/>
      <c r="CE104" s="170"/>
      <c r="CF104" s="170"/>
      <c r="CG104" s="170"/>
    </row>
    <row r="105">
      <c r="A105" s="171"/>
      <c r="B105" s="170"/>
      <c r="C105" s="170"/>
      <c r="D105" s="170"/>
      <c r="E105" s="171"/>
      <c r="F105" s="171"/>
      <c r="G105" s="171"/>
      <c r="H105" s="170"/>
      <c r="I105" s="171"/>
      <c r="J105" s="171"/>
      <c r="K105" s="171"/>
      <c r="L105" s="170"/>
      <c r="M105" s="170"/>
      <c r="N105" s="171"/>
      <c r="O105" s="170"/>
      <c r="P105" s="186"/>
      <c r="Q105" s="170"/>
      <c r="R105" s="170"/>
      <c r="S105" s="170"/>
      <c r="T105" s="170"/>
      <c r="U105" s="170"/>
      <c r="V105" s="170"/>
      <c r="W105" s="170"/>
      <c r="X105" s="170"/>
      <c r="Y105" s="170"/>
      <c r="Z105" s="170"/>
      <c r="AA105" s="170"/>
      <c r="AB105" s="170"/>
      <c r="AC105" s="170"/>
      <c r="AD105" s="170"/>
      <c r="AE105" s="170"/>
      <c r="AF105" s="171"/>
      <c r="AG105" s="170"/>
      <c r="AH105" s="170"/>
      <c r="AI105" s="170"/>
      <c r="AJ105" s="170"/>
      <c r="AK105" s="171"/>
      <c r="AL105" s="171"/>
      <c r="AM105" s="170"/>
      <c r="AN105" s="171"/>
      <c r="AO105" s="170"/>
      <c r="AP105" s="170"/>
      <c r="AQ105" s="171"/>
      <c r="AR105" s="171"/>
      <c r="AS105" s="171"/>
      <c r="AT105" s="170"/>
      <c r="AU105" s="170"/>
      <c r="AV105" s="170"/>
      <c r="AW105" s="170"/>
      <c r="AX105" s="170"/>
      <c r="AY105" s="170"/>
      <c r="AZ105" s="170"/>
      <c r="BA105" s="170"/>
      <c r="BB105" s="170"/>
      <c r="BC105" s="171"/>
      <c r="BD105" s="171"/>
      <c r="BE105" s="171"/>
      <c r="BF105" s="170"/>
      <c r="BG105" s="170"/>
      <c r="BH105" s="171"/>
      <c r="BI105" s="170"/>
      <c r="BJ105" s="170"/>
      <c r="BK105" s="170"/>
      <c r="BL105" s="170"/>
      <c r="BM105" s="171"/>
      <c r="BN105" s="170"/>
      <c r="BO105" s="170"/>
      <c r="BP105" s="170"/>
      <c r="BQ105" s="170"/>
      <c r="BR105" s="170"/>
      <c r="BS105" s="170"/>
      <c r="BT105" s="170"/>
      <c r="BU105" s="170"/>
      <c r="BV105" s="170"/>
      <c r="BW105" s="170"/>
      <c r="BX105" s="171"/>
      <c r="BY105" s="171"/>
      <c r="BZ105" s="170"/>
      <c r="CA105" s="170"/>
      <c r="CB105" s="170"/>
      <c r="CC105" s="170"/>
      <c r="CD105" s="170"/>
      <c r="CE105" s="170"/>
      <c r="CF105" s="170"/>
      <c r="CG105" s="170"/>
    </row>
    <row r="106">
      <c r="A106" s="171"/>
      <c r="B106" s="170"/>
      <c r="C106" s="170"/>
      <c r="D106" s="170"/>
      <c r="E106" s="171"/>
      <c r="F106" s="171"/>
      <c r="G106" s="171"/>
      <c r="H106" s="170"/>
      <c r="I106" s="171"/>
      <c r="J106" s="171"/>
      <c r="K106" s="171"/>
      <c r="L106" s="170"/>
      <c r="M106" s="170"/>
      <c r="N106" s="171"/>
      <c r="O106" s="170"/>
      <c r="P106" s="186"/>
      <c r="Q106" s="170"/>
      <c r="R106" s="170"/>
      <c r="S106" s="170"/>
      <c r="T106" s="170"/>
      <c r="U106" s="170"/>
      <c r="V106" s="170"/>
      <c r="W106" s="170"/>
      <c r="X106" s="170"/>
      <c r="Y106" s="170"/>
      <c r="Z106" s="170"/>
      <c r="AA106" s="170"/>
      <c r="AB106" s="170"/>
      <c r="AC106" s="170"/>
      <c r="AD106" s="170"/>
      <c r="AE106" s="170"/>
      <c r="AF106" s="171"/>
      <c r="AG106" s="170"/>
      <c r="AH106" s="170"/>
      <c r="AI106" s="170"/>
      <c r="AJ106" s="170"/>
      <c r="AK106" s="171"/>
      <c r="AL106" s="171"/>
      <c r="AM106" s="170"/>
      <c r="AN106" s="171"/>
      <c r="AO106" s="170"/>
      <c r="AP106" s="170"/>
      <c r="AQ106" s="171"/>
      <c r="AR106" s="171"/>
      <c r="AS106" s="171"/>
      <c r="AT106" s="170"/>
      <c r="AU106" s="170"/>
      <c r="AV106" s="170"/>
      <c r="AW106" s="170"/>
      <c r="AX106" s="170"/>
      <c r="AY106" s="170"/>
      <c r="AZ106" s="170"/>
      <c r="BA106" s="170"/>
      <c r="BB106" s="170"/>
      <c r="BC106" s="171"/>
      <c r="BD106" s="171"/>
      <c r="BE106" s="171"/>
      <c r="BF106" s="170"/>
      <c r="BG106" s="170"/>
      <c r="BH106" s="171"/>
      <c r="BI106" s="170"/>
      <c r="BJ106" s="170"/>
      <c r="BK106" s="170"/>
      <c r="BL106" s="170"/>
      <c r="BM106" s="171"/>
      <c r="BN106" s="170"/>
      <c r="BO106" s="170"/>
      <c r="BP106" s="170"/>
      <c r="BQ106" s="170"/>
      <c r="BR106" s="170"/>
      <c r="BS106" s="170"/>
      <c r="BT106" s="170"/>
      <c r="BU106" s="170"/>
      <c r="BV106" s="170"/>
      <c r="BW106" s="170"/>
      <c r="BX106" s="171"/>
      <c r="BY106" s="171"/>
      <c r="BZ106" s="170"/>
      <c r="CA106" s="170"/>
      <c r="CB106" s="170"/>
      <c r="CC106" s="170"/>
      <c r="CD106" s="170"/>
      <c r="CE106" s="170"/>
      <c r="CF106" s="170"/>
      <c r="CG106" s="170"/>
    </row>
    <row r="107">
      <c r="A107" s="171"/>
      <c r="B107" s="170"/>
      <c r="C107" s="170"/>
      <c r="D107" s="170"/>
      <c r="E107" s="171"/>
      <c r="F107" s="171"/>
      <c r="G107" s="171"/>
      <c r="H107" s="170"/>
      <c r="I107" s="171"/>
      <c r="J107" s="171"/>
      <c r="K107" s="171"/>
      <c r="L107" s="170"/>
      <c r="M107" s="170"/>
      <c r="N107" s="171"/>
      <c r="O107" s="170"/>
      <c r="P107" s="186"/>
      <c r="Q107" s="170"/>
      <c r="R107" s="170"/>
      <c r="S107" s="170"/>
      <c r="T107" s="170"/>
      <c r="U107" s="170"/>
      <c r="V107" s="170"/>
      <c r="W107" s="170"/>
      <c r="X107" s="170"/>
      <c r="Y107" s="170"/>
      <c r="Z107" s="170"/>
      <c r="AA107" s="170"/>
      <c r="AB107" s="170"/>
      <c r="AC107" s="170"/>
      <c r="AD107" s="170"/>
      <c r="AE107" s="170"/>
      <c r="AF107" s="171"/>
      <c r="AG107" s="170"/>
      <c r="AH107" s="170"/>
      <c r="AI107" s="170"/>
      <c r="AJ107" s="170"/>
      <c r="AK107" s="171"/>
      <c r="AL107" s="171"/>
      <c r="AM107" s="170"/>
      <c r="AN107" s="171"/>
      <c r="AO107" s="170"/>
      <c r="AP107" s="170"/>
      <c r="AQ107" s="171"/>
      <c r="AR107" s="171"/>
      <c r="AS107" s="171"/>
      <c r="AT107" s="170"/>
      <c r="AU107" s="170"/>
      <c r="AV107" s="170"/>
      <c r="AW107" s="170"/>
      <c r="AX107" s="170"/>
      <c r="AY107" s="170"/>
      <c r="AZ107" s="170"/>
      <c r="BA107" s="170"/>
      <c r="BB107" s="170"/>
      <c r="BC107" s="171"/>
      <c r="BD107" s="171"/>
      <c r="BE107" s="171"/>
      <c r="BF107" s="170"/>
      <c r="BG107" s="170"/>
      <c r="BH107" s="171"/>
      <c r="BI107" s="170"/>
      <c r="BJ107" s="170"/>
      <c r="BK107" s="170"/>
      <c r="BL107" s="170"/>
      <c r="BM107" s="171"/>
      <c r="BN107" s="170"/>
      <c r="BO107" s="170"/>
      <c r="BP107" s="170"/>
      <c r="BQ107" s="170"/>
      <c r="BR107" s="170"/>
      <c r="BS107" s="170"/>
      <c r="BT107" s="170"/>
      <c r="BU107" s="170"/>
      <c r="BV107" s="170"/>
      <c r="BW107" s="170"/>
      <c r="BX107" s="171"/>
      <c r="BY107" s="171"/>
      <c r="BZ107" s="170"/>
      <c r="CA107" s="170"/>
      <c r="CB107" s="170"/>
      <c r="CC107" s="170"/>
      <c r="CD107" s="170"/>
      <c r="CE107" s="170"/>
      <c r="CF107" s="170"/>
      <c r="CG107" s="170"/>
    </row>
    <row r="108">
      <c r="A108" s="171"/>
      <c r="B108" s="170"/>
      <c r="C108" s="170"/>
      <c r="D108" s="170"/>
      <c r="E108" s="171"/>
      <c r="F108" s="171"/>
      <c r="G108" s="171"/>
      <c r="H108" s="170"/>
      <c r="I108" s="171"/>
      <c r="J108" s="171"/>
      <c r="K108" s="171"/>
      <c r="L108" s="170"/>
      <c r="M108" s="170"/>
      <c r="N108" s="171"/>
      <c r="O108" s="170"/>
      <c r="P108" s="186"/>
      <c r="Q108" s="170"/>
      <c r="R108" s="170"/>
      <c r="S108" s="170"/>
      <c r="T108" s="170"/>
      <c r="U108" s="170"/>
      <c r="V108" s="170"/>
      <c r="W108" s="170"/>
      <c r="X108" s="170"/>
      <c r="Y108" s="170"/>
      <c r="Z108" s="170"/>
      <c r="AA108" s="170"/>
      <c r="AB108" s="170"/>
      <c r="AC108" s="170"/>
      <c r="AD108" s="170"/>
      <c r="AE108" s="170"/>
      <c r="AF108" s="171"/>
      <c r="AG108" s="170"/>
      <c r="AH108" s="170"/>
      <c r="AI108" s="170"/>
      <c r="AJ108" s="170"/>
      <c r="AK108" s="171"/>
      <c r="AL108" s="171"/>
      <c r="AM108" s="170"/>
      <c r="AN108" s="171"/>
      <c r="AO108" s="170"/>
      <c r="AP108" s="170"/>
      <c r="AQ108" s="171"/>
      <c r="AR108" s="171"/>
      <c r="AS108" s="171"/>
      <c r="AT108" s="170"/>
      <c r="AU108" s="170"/>
      <c r="AV108" s="170"/>
      <c r="AW108" s="170"/>
      <c r="AX108" s="170"/>
      <c r="AY108" s="170"/>
      <c r="AZ108" s="170"/>
      <c r="BA108" s="170"/>
      <c r="BB108" s="170"/>
      <c r="BC108" s="171"/>
      <c r="BD108" s="171"/>
      <c r="BE108" s="171"/>
      <c r="BF108" s="170"/>
      <c r="BG108" s="170"/>
      <c r="BH108" s="171"/>
      <c r="BI108" s="170"/>
      <c r="BJ108" s="170"/>
      <c r="BK108" s="170"/>
      <c r="BL108" s="170"/>
      <c r="BM108" s="171"/>
      <c r="BN108" s="170"/>
      <c r="BO108" s="170"/>
      <c r="BP108" s="170"/>
      <c r="BQ108" s="170"/>
      <c r="BR108" s="170"/>
      <c r="BS108" s="170"/>
      <c r="BT108" s="170"/>
      <c r="BU108" s="170"/>
      <c r="BV108" s="170"/>
      <c r="BW108" s="170"/>
      <c r="BX108" s="171"/>
      <c r="BY108" s="171"/>
      <c r="BZ108" s="170"/>
      <c r="CA108" s="170"/>
      <c r="CB108" s="170"/>
      <c r="CC108" s="170"/>
      <c r="CD108" s="170"/>
      <c r="CE108" s="170"/>
      <c r="CF108" s="170"/>
      <c r="CG108" s="170"/>
    </row>
    <row r="109">
      <c r="A109" s="171"/>
      <c r="B109" s="170"/>
      <c r="C109" s="170"/>
      <c r="D109" s="170"/>
      <c r="E109" s="171"/>
      <c r="F109" s="171"/>
      <c r="G109" s="171"/>
      <c r="H109" s="170"/>
      <c r="I109" s="171"/>
      <c r="J109" s="171"/>
      <c r="K109" s="171"/>
      <c r="L109" s="170"/>
      <c r="M109" s="170"/>
      <c r="N109" s="171"/>
      <c r="O109" s="170"/>
      <c r="P109" s="186"/>
      <c r="Q109" s="170"/>
      <c r="R109" s="170"/>
      <c r="S109" s="170"/>
      <c r="T109" s="170"/>
      <c r="U109" s="170"/>
      <c r="V109" s="170"/>
      <c r="W109" s="170"/>
      <c r="X109" s="170"/>
      <c r="Y109" s="170"/>
      <c r="Z109" s="170"/>
      <c r="AA109" s="170"/>
      <c r="AB109" s="170"/>
      <c r="AC109" s="170"/>
      <c r="AD109" s="170"/>
      <c r="AE109" s="170"/>
      <c r="AF109" s="171"/>
      <c r="AG109" s="170"/>
      <c r="AH109" s="170"/>
      <c r="AI109" s="170"/>
      <c r="AJ109" s="170"/>
      <c r="AK109" s="171"/>
      <c r="AL109" s="171"/>
      <c r="AM109" s="170"/>
      <c r="AN109" s="171"/>
      <c r="AO109" s="170"/>
      <c r="AP109" s="170"/>
      <c r="AQ109" s="171"/>
      <c r="AR109" s="171"/>
      <c r="AS109" s="171"/>
      <c r="AT109" s="170"/>
      <c r="AU109" s="170"/>
      <c r="AV109" s="170"/>
      <c r="AW109" s="170"/>
      <c r="AX109" s="170"/>
      <c r="AY109" s="170"/>
      <c r="AZ109" s="170"/>
      <c r="BA109" s="170"/>
      <c r="BB109" s="170"/>
      <c r="BC109" s="171"/>
      <c r="BD109" s="171"/>
      <c r="BE109" s="171"/>
      <c r="BF109" s="170"/>
      <c r="BG109" s="170"/>
      <c r="BH109" s="171"/>
      <c r="BI109" s="170"/>
      <c r="BJ109" s="170"/>
      <c r="BK109" s="170"/>
      <c r="BL109" s="170"/>
      <c r="BM109" s="171"/>
      <c r="BN109" s="170"/>
      <c r="BO109" s="170"/>
      <c r="BP109" s="170"/>
      <c r="BQ109" s="170"/>
      <c r="BR109" s="170"/>
      <c r="BS109" s="170"/>
      <c r="BT109" s="170"/>
      <c r="BU109" s="170"/>
      <c r="BV109" s="170"/>
      <c r="BW109" s="170"/>
      <c r="BX109" s="171"/>
      <c r="BY109" s="171"/>
      <c r="BZ109" s="170"/>
      <c r="CA109" s="170"/>
      <c r="CB109" s="170"/>
      <c r="CC109" s="170"/>
      <c r="CD109" s="170"/>
      <c r="CE109" s="170"/>
      <c r="CF109" s="170"/>
      <c r="CG109" s="170"/>
    </row>
    <row r="110">
      <c r="A110" s="171"/>
      <c r="B110" s="170"/>
      <c r="C110" s="170"/>
      <c r="D110" s="170"/>
      <c r="E110" s="171"/>
      <c r="F110" s="171"/>
      <c r="G110" s="171"/>
      <c r="H110" s="170"/>
      <c r="I110" s="171"/>
      <c r="J110" s="171"/>
      <c r="K110" s="171"/>
      <c r="L110" s="170"/>
      <c r="M110" s="170"/>
      <c r="N110" s="171"/>
      <c r="O110" s="170"/>
      <c r="P110" s="186"/>
      <c r="Q110" s="170"/>
      <c r="R110" s="170"/>
      <c r="S110" s="170"/>
      <c r="T110" s="170"/>
      <c r="U110" s="170"/>
      <c r="V110" s="170"/>
      <c r="W110" s="170"/>
      <c r="X110" s="170"/>
      <c r="Y110" s="170"/>
      <c r="Z110" s="170"/>
      <c r="AA110" s="170"/>
      <c r="AB110" s="170"/>
      <c r="AC110" s="170"/>
      <c r="AD110" s="170"/>
      <c r="AE110" s="170"/>
      <c r="AF110" s="171"/>
      <c r="AG110" s="170"/>
      <c r="AH110" s="170"/>
      <c r="AI110" s="170"/>
      <c r="AJ110" s="170"/>
      <c r="AK110" s="171"/>
      <c r="AL110" s="171"/>
      <c r="AM110" s="170"/>
      <c r="AN110" s="171"/>
      <c r="AO110" s="170"/>
      <c r="AP110" s="170"/>
      <c r="AQ110" s="171"/>
      <c r="AR110" s="171"/>
      <c r="AS110" s="171"/>
      <c r="AT110" s="170"/>
      <c r="AU110" s="170"/>
      <c r="AV110" s="170"/>
      <c r="AW110" s="170"/>
      <c r="AX110" s="170"/>
      <c r="AY110" s="170"/>
      <c r="AZ110" s="170"/>
      <c r="BA110" s="170"/>
      <c r="BB110" s="170"/>
      <c r="BC110" s="171"/>
      <c r="BD110" s="171"/>
      <c r="BE110" s="171"/>
      <c r="BF110" s="170"/>
      <c r="BG110" s="170"/>
      <c r="BH110" s="171"/>
      <c r="BI110" s="170"/>
      <c r="BJ110" s="170"/>
      <c r="BK110" s="170"/>
      <c r="BL110" s="170"/>
      <c r="BM110" s="171"/>
      <c r="BN110" s="170"/>
      <c r="BO110" s="170"/>
      <c r="BP110" s="170"/>
      <c r="BQ110" s="170"/>
      <c r="BR110" s="170"/>
      <c r="BS110" s="170"/>
      <c r="BT110" s="170"/>
      <c r="BU110" s="170"/>
      <c r="BV110" s="170"/>
      <c r="BW110" s="170"/>
      <c r="BX110" s="171"/>
      <c r="BY110" s="171"/>
      <c r="BZ110" s="170"/>
      <c r="CA110" s="170"/>
      <c r="CB110" s="170"/>
      <c r="CC110" s="170"/>
      <c r="CD110" s="170"/>
      <c r="CE110" s="170"/>
      <c r="CF110" s="170"/>
      <c r="CG110" s="170"/>
    </row>
    <row r="111">
      <c r="A111" s="171"/>
      <c r="B111" s="170"/>
      <c r="C111" s="170"/>
      <c r="D111" s="170"/>
      <c r="E111" s="171"/>
      <c r="F111" s="171"/>
      <c r="G111" s="171"/>
      <c r="H111" s="170"/>
      <c r="I111" s="171"/>
      <c r="J111" s="171"/>
      <c r="K111" s="171"/>
      <c r="L111" s="170"/>
      <c r="M111" s="170"/>
      <c r="N111" s="171"/>
      <c r="O111" s="170"/>
      <c r="P111" s="186"/>
      <c r="Q111" s="170"/>
      <c r="R111" s="170"/>
      <c r="S111" s="170"/>
      <c r="T111" s="170"/>
      <c r="U111" s="170"/>
      <c r="V111" s="170"/>
      <c r="W111" s="170"/>
      <c r="X111" s="170"/>
      <c r="Y111" s="170"/>
      <c r="Z111" s="170"/>
      <c r="AA111" s="170"/>
      <c r="AB111" s="170"/>
      <c r="AC111" s="170"/>
      <c r="AD111" s="170"/>
      <c r="AE111" s="170"/>
      <c r="AF111" s="171"/>
      <c r="AG111" s="170"/>
      <c r="AH111" s="170"/>
      <c r="AI111" s="170"/>
      <c r="AJ111" s="170"/>
      <c r="AK111" s="171"/>
      <c r="AL111" s="171"/>
      <c r="AM111" s="170"/>
      <c r="AN111" s="171"/>
      <c r="AO111" s="170"/>
      <c r="AP111" s="170"/>
      <c r="AQ111" s="171"/>
      <c r="AR111" s="171"/>
      <c r="AS111" s="171"/>
      <c r="AT111" s="170"/>
      <c r="AU111" s="170"/>
      <c r="AV111" s="170"/>
      <c r="AW111" s="170"/>
      <c r="AX111" s="170"/>
      <c r="AY111" s="170"/>
      <c r="AZ111" s="170"/>
      <c r="BA111" s="170"/>
      <c r="BB111" s="170"/>
      <c r="BC111" s="171"/>
      <c r="BD111" s="171"/>
      <c r="BE111" s="171"/>
      <c r="BF111" s="170"/>
      <c r="BG111" s="170"/>
      <c r="BH111" s="171"/>
      <c r="BI111" s="170"/>
      <c r="BJ111" s="170"/>
      <c r="BK111" s="170"/>
      <c r="BL111" s="170"/>
      <c r="BM111" s="171"/>
      <c r="BN111" s="170"/>
      <c r="BO111" s="170"/>
      <c r="BP111" s="170"/>
      <c r="BQ111" s="170"/>
      <c r="BR111" s="170"/>
      <c r="BS111" s="170"/>
      <c r="BT111" s="170"/>
      <c r="BU111" s="170"/>
      <c r="BV111" s="170"/>
      <c r="BW111" s="170"/>
      <c r="BX111" s="171"/>
      <c r="BY111" s="171"/>
      <c r="BZ111" s="170"/>
      <c r="CA111" s="170"/>
      <c r="CB111" s="170"/>
      <c r="CC111" s="170"/>
      <c r="CD111" s="170"/>
      <c r="CE111" s="170"/>
      <c r="CF111" s="170"/>
      <c r="CG111" s="170"/>
    </row>
    <row r="112">
      <c r="A112" s="171"/>
      <c r="B112" s="170"/>
      <c r="C112" s="170"/>
      <c r="D112" s="170"/>
      <c r="E112" s="171"/>
      <c r="F112" s="171"/>
      <c r="G112" s="171"/>
      <c r="H112" s="170"/>
      <c r="I112" s="171"/>
      <c r="J112" s="171"/>
      <c r="K112" s="171"/>
      <c r="L112" s="170"/>
      <c r="M112" s="170"/>
      <c r="N112" s="171"/>
      <c r="O112" s="170"/>
      <c r="P112" s="186"/>
      <c r="Q112" s="170"/>
      <c r="R112" s="170"/>
      <c r="S112" s="170"/>
      <c r="T112" s="170"/>
      <c r="U112" s="170"/>
      <c r="V112" s="170"/>
      <c r="W112" s="170"/>
      <c r="X112" s="170"/>
      <c r="Y112" s="170"/>
      <c r="Z112" s="170"/>
      <c r="AA112" s="170"/>
      <c r="AB112" s="170"/>
      <c r="AC112" s="170"/>
      <c r="AD112" s="170"/>
      <c r="AE112" s="170"/>
      <c r="AF112" s="171"/>
      <c r="AG112" s="170"/>
      <c r="AH112" s="170"/>
      <c r="AI112" s="170"/>
      <c r="AJ112" s="170"/>
      <c r="AK112" s="171"/>
      <c r="AL112" s="171"/>
      <c r="AM112" s="170"/>
      <c r="AN112" s="171"/>
      <c r="AO112" s="170"/>
      <c r="AP112" s="170"/>
      <c r="AQ112" s="171"/>
      <c r="AR112" s="171"/>
      <c r="AS112" s="171"/>
      <c r="AT112" s="170"/>
      <c r="AU112" s="170"/>
      <c r="AV112" s="170"/>
      <c r="AW112" s="170"/>
      <c r="AX112" s="170"/>
      <c r="AY112" s="170"/>
      <c r="AZ112" s="170"/>
      <c r="BA112" s="170"/>
      <c r="BB112" s="170"/>
      <c r="BC112" s="171"/>
      <c r="BD112" s="171"/>
      <c r="BE112" s="171"/>
      <c r="BF112" s="170"/>
      <c r="BG112" s="170"/>
      <c r="BH112" s="171"/>
      <c r="BI112" s="170"/>
      <c r="BJ112" s="170"/>
      <c r="BK112" s="170"/>
      <c r="BL112" s="170"/>
      <c r="BM112" s="171"/>
      <c r="BN112" s="170"/>
      <c r="BO112" s="170"/>
      <c r="BP112" s="170"/>
      <c r="BQ112" s="170"/>
      <c r="BR112" s="170"/>
      <c r="BS112" s="170"/>
      <c r="BT112" s="170"/>
      <c r="BU112" s="170"/>
      <c r="BV112" s="170"/>
      <c r="BW112" s="170"/>
      <c r="BX112" s="171"/>
      <c r="BY112" s="171"/>
      <c r="BZ112" s="170"/>
      <c r="CA112" s="170"/>
      <c r="CB112" s="170"/>
      <c r="CC112" s="170"/>
      <c r="CD112" s="170"/>
      <c r="CE112" s="170"/>
      <c r="CF112" s="170"/>
      <c r="CG112" s="170"/>
    </row>
    <row r="113">
      <c r="A113" s="171"/>
      <c r="B113" s="170"/>
      <c r="C113" s="170"/>
      <c r="D113" s="170"/>
      <c r="E113" s="171"/>
      <c r="F113" s="171"/>
      <c r="G113" s="171"/>
      <c r="H113" s="170"/>
      <c r="I113" s="171"/>
      <c r="J113" s="171"/>
      <c r="K113" s="171"/>
      <c r="L113" s="170"/>
      <c r="M113" s="170"/>
      <c r="N113" s="171"/>
      <c r="O113" s="170"/>
      <c r="P113" s="186"/>
      <c r="Q113" s="170"/>
      <c r="R113" s="170"/>
      <c r="S113" s="170"/>
      <c r="T113" s="170"/>
      <c r="U113" s="170"/>
      <c r="V113" s="170"/>
      <c r="W113" s="170"/>
      <c r="X113" s="170"/>
      <c r="Y113" s="170"/>
      <c r="Z113" s="170"/>
      <c r="AA113" s="170"/>
      <c r="AB113" s="170"/>
      <c r="AC113" s="170"/>
      <c r="AD113" s="170"/>
      <c r="AE113" s="170"/>
      <c r="AF113" s="171"/>
      <c r="AG113" s="170"/>
      <c r="AH113" s="170"/>
      <c r="AI113" s="170"/>
      <c r="AJ113" s="170"/>
      <c r="AK113" s="171"/>
      <c r="AL113" s="171"/>
      <c r="AM113" s="170"/>
      <c r="AN113" s="171"/>
      <c r="AO113" s="170"/>
      <c r="AP113" s="170"/>
      <c r="AQ113" s="171"/>
      <c r="AR113" s="171"/>
      <c r="AS113" s="171"/>
      <c r="AT113" s="170"/>
      <c r="AU113" s="170"/>
      <c r="AV113" s="170"/>
      <c r="AW113" s="170"/>
      <c r="AX113" s="170"/>
      <c r="AY113" s="170"/>
      <c r="AZ113" s="170"/>
      <c r="BA113" s="170"/>
      <c r="BB113" s="170"/>
      <c r="BC113" s="171"/>
      <c r="BD113" s="171"/>
      <c r="BE113" s="171"/>
      <c r="BF113" s="170"/>
      <c r="BG113" s="170"/>
      <c r="BH113" s="171"/>
      <c r="BI113" s="170"/>
      <c r="BJ113" s="170"/>
      <c r="BK113" s="170"/>
      <c r="BL113" s="170"/>
      <c r="BM113" s="171"/>
      <c r="BN113" s="170"/>
      <c r="BO113" s="170"/>
      <c r="BP113" s="170"/>
      <c r="BQ113" s="170"/>
      <c r="BR113" s="170"/>
      <c r="BS113" s="170"/>
      <c r="BT113" s="170"/>
      <c r="BU113" s="170"/>
      <c r="BV113" s="170"/>
      <c r="BW113" s="170"/>
      <c r="BX113" s="171"/>
      <c r="BY113" s="171"/>
      <c r="BZ113" s="170"/>
      <c r="CA113" s="170"/>
      <c r="CB113" s="170"/>
      <c r="CC113" s="170"/>
      <c r="CD113" s="170"/>
      <c r="CE113" s="170"/>
      <c r="CF113" s="170"/>
      <c r="CG113" s="170"/>
    </row>
    <row r="114">
      <c r="A114" s="171"/>
      <c r="B114" s="170"/>
      <c r="C114" s="170"/>
      <c r="D114" s="170"/>
      <c r="E114" s="171"/>
      <c r="F114" s="171"/>
      <c r="G114" s="171"/>
      <c r="H114" s="170"/>
      <c r="I114" s="171"/>
      <c r="J114" s="171"/>
      <c r="K114" s="171"/>
      <c r="L114" s="170"/>
      <c r="M114" s="170"/>
      <c r="N114" s="171"/>
      <c r="O114" s="170"/>
      <c r="P114" s="186"/>
      <c r="Q114" s="170"/>
      <c r="R114" s="170"/>
      <c r="S114" s="170"/>
      <c r="T114" s="170"/>
      <c r="U114" s="170"/>
      <c r="V114" s="170"/>
      <c r="W114" s="170"/>
      <c r="X114" s="170"/>
      <c r="Y114" s="170"/>
      <c r="Z114" s="170"/>
      <c r="AA114" s="170"/>
      <c r="AB114" s="170"/>
      <c r="AC114" s="170"/>
      <c r="AD114" s="170"/>
      <c r="AE114" s="170"/>
      <c r="AF114" s="171"/>
      <c r="AG114" s="170"/>
      <c r="AH114" s="170"/>
      <c r="AI114" s="170"/>
      <c r="AJ114" s="170"/>
      <c r="AK114" s="171"/>
      <c r="AL114" s="171"/>
      <c r="AM114" s="170"/>
      <c r="AN114" s="171"/>
      <c r="AO114" s="170"/>
      <c r="AP114" s="170"/>
      <c r="AQ114" s="171"/>
      <c r="AR114" s="171"/>
      <c r="AS114" s="171"/>
      <c r="AT114" s="170"/>
      <c r="AU114" s="170"/>
      <c r="AV114" s="170"/>
      <c r="AW114" s="170"/>
      <c r="AX114" s="170"/>
      <c r="AY114" s="170"/>
      <c r="AZ114" s="170"/>
      <c r="BA114" s="170"/>
      <c r="BB114" s="170"/>
      <c r="BC114" s="171"/>
      <c r="BD114" s="171"/>
      <c r="BE114" s="171"/>
      <c r="BF114" s="170"/>
      <c r="BG114" s="170"/>
      <c r="BH114" s="171"/>
      <c r="BI114" s="170"/>
      <c r="BJ114" s="170"/>
      <c r="BK114" s="170"/>
      <c r="BL114" s="170"/>
      <c r="BM114" s="171"/>
      <c r="BN114" s="170"/>
      <c r="BO114" s="170"/>
      <c r="BP114" s="170"/>
      <c r="BQ114" s="170"/>
      <c r="BR114" s="170"/>
      <c r="BS114" s="170"/>
      <c r="BT114" s="170"/>
      <c r="BU114" s="170"/>
      <c r="BV114" s="170"/>
      <c r="BW114" s="170"/>
      <c r="BX114" s="171"/>
      <c r="BY114" s="171"/>
      <c r="BZ114" s="170"/>
      <c r="CA114" s="170"/>
      <c r="CB114" s="170"/>
      <c r="CC114" s="170"/>
      <c r="CD114" s="170"/>
      <c r="CE114" s="170"/>
      <c r="CF114" s="170"/>
      <c r="CG114" s="170"/>
    </row>
    <row r="115">
      <c r="A115" s="171"/>
      <c r="B115" s="170"/>
      <c r="C115" s="170"/>
      <c r="D115" s="170"/>
      <c r="E115" s="171"/>
      <c r="F115" s="171"/>
      <c r="G115" s="171"/>
      <c r="H115" s="170"/>
      <c r="I115" s="171"/>
      <c r="J115" s="171"/>
      <c r="K115" s="171"/>
      <c r="L115" s="170"/>
      <c r="M115" s="170"/>
      <c r="N115" s="171"/>
      <c r="O115" s="170"/>
      <c r="P115" s="186"/>
      <c r="Q115" s="170"/>
      <c r="R115" s="170"/>
      <c r="S115" s="170"/>
      <c r="T115" s="170"/>
      <c r="U115" s="170"/>
      <c r="V115" s="170"/>
      <c r="W115" s="170"/>
      <c r="X115" s="170"/>
      <c r="Y115" s="170"/>
      <c r="Z115" s="170"/>
      <c r="AA115" s="170"/>
      <c r="AB115" s="170"/>
      <c r="AC115" s="170"/>
      <c r="AD115" s="170"/>
      <c r="AE115" s="170"/>
      <c r="AF115" s="171"/>
      <c r="AG115" s="170"/>
      <c r="AH115" s="170"/>
      <c r="AI115" s="170"/>
      <c r="AJ115" s="170"/>
      <c r="AK115" s="171"/>
      <c r="AL115" s="171"/>
      <c r="AM115" s="170"/>
      <c r="AN115" s="171"/>
      <c r="AO115" s="170"/>
      <c r="AP115" s="170"/>
      <c r="AQ115" s="171"/>
      <c r="AR115" s="171"/>
      <c r="AS115" s="171"/>
      <c r="AT115" s="170"/>
      <c r="AU115" s="170"/>
      <c r="AV115" s="170"/>
      <c r="AW115" s="170"/>
      <c r="AX115" s="170"/>
      <c r="AY115" s="170"/>
      <c r="AZ115" s="170"/>
      <c r="BA115" s="170"/>
      <c r="BB115" s="170"/>
      <c r="BC115" s="171"/>
      <c r="BD115" s="171"/>
      <c r="BE115" s="171"/>
      <c r="BF115" s="170"/>
      <c r="BG115" s="170"/>
      <c r="BH115" s="171"/>
      <c r="BI115" s="170"/>
      <c r="BJ115" s="170"/>
      <c r="BK115" s="170"/>
      <c r="BL115" s="170"/>
      <c r="BM115" s="171"/>
      <c r="BN115" s="170"/>
      <c r="BO115" s="170"/>
      <c r="BP115" s="170"/>
      <c r="BQ115" s="170"/>
      <c r="BR115" s="170"/>
      <c r="BS115" s="170"/>
      <c r="BT115" s="170"/>
      <c r="BU115" s="170"/>
      <c r="BV115" s="170"/>
      <c r="BW115" s="170"/>
      <c r="BX115" s="171"/>
      <c r="BY115" s="171"/>
      <c r="BZ115" s="170"/>
      <c r="CA115" s="170"/>
      <c r="CB115" s="170"/>
      <c r="CC115" s="170"/>
      <c r="CD115" s="170"/>
      <c r="CE115" s="170"/>
      <c r="CF115" s="170"/>
      <c r="CG115" s="170"/>
    </row>
    <row r="116">
      <c r="A116" s="171"/>
      <c r="B116" s="170"/>
      <c r="C116" s="170"/>
      <c r="D116" s="170"/>
      <c r="E116" s="171"/>
      <c r="F116" s="171"/>
      <c r="G116" s="171"/>
      <c r="H116" s="170"/>
      <c r="I116" s="171"/>
      <c r="J116" s="171"/>
      <c r="K116" s="171"/>
      <c r="L116" s="170"/>
      <c r="M116" s="170"/>
      <c r="N116" s="171"/>
      <c r="O116" s="170"/>
      <c r="P116" s="186"/>
      <c r="Q116" s="170"/>
      <c r="R116" s="170"/>
      <c r="S116" s="170"/>
      <c r="T116" s="170"/>
      <c r="U116" s="170"/>
      <c r="V116" s="170"/>
      <c r="W116" s="170"/>
      <c r="X116" s="170"/>
      <c r="Y116" s="170"/>
      <c r="Z116" s="170"/>
      <c r="AA116" s="170"/>
      <c r="AB116" s="170"/>
      <c r="AC116" s="170"/>
      <c r="AD116" s="170"/>
      <c r="AE116" s="170"/>
      <c r="AF116" s="171"/>
      <c r="AG116" s="170"/>
      <c r="AH116" s="170"/>
      <c r="AI116" s="170"/>
      <c r="AJ116" s="170"/>
      <c r="AK116" s="171"/>
      <c r="AL116" s="171"/>
      <c r="AM116" s="170"/>
      <c r="AN116" s="171"/>
      <c r="AO116" s="170"/>
      <c r="AP116" s="170"/>
      <c r="AQ116" s="171"/>
      <c r="AR116" s="171"/>
      <c r="AS116" s="171"/>
      <c r="AT116" s="170"/>
      <c r="AU116" s="170"/>
      <c r="AV116" s="170"/>
      <c r="AW116" s="170"/>
      <c r="AX116" s="170"/>
      <c r="AY116" s="170"/>
      <c r="AZ116" s="170"/>
      <c r="BA116" s="170"/>
      <c r="BB116" s="170"/>
      <c r="BC116" s="171"/>
      <c r="BD116" s="171"/>
      <c r="BE116" s="171"/>
      <c r="BF116" s="170"/>
      <c r="BG116" s="170"/>
      <c r="BH116" s="171"/>
      <c r="BI116" s="170"/>
      <c r="BJ116" s="170"/>
      <c r="BK116" s="170"/>
      <c r="BL116" s="170"/>
      <c r="BM116" s="171"/>
      <c r="BN116" s="170"/>
      <c r="BO116" s="170"/>
      <c r="BP116" s="170"/>
      <c r="BQ116" s="170"/>
      <c r="BR116" s="170"/>
      <c r="BS116" s="170"/>
      <c r="BT116" s="170"/>
      <c r="BU116" s="170"/>
      <c r="BV116" s="170"/>
      <c r="BW116" s="170"/>
      <c r="BX116" s="171"/>
      <c r="BY116" s="171"/>
      <c r="BZ116" s="170"/>
      <c r="CA116" s="170"/>
      <c r="CB116" s="170"/>
      <c r="CC116" s="170"/>
      <c r="CD116" s="170"/>
      <c r="CE116" s="170"/>
      <c r="CF116" s="170"/>
      <c r="CG116" s="170"/>
    </row>
    <row r="117">
      <c r="A117" s="171"/>
      <c r="B117" s="170"/>
      <c r="C117" s="170"/>
      <c r="D117" s="170"/>
      <c r="E117" s="171"/>
      <c r="F117" s="171"/>
      <c r="G117" s="171"/>
      <c r="H117" s="170"/>
      <c r="I117" s="171"/>
      <c r="J117" s="171"/>
      <c r="K117" s="171"/>
      <c r="L117" s="170"/>
      <c r="M117" s="170"/>
      <c r="N117" s="171"/>
      <c r="O117" s="170"/>
      <c r="P117" s="186"/>
      <c r="Q117" s="170"/>
      <c r="R117" s="170"/>
      <c r="S117" s="170"/>
      <c r="T117" s="170"/>
      <c r="U117" s="170"/>
      <c r="V117" s="170"/>
      <c r="W117" s="170"/>
      <c r="X117" s="170"/>
      <c r="Y117" s="170"/>
      <c r="Z117" s="170"/>
      <c r="AA117" s="170"/>
      <c r="AB117" s="170"/>
      <c r="AC117" s="170"/>
      <c r="AD117" s="170"/>
      <c r="AE117" s="170"/>
      <c r="AF117" s="171"/>
      <c r="AG117" s="170"/>
      <c r="AH117" s="170"/>
      <c r="AI117" s="170"/>
      <c r="AJ117" s="170"/>
      <c r="AK117" s="171"/>
      <c r="AL117" s="171"/>
      <c r="AM117" s="170"/>
      <c r="AN117" s="171"/>
      <c r="AO117" s="170"/>
      <c r="AP117" s="170"/>
      <c r="AQ117" s="171"/>
      <c r="AR117" s="171"/>
      <c r="AS117" s="171"/>
      <c r="AT117" s="170"/>
      <c r="AU117" s="170"/>
      <c r="AV117" s="170"/>
      <c r="AW117" s="170"/>
      <c r="AX117" s="170"/>
      <c r="AY117" s="170"/>
      <c r="AZ117" s="170"/>
      <c r="BA117" s="170"/>
      <c r="BB117" s="170"/>
      <c r="BC117" s="171"/>
      <c r="BD117" s="171"/>
      <c r="BE117" s="171"/>
      <c r="BF117" s="170"/>
      <c r="BG117" s="170"/>
      <c r="BH117" s="171"/>
      <c r="BI117" s="170"/>
      <c r="BJ117" s="170"/>
      <c r="BK117" s="170"/>
      <c r="BL117" s="170"/>
      <c r="BM117" s="171"/>
      <c r="BN117" s="170"/>
      <c r="BO117" s="170"/>
      <c r="BP117" s="170"/>
      <c r="BQ117" s="170"/>
      <c r="BR117" s="170"/>
      <c r="BS117" s="170"/>
      <c r="BT117" s="170"/>
      <c r="BU117" s="170"/>
      <c r="BV117" s="170"/>
      <c r="BW117" s="170"/>
      <c r="BX117" s="171"/>
      <c r="BY117" s="171"/>
      <c r="BZ117" s="170"/>
      <c r="CA117" s="170"/>
      <c r="CB117" s="170"/>
      <c r="CC117" s="170"/>
      <c r="CD117" s="170"/>
      <c r="CE117" s="170"/>
      <c r="CF117" s="170"/>
      <c r="CG117" s="170"/>
    </row>
    <row r="118">
      <c r="A118" s="171"/>
      <c r="B118" s="170"/>
      <c r="C118" s="170"/>
      <c r="D118" s="170"/>
      <c r="E118" s="171"/>
      <c r="F118" s="171"/>
      <c r="G118" s="171"/>
      <c r="H118" s="170"/>
      <c r="I118" s="171"/>
      <c r="J118" s="171"/>
      <c r="K118" s="171"/>
      <c r="L118" s="170"/>
      <c r="M118" s="170"/>
      <c r="N118" s="171"/>
      <c r="O118" s="170"/>
      <c r="P118" s="186"/>
      <c r="Q118" s="170"/>
      <c r="R118" s="170"/>
      <c r="S118" s="170"/>
      <c r="T118" s="170"/>
      <c r="U118" s="170"/>
      <c r="V118" s="170"/>
      <c r="W118" s="170"/>
      <c r="X118" s="170"/>
      <c r="Y118" s="170"/>
      <c r="Z118" s="170"/>
      <c r="AA118" s="170"/>
      <c r="AB118" s="170"/>
      <c r="AC118" s="170"/>
      <c r="AD118" s="170"/>
      <c r="AE118" s="170"/>
      <c r="AF118" s="171"/>
      <c r="AG118" s="170"/>
      <c r="AH118" s="170"/>
      <c r="AI118" s="170"/>
      <c r="AJ118" s="170"/>
      <c r="AK118" s="171"/>
      <c r="AL118" s="171"/>
      <c r="AM118" s="170"/>
      <c r="AN118" s="171"/>
      <c r="AO118" s="170"/>
      <c r="AP118" s="170"/>
      <c r="AQ118" s="171"/>
      <c r="AR118" s="171"/>
      <c r="AS118" s="171"/>
      <c r="AT118" s="170"/>
      <c r="AU118" s="170"/>
      <c r="AV118" s="170"/>
      <c r="AW118" s="170"/>
      <c r="AX118" s="170"/>
      <c r="AY118" s="170"/>
      <c r="AZ118" s="170"/>
      <c r="BA118" s="170"/>
      <c r="BB118" s="170"/>
      <c r="BC118" s="171"/>
      <c r="BD118" s="171"/>
      <c r="BE118" s="171"/>
      <c r="BF118" s="170"/>
      <c r="BG118" s="170"/>
      <c r="BH118" s="171"/>
      <c r="BI118" s="170"/>
      <c r="BJ118" s="170"/>
      <c r="BK118" s="170"/>
      <c r="BL118" s="170"/>
      <c r="BM118" s="171"/>
      <c r="BN118" s="170"/>
      <c r="BO118" s="170"/>
      <c r="BP118" s="170"/>
      <c r="BQ118" s="170"/>
      <c r="BR118" s="170"/>
      <c r="BS118" s="170"/>
      <c r="BT118" s="170"/>
      <c r="BU118" s="170"/>
      <c r="BV118" s="170"/>
      <c r="BW118" s="170"/>
      <c r="BX118" s="171"/>
      <c r="BY118" s="171"/>
      <c r="BZ118" s="170"/>
      <c r="CA118" s="170"/>
      <c r="CB118" s="170"/>
      <c r="CC118" s="170"/>
      <c r="CD118" s="170"/>
      <c r="CE118" s="170"/>
      <c r="CF118" s="170"/>
      <c r="CG118" s="170"/>
    </row>
    <row r="119">
      <c r="A119" s="171"/>
      <c r="B119" s="170"/>
      <c r="C119" s="170"/>
      <c r="D119" s="170"/>
      <c r="E119" s="171"/>
      <c r="F119" s="171"/>
      <c r="G119" s="171"/>
      <c r="H119" s="170"/>
      <c r="I119" s="171"/>
      <c r="J119" s="171"/>
      <c r="K119" s="171"/>
      <c r="L119" s="170"/>
      <c r="M119" s="170"/>
      <c r="N119" s="171"/>
      <c r="O119" s="170"/>
      <c r="P119" s="186"/>
      <c r="Q119" s="170"/>
      <c r="R119" s="170"/>
      <c r="S119" s="170"/>
      <c r="T119" s="170"/>
      <c r="U119" s="170"/>
      <c r="V119" s="170"/>
      <c r="W119" s="170"/>
      <c r="X119" s="170"/>
      <c r="Y119" s="170"/>
      <c r="Z119" s="170"/>
      <c r="AA119" s="170"/>
      <c r="AB119" s="170"/>
      <c r="AC119" s="170"/>
      <c r="AD119" s="170"/>
      <c r="AE119" s="170"/>
      <c r="AF119" s="171"/>
      <c r="AG119" s="170"/>
      <c r="AH119" s="170"/>
      <c r="AI119" s="170"/>
      <c r="AJ119" s="170"/>
      <c r="AK119" s="171"/>
      <c r="AL119" s="171"/>
      <c r="AM119" s="170"/>
      <c r="AN119" s="171"/>
      <c r="AO119" s="170"/>
      <c r="AP119" s="170"/>
      <c r="AQ119" s="171"/>
      <c r="AR119" s="171"/>
      <c r="AS119" s="171"/>
      <c r="AT119" s="170"/>
      <c r="AU119" s="170"/>
      <c r="AV119" s="170"/>
      <c r="AW119" s="170"/>
      <c r="AX119" s="170"/>
      <c r="AY119" s="170"/>
      <c r="AZ119" s="170"/>
      <c r="BA119" s="170"/>
      <c r="BB119" s="170"/>
      <c r="BC119" s="171"/>
      <c r="BD119" s="171"/>
      <c r="BE119" s="171"/>
      <c r="BF119" s="170"/>
      <c r="BG119" s="170"/>
      <c r="BH119" s="171"/>
      <c r="BI119" s="170"/>
      <c r="BJ119" s="170"/>
      <c r="BK119" s="170"/>
      <c r="BL119" s="170"/>
      <c r="BM119" s="171"/>
      <c r="BN119" s="170"/>
      <c r="BO119" s="170"/>
      <c r="BP119" s="170"/>
      <c r="BQ119" s="170"/>
      <c r="BR119" s="170"/>
      <c r="BS119" s="170"/>
      <c r="BT119" s="170"/>
      <c r="BU119" s="170"/>
      <c r="BV119" s="170"/>
      <c r="BW119" s="170"/>
      <c r="BX119" s="171"/>
      <c r="BY119" s="171"/>
      <c r="BZ119" s="170"/>
      <c r="CA119" s="170"/>
      <c r="CB119" s="170"/>
      <c r="CC119" s="170"/>
      <c r="CD119" s="170"/>
      <c r="CE119" s="170"/>
      <c r="CF119" s="170"/>
      <c r="CG119" s="170"/>
    </row>
    <row r="120">
      <c r="A120" s="171"/>
      <c r="B120" s="170"/>
      <c r="C120" s="170"/>
      <c r="D120" s="170"/>
      <c r="E120" s="171"/>
      <c r="F120" s="171"/>
      <c r="G120" s="171"/>
      <c r="H120" s="170"/>
      <c r="I120" s="171"/>
      <c r="J120" s="171"/>
      <c r="K120" s="171"/>
      <c r="L120" s="170"/>
      <c r="M120" s="170"/>
      <c r="N120" s="171"/>
      <c r="O120" s="170"/>
      <c r="P120" s="186"/>
      <c r="Q120" s="170"/>
      <c r="R120" s="170"/>
      <c r="S120" s="170"/>
      <c r="T120" s="170"/>
      <c r="U120" s="170"/>
      <c r="V120" s="170"/>
      <c r="W120" s="170"/>
      <c r="X120" s="170"/>
      <c r="Y120" s="170"/>
      <c r="Z120" s="170"/>
      <c r="AA120" s="170"/>
      <c r="AB120" s="170"/>
      <c r="AC120" s="170"/>
      <c r="AD120" s="170"/>
      <c r="AE120" s="170"/>
      <c r="AF120" s="171"/>
      <c r="AG120" s="170"/>
      <c r="AH120" s="170"/>
      <c r="AI120" s="170"/>
      <c r="AJ120" s="170"/>
      <c r="AK120" s="171"/>
      <c r="AL120" s="171"/>
      <c r="AM120" s="170"/>
      <c r="AN120" s="171"/>
      <c r="AO120" s="170"/>
      <c r="AP120" s="170"/>
      <c r="AQ120" s="171"/>
      <c r="AR120" s="171"/>
      <c r="AS120" s="171"/>
      <c r="AT120" s="170"/>
      <c r="AU120" s="170"/>
      <c r="AV120" s="170"/>
      <c r="AW120" s="170"/>
      <c r="AX120" s="170"/>
      <c r="AY120" s="170"/>
      <c r="AZ120" s="170"/>
      <c r="BA120" s="170"/>
      <c r="BB120" s="170"/>
      <c r="BC120" s="171"/>
      <c r="BD120" s="171"/>
      <c r="BE120" s="171"/>
      <c r="BF120" s="170"/>
      <c r="BG120" s="170"/>
      <c r="BH120" s="171"/>
      <c r="BI120" s="170"/>
      <c r="BJ120" s="170"/>
      <c r="BK120" s="170"/>
      <c r="BL120" s="170"/>
      <c r="BM120" s="171"/>
      <c r="BN120" s="170"/>
      <c r="BO120" s="170"/>
      <c r="BP120" s="170"/>
      <c r="BQ120" s="170"/>
      <c r="BR120" s="170"/>
      <c r="BS120" s="170"/>
      <c r="BT120" s="170"/>
      <c r="BU120" s="170"/>
      <c r="BV120" s="170"/>
      <c r="BW120" s="170"/>
      <c r="BX120" s="171"/>
      <c r="BY120" s="171"/>
      <c r="BZ120" s="170"/>
      <c r="CA120" s="170"/>
      <c r="CB120" s="170"/>
      <c r="CC120" s="170"/>
      <c r="CD120" s="170"/>
      <c r="CE120" s="170"/>
      <c r="CF120" s="170"/>
      <c r="CG120" s="170"/>
    </row>
    <row r="121">
      <c r="A121" s="171"/>
      <c r="B121" s="170"/>
      <c r="C121" s="170"/>
      <c r="D121" s="170"/>
      <c r="E121" s="171"/>
      <c r="F121" s="171"/>
      <c r="G121" s="171"/>
      <c r="H121" s="170"/>
      <c r="I121" s="171"/>
      <c r="J121" s="171"/>
      <c r="K121" s="171"/>
      <c r="L121" s="170"/>
      <c r="M121" s="170"/>
      <c r="N121" s="171"/>
      <c r="O121" s="170"/>
      <c r="P121" s="186"/>
      <c r="Q121" s="170"/>
      <c r="R121" s="170"/>
      <c r="S121" s="170"/>
      <c r="T121" s="170"/>
      <c r="U121" s="170"/>
      <c r="V121" s="170"/>
      <c r="W121" s="170"/>
      <c r="X121" s="170"/>
      <c r="Y121" s="170"/>
      <c r="Z121" s="170"/>
      <c r="AA121" s="170"/>
      <c r="AB121" s="170"/>
      <c r="AC121" s="170"/>
      <c r="AD121" s="170"/>
      <c r="AE121" s="170"/>
      <c r="AF121" s="171"/>
      <c r="AG121" s="170"/>
      <c r="AH121" s="170"/>
      <c r="AI121" s="170"/>
      <c r="AJ121" s="170"/>
      <c r="AK121" s="171"/>
      <c r="AL121" s="171"/>
      <c r="AM121" s="170"/>
      <c r="AN121" s="171"/>
      <c r="AO121" s="170"/>
      <c r="AP121" s="170"/>
      <c r="AQ121" s="171"/>
      <c r="AR121" s="171"/>
      <c r="AS121" s="171"/>
      <c r="AT121" s="170"/>
      <c r="AU121" s="170"/>
      <c r="AV121" s="170"/>
      <c r="AW121" s="170"/>
      <c r="AX121" s="170"/>
      <c r="AY121" s="170"/>
      <c r="AZ121" s="170"/>
      <c r="BA121" s="170"/>
      <c r="BB121" s="170"/>
      <c r="BC121" s="171"/>
      <c r="BD121" s="171"/>
      <c r="BE121" s="171"/>
      <c r="BF121" s="170"/>
      <c r="BG121" s="170"/>
      <c r="BH121" s="171"/>
      <c r="BI121" s="170"/>
      <c r="BJ121" s="170"/>
      <c r="BK121" s="170"/>
      <c r="BL121" s="170"/>
      <c r="BM121" s="171"/>
      <c r="BN121" s="170"/>
      <c r="BO121" s="170"/>
      <c r="BP121" s="170"/>
      <c r="BQ121" s="170"/>
      <c r="BR121" s="170"/>
      <c r="BS121" s="170"/>
      <c r="BT121" s="170"/>
      <c r="BU121" s="170"/>
      <c r="BV121" s="170"/>
      <c r="BW121" s="170"/>
      <c r="BX121" s="171"/>
      <c r="BY121" s="171"/>
      <c r="BZ121" s="170"/>
      <c r="CA121" s="170"/>
      <c r="CB121" s="170"/>
      <c r="CC121" s="170"/>
      <c r="CD121" s="170"/>
      <c r="CE121" s="170"/>
      <c r="CF121" s="170"/>
      <c r="CG121" s="170"/>
    </row>
    <row r="122">
      <c r="A122" s="171"/>
      <c r="B122" s="170"/>
      <c r="C122" s="170"/>
      <c r="D122" s="170"/>
      <c r="E122" s="171"/>
      <c r="F122" s="171"/>
      <c r="G122" s="171"/>
      <c r="H122" s="170"/>
      <c r="I122" s="171"/>
      <c r="J122" s="171"/>
      <c r="K122" s="171"/>
      <c r="L122" s="170"/>
      <c r="M122" s="170"/>
      <c r="N122" s="171"/>
      <c r="O122" s="170"/>
      <c r="P122" s="186"/>
      <c r="Q122" s="170"/>
      <c r="R122" s="170"/>
      <c r="S122" s="170"/>
      <c r="T122" s="170"/>
      <c r="U122" s="170"/>
      <c r="V122" s="170"/>
      <c r="W122" s="170"/>
      <c r="X122" s="170"/>
      <c r="Y122" s="170"/>
      <c r="Z122" s="170"/>
      <c r="AA122" s="170"/>
      <c r="AB122" s="170"/>
      <c r="AC122" s="170"/>
      <c r="AD122" s="170"/>
      <c r="AE122" s="170"/>
      <c r="AF122" s="171"/>
      <c r="AG122" s="170"/>
      <c r="AH122" s="170"/>
      <c r="AI122" s="170"/>
      <c r="AJ122" s="170"/>
      <c r="AK122" s="171"/>
      <c r="AL122" s="171"/>
      <c r="AM122" s="170"/>
      <c r="AN122" s="171"/>
      <c r="AO122" s="170"/>
      <c r="AP122" s="170"/>
      <c r="AQ122" s="171"/>
      <c r="AR122" s="171"/>
      <c r="AS122" s="171"/>
      <c r="AT122" s="170"/>
      <c r="AU122" s="170"/>
      <c r="AV122" s="170"/>
      <c r="AW122" s="170"/>
      <c r="AX122" s="170"/>
      <c r="AY122" s="170"/>
      <c r="AZ122" s="170"/>
      <c r="BA122" s="170"/>
      <c r="BB122" s="170"/>
      <c r="BC122" s="171"/>
      <c r="BD122" s="171"/>
      <c r="BE122" s="171"/>
      <c r="BF122" s="170"/>
      <c r="BG122" s="170"/>
      <c r="BH122" s="171"/>
      <c r="BI122" s="170"/>
      <c r="BJ122" s="170"/>
      <c r="BK122" s="170"/>
      <c r="BL122" s="170"/>
      <c r="BM122" s="171"/>
      <c r="BN122" s="170"/>
      <c r="BO122" s="170"/>
      <c r="BP122" s="170"/>
      <c r="BQ122" s="170"/>
      <c r="BR122" s="170"/>
      <c r="BS122" s="170"/>
      <c r="BT122" s="170"/>
      <c r="BU122" s="170"/>
      <c r="BV122" s="170"/>
      <c r="BW122" s="170"/>
      <c r="BX122" s="171"/>
      <c r="BY122" s="171"/>
      <c r="BZ122" s="170"/>
      <c r="CA122" s="170"/>
      <c r="CB122" s="170"/>
      <c r="CC122" s="170"/>
      <c r="CD122" s="170"/>
      <c r="CE122" s="170"/>
      <c r="CF122" s="170"/>
      <c r="CG122" s="170"/>
    </row>
    <row r="123">
      <c r="A123" s="171"/>
      <c r="B123" s="170"/>
      <c r="C123" s="170"/>
      <c r="D123" s="170"/>
      <c r="E123" s="171"/>
      <c r="F123" s="171"/>
      <c r="G123" s="171"/>
      <c r="H123" s="170"/>
      <c r="I123" s="171"/>
      <c r="J123" s="171"/>
      <c r="K123" s="171"/>
      <c r="L123" s="170"/>
      <c r="M123" s="170"/>
      <c r="N123" s="171"/>
      <c r="O123" s="170"/>
      <c r="P123" s="186"/>
      <c r="Q123" s="170"/>
      <c r="R123" s="170"/>
      <c r="S123" s="170"/>
      <c r="T123" s="170"/>
      <c r="U123" s="170"/>
      <c r="V123" s="170"/>
      <c r="W123" s="170"/>
      <c r="X123" s="170"/>
      <c r="Y123" s="170"/>
      <c r="Z123" s="170"/>
      <c r="AA123" s="170"/>
      <c r="AB123" s="170"/>
      <c r="AC123" s="170"/>
      <c r="AD123" s="170"/>
      <c r="AE123" s="170"/>
      <c r="AF123" s="171"/>
      <c r="AG123" s="170"/>
      <c r="AH123" s="170"/>
      <c r="AI123" s="170"/>
      <c r="AJ123" s="170"/>
      <c r="AK123" s="171"/>
      <c r="AL123" s="171"/>
      <c r="AM123" s="170"/>
      <c r="AN123" s="171"/>
      <c r="AO123" s="170"/>
      <c r="AP123" s="170"/>
      <c r="AQ123" s="171"/>
      <c r="AR123" s="171"/>
      <c r="AS123" s="171"/>
      <c r="AT123" s="170"/>
      <c r="AU123" s="170"/>
      <c r="AV123" s="170"/>
      <c r="AW123" s="170"/>
      <c r="AX123" s="170"/>
      <c r="AY123" s="170"/>
      <c r="AZ123" s="170"/>
      <c r="BA123" s="170"/>
      <c r="BB123" s="170"/>
      <c r="BC123" s="171"/>
      <c r="BD123" s="171"/>
      <c r="BE123" s="171"/>
      <c r="BF123" s="170"/>
      <c r="BG123" s="170"/>
      <c r="BH123" s="171"/>
      <c r="BI123" s="170"/>
      <c r="BJ123" s="170"/>
      <c r="BK123" s="170"/>
      <c r="BL123" s="170"/>
      <c r="BM123" s="171"/>
      <c r="BN123" s="170"/>
      <c r="BO123" s="170"/>
      <c r="BP123" s="170"/>
      <c r="BQ123" s="170"/>
      <c r="BR123" s="170"/>
      <c r="BS123" s="170"/>
      <c r="BT123" s="170"/>
      <c r="BU123" s="170"/>
      <c r="BV123" s="170"/>
      <c r="BW123" s="170"/>
      <c r="BX123" s="171"/>
      <c r="BY123" s="171"/>
      <c r="BZ123" s="170"/>
      <c r="CA123" s="170"/>
      <c r="CB123" s="170"/>
      <c r="CC123" s="170"/>
      <c r="CD123" s="170"/>
      <c r="CE123" s="170"/>
      <c r="CF123" s="170"/>
      <c r="CG123" s="170"/>
    </row>
    <row r="124">
      <c r="A124" s="171"/>
      <c r="B124" s="170"/>
      <c r="C124" s="170"/>
      <c r="D124" s="170"/>
      <c r="E124" s="171"/>
      <c r="F124" s="171"/>
      <c r="G124" s="171"/>
      <c r="H124" s="170"/>
      <c r="I124" s="171"/>
      <c r="J124" s="171"/>
      <c r="K124" s="171"/>
      <c r="L124" s="170"/>
      <c r="M124" s="170"/>
      <c r="N124" s="171"/>
      <c r="O124" s="170"/>
      <c r="P124" s="186"/>
      <c r="Q124" s="170"/>
      <c r="R124" s="170"/>
      <c r="S124" s="170"/>
      <c r="T124" s="170"/>
      <c r="U124" s="170"/>
      <c r="V124" s="170"/>
      <c r="W124" s="170"/>
      <c r="X124" s="170"/>
      <c r="Y124" s="170"/>
      <c r="Z124" s="170"/>
      <c r="AA124" s="170"/>
      <c r="AB124" s="170"/>
      <c r="AC124" s="170"/>
      <c r="AD124" s="170"/>
      <c r="AE124" s="170"/>
      <c r="AF124" s="171"/>
      <c r="AG124" s="170"/>
      <c r="AH124" s="170"/>
      <c r="AI124" s="170"/>
      <c r="AJ124" s="170"/>
      <c r="AK124" s="171"/>
      <c r="AL124" s="171"/>
      <c r="AM124" s="170"/>
      <c r="AN124" s="171"/>
      <c r="AO124" s="170"/>
      <c r="AP124" s="170"/>
      <c r="AQ124" s="171"/>
      <c r="AR124" s="171"/>
      <c r="AS124" s="171"/>
      <c r="AT124" s="170"/>
      <c r="AU124" s="170"/>
      <c r="AV124" s="170"/>
      <c r="AW124" s="170"/>
      <c r="AX124" s="170"/>
      <c r="AY124" s="170"/>
      <c r="AZ124" s="170"/>
      <c r="BA124" s="170"/>
      <c r="BB124" s="170"/>
      <c r="BC124" s="171"/>
      <c r="BD124" s="171"/>
      <c r="BE124" s="171"/>
      <c r="BF124" s="170"/>
      <c r="BG124" s="170"/>
      <c r="BH124" s="171"/>
      <c r="BI124" s="170"/>
      <c r="BJ124" s="170"/>
      <c r="BK124" s="170"/>
      <c r="BL124" s="170"/>
      <c r="BM124" s="171"/>
      <c r="BN124" s="170"/>
      <c r="BO124" s="170"/>
      <c r="BP124" s="170"/>
      <c r="BQ124" s="170"/>
      <c r="BR124" s="170"/>
      <c r="BS124" s="170"/>
      <c r="BT124" s="170"/>
      <c r="BU124" s="170"/>
      <c r="BV124" s="170"/>
      <c r="BW124" s="170"/>
      <c r="BX124" s="171"/>
      <c r="BY124" s="171"/>
      <c r="BZ124" s="170"/>
      <c r="CA124" s="170"/>
      <c r="CB124" s="170"/>
      <c r="CC124" s="170"/>
      <c r="CD124" s="170"/>
      <c r="CE124" s="170"/>
      <c r="CF124" s="170"/>
      <c r="CG124" s="170"/>
    </row>
    <row r="125">
      <c r="A125" s="171"/>
      <c r="B125" s="170"/>
      <c r="C125" s="170"/>
      <c r="D125" s="170"/>
      <c r="E125" s="171"/>
      <c r="F125" s="171"/>
      <c r="G125" s="171"/>
      <c r="H125" s="170"/>
      <c r="I125" s="171"/>
      <c r="J125" s="171"/>
      <c r="K125" s="171"/>
      <c r="L125" s="170"/>
      <c r="M125" s="170"/>
      <c r="N125" s="171"/>
      <c r="O125" s="170"/>
      <c r="P125" s="186"/>
      <c r="Q125" s="170"/>
      <c r="R125" s="170"/>
      <c r="S125" s="170"/>
      <c r="T125" s="170"/>
      <c r="U125" s="170"/>
      <c r="V125" s="170"/>
      <c r="W125" s="170"/>
      <c r="X125" s="170"/>
      <c r="Y125" s="170"/>
      <c r="Z125" s="170"/>
      <c r="AA125" s="170"/>
      <c r="AB125" s="170"/>
      <c r="AC125" s="170"/>
      <c r="AD125" s="170"/>
      <c r="AE125" s="170"/>
      <c r="AF125" s="171"/>
      <c r="AG125" s="170"/>
      <c r="AH125" s="170"/>
      <c r="AI125" s="170"/>
      <c r="AJ125" s="170"/>
      <c r="AK125" s="171"/>
      <c r="AL125" s="171"/>
      <c r="AM125" s="170"/>
      <c r="AN125" s="171"/>
      <c r="AO125" s="170"/>
      <c r="AP125" s="170"/>
      <c r="AQ125" s="171"/>
      <c r="AR125" s="171"/>
      <c r="AS125" s="171"/>
      <c r="AT125" s="170"/>
      <c r="AU125" s="170"/>
      <c r="AV125" s="170"/>
      <c r="AW125" s="170"/>
      <c r="AX125" s="170"/>
      <c r="AY125" s="170"/>
      <c r="AZ125" s="170"/>
      <c r="BA125" s="170"/>
      <c r="BB125" s="170"/>
      <c r="BC125" s="171"/>
      <c r="BD125" s="171"/>
      <c r="BE125" s="171"/>
      <c r="BF125" s="170"/>
      <c r="BG125" s="170"/>
      <c r="BH125" s="171"/>
      <c r="BI125" s="170"/>
      <c r="BJ125" s="170"/>
      <c r="BK125" s="170"/>
      <c r="BL125" s="170"/>
      <c r="BM125" s="171"/>
      <c r="BN125" s="170"/>
      <c r="BO125" s="170"/>
      <c r="BP125" s="170"/>
      <c r="BQ125" s="170"/>
      <c r="BR125" s="170"/>
      <c r="BS125" s="170"/>
      <c r="BT125" s="170"/>
      <c r="BU125" s="170"/>
      <c r="BV125" s="170"/>
      <c r="BW125" s="170"/>
      <c r="BX125" s="171"/>
      <c r="BY125" s="171"/>
      <c r="BZ125" s="170"/>
      <c r="CA125" s="170"/>
      <c r="CB125" s="170"/>
      <c r="CC125" s="170"/>
      <c r="CD125" s="170"/>
      <c r="CE125" s="170"/>
      <c r="CF125" s="170"/>
      <c r="CG125" s="170"/>
    </row>
    <row r="126">
      <c r="A126" s="171"/>
      <c r="B126" s="170"/>
      <c r="C126" s="170"/>
      <c r="D126" s="170"/>
      <c r="E126" s="171"/>
      <c r="F126" s="171"/>
      <c r="G126" s="171"/>
      <c r="H126" s="170"/>
      <c r="I126" s="171"/>
      <c r="J126" s="171"/>
      <c r="K126" s="171"/>
      <c r="L126" s="170"/>
      <c r="M126" s="170"/>
      <c r="N126" s="171"/>
      <c r="O126" s="170"/>
      <c r="P126" s="186"/>
      <c r="Q126" s="170"/>
      <c r="R126" s="170"/>
      <c r="S126" s="170"/>
      <c r="T126" s="170"/>
      <c r="U126" s="170"/>
      <c r="V126" s="170"/>
      <c r="W126" s="170"/>
      <c r="X126" s="170"/>
      <c r="Y126" s="170"/>
      <c r="Z126" s="170"/>
      <c r="AA126" s="170"/>
      <c r="AB126" s="170"/>
      <c r="AC126" s="170"/>
      <c r="AD126" s="170"/>
      <c r="AE126" s="170"/>
      <c r="AF126" s="171"/>
      <c r="AG126" s="170"/>
      <c r="AH126" s="170"/>
      <c r="AI126" s="170"/>
      <c r="AJ126" s="170"/>
      <c r="AK126" s="171"/>
      <c r="AL126" s="171"/>
      <c r="AM126" s="170"/>
      <c r="AN126" s="171"/>
      <c r="AO126" s="170"/>
      <c r="AP126" s="170"/>
      <c r="AQ126" s="171"/>
      <c r="AR126" s="171"/>
      <c r="AS126" s="171"/>
      <c r="AT126" s="170"/>
      <c r="AU126" s="170"/>
      <c r="AV126" s="170"/>
      <c r="AW126" s="170"/>
      <c r="AX126" s="170"/>
      <c r="AY126" s="170"/>
      <c r="AZ126" s="170"/>
      <c r="BA126" s="170"/>
      <c r="BB126" s="170"/>
      <c r="BC126" s="171"/>
      <c r="BD126" s="171"/>
      <c r="BE126" s="171"/>
      <c r="BF126" s="170"/>
      <c r="BG126" s="170"/>
      <c r="BH126" s="171"/>
      <c r="BI126" s="170"/>
      <c r="BJ126" s="170"/>
      <c r="BK126" s="170"/>
      <c r="BL126" s="170"/>
      <c r="BM126" s="171"/>
      <c r="BN126" s="170"/>
      <c r="BO126" s="170"/>
      <c r="BP126" s="170"/>
      <c r="BQ126" s="170"/>
      <c r="BR126" s="170"/>
      <c r="BS126" s="170"/>
      <c r="BT126" s="170"/>
      <c r="BU126" s="170"/>
      <c r="BV126" s="170"/>
      <c r="BW126" s="170"/>
      <c r="BX126" s="171"/>
      <c r="BY126" s="171"/>
      <c r="BZ126" s="170"/>
      <c r="CA126" s="170"/>
      <c r="CB126" s="170"/>
      <c r="CC126" s="170"/>
      <c r="CD126" s="170"/>
      <c r="CE126" s="170"/>
      <c r="CF126" s="170"/>
      <c r="CG126" s="170"/>
    </row>
    <row r="127">
      <c r="A127" s="171"/>
      <c r="B127" s="170"/>
      <c r="C127" s="170"/>
      <c r="D127" s="170"/>
      <c r="E127" s="171"/>
      <c r="F127" s="171"/>
      <c r="G127" s="171"/>
      <c r="H127" s="170"/>
      <c r="I127" s="171"/>
      <c r="J127" s="171"/>
      <c r="K127" s="171"/>
      <c r="L127" s="170"/>
      <c r="M127" s="170"/>
      <c r="N127" s="171"/>
      <c r="O127" s="170"/>
      <c r="P127" s="186"/>
      <c r="Q127" s="170"/>
      <c r="R127" s="170"/>
      <c r="S127" s="170"/>
      <c r="T127" s="170"/>
      <c r="U127" s="170"/>
      <c r="V127" s="170"/>
      <c r="W127" s="170"/>
      <c r="X127" s="170"/>
      <c r="Y127" s="170"/>
      <c r="Z127" s="170"/>
      <c r="AA127" s="170"/>
      <c r="AB127" s="170"/>
      <c r="AC127" s="170"/>
      <c r="AD127" s="170"/>
      <c r="AE127" s="170"/>
      <c r="AF127" s="171"/>
      <c r="AG127" s="170"/>
      <c r="AH127" s="170"/>
      <c r="AI127" s="170"/>
      <c r="AJ127" s="170"/>
      <c r="AK127" s="171"/>
      <c r="AL127" s="171"/>
      <c r="AM127" s="170"/>
      <c r="AN127" s="171"/>
      <c r="AO127" s="170"/>
      <c r="AP127" s="170"/>
      <c r="AQ127" s="171"/>
      <c r="AR127" s="171"/>
      <c r="AS127" s="171"/>
      <c r="AT127" s="170"/>
      <c r="AU127" s="170"/>
      <c r="AV127" s="170"/>
      <c r="AW127" s="170"/>
      <c r="AX127" s="170"/>
      <c r="AY127" s="170"/>
      <c r="AZ127" s="170"/>
      <c r="BA127" s="170"/>
      <c r="BB127" s="170"/>
      <c r="BC127" s="171"/>
      <c r="BD127" s="171"/>
      <c r="BE127" s="171"/>
      <c r="BF127" s="170"/>
      <c r="BG127" s="170"/>
      <c r="BH127" s="171"/>
      <c r="BI127" s="170"/>
      <c r="BJ127" s="170"/>
      <c r="BK127" s="170"/>
      <c r="BL127" s="170"/>
      <c r="BM127" s="171"/>
      <c r="BN127" s="170"/>
      <c r="BO127" s="170"/>
      <c r="BP127" s="170"/>
      <c r="BQ127" s="170"/>
      <c r="BR127" s="170"/>
      <c r="BS127" s="170"/>
      <c r="BT127" s="170"/>
      <c r="BU127" s="170"/>
      <c r="BV127" s="170"/>
      <c r="BW127" s="170"/>
      <c r="BX127" s="171"/>
      <c r="BY127" s="171"/>
      <c r="BZ127" s="170"/>
      <c r="CA127" s="170"/>
      <c r="CB127" s="170"/>
      <c r="CC127" s="170"/>
      <c r="CD127" s="170"/>
      <c r="CE127" s="170"/>
      <c r="CF127" s="170"/>
      <c r="CG127" s="170"/>
    </row>
    <row r="128">
      <c r="A128" s="171"/>
      <c r="B128" s="170"/>
      <c r="C128" s="170"/>
      <c r="D128" s="170"/>
      <c r="E128" s="171"/>
      <c r="F128" s="171"/>
      <c r="G128" s="171"/>
      <c r="H128" s="170"/>
      <c r="I128" s="171"/>
      <c r="J128" s="171"/>
      <c r="K128" s="171"/>
      <c r="L128" s="170"/>
      <c r="M128" s="170"/>
      <c r="N128" s="171"/>
      <c r="O128" s="170"/>
      <c r="P128" s="186"/>
      <c r="Q128" s="170"/>
      <c r="R128" s="170"/>
      <c r="S128" s="170"/>
      <c r="T128" s="170"/>
      <c r="U128" s="170"/>
      <c r="V128" s="170"/>
      <c r="W128" s="170"/>
      <c r="X128" s="170"/>
      <c r="Y128" s="170"/>
      <c r="Z128" s="170"/>
      <c r="AA128" s="170"/>
      <c r="AB128" s="170"/>
      <c r="AC128" s="170"/>
      <c r="AD128" s="170"/>
      <c r="AE128" s="170"/>
      <c r="AF128" s="171"/>
      <c r="AG128" s="170"/>
      <c r="AH128" s="170"/>
      <c r="AI128" s="170"/>
      <c r="AJ128" s="170"/>
      <c r="AK128" s="171"/>
      <c r="AL128" s="171"/>
      <c r="AM128" s="170"/>
      <c r="AN128" s="171"/>
      <c r="AO128" s="170"/>
      <c r="AP128" s="170"/>
      <c r="AQ128" s="171"/>
      <c r="AR128" s="171"/>
      <c r="AS128" s="171"/>
      <c r="AT128" s="170"/>
      <c r="AU128" s="170"/>
      <c r="AV128" s="170"/>
      <c r="AW128" s="170"/>
      <c r="AX128" s="170"/>
      <c r="AY128" s="170"/>
      <c r="AZ128" s="170"/>
      <c r="BA128" s="170"/>
      <c r="BB128" s="170"/>
      <c r="BC128" s="171"/>
      <c r="BD128" s="171"/>
      <c r="BE128" s="171"/>
      <c r="BF128" s="170"/>
      <c r="BG128" s="170"/>
      <c r="BH128" s="171"/>
      <c r="BI128" s="170"/>
      <c r="BJ128" s="170"/>
      <c r="BK128" s="170"/>
      <c r="BL128" s="170"/>
      <c r="BM128" s="171"/>
      <c r="BN128" s="170"/>
      <c r="BO128" s="170"/>
      <c r="BP128" s="170"/>
      <c r="BQ128" s="170"/>
      <c r="BR128" s="170"/>
      <c r="BS128" s="170"/>
      <c r="BT128" s="170"/>
      <c r="BU128" s="170"/>
      <c r="BV128" s="170"/>
      <c r="BW128" s="170"/>
      <c r="BX128" s="171"/>
      <c r="BY128" s="171"/>
      <c r="BZ128" s="170"/>
      <c r="CA128" s="170"/>
      <c r="CB128" s="170"/>
      <c r="CC128" s="170"/>
      <c r="CD128" s="170"/>
      <c r="CE128" s="170"/>
      <c r="CF128" s="170"/>
      <c r="CG128" s="170"/>
    </row>
    <row r="129">
      <c r="A129" s="171"/>
      <c r="B129" s="170"/>
      <c r="C129" s="170"/>
      <c r="D129" s="170"/>
      <c r="E129" s="171"/>
      <c r="F129" s="171"/>
      <c r="G129" s="171"/>
      <c r="H129" s="170"/>
      <c r="I129" s="171"/>
      <c r="J129" s="171"/>
      <c r="K129" s="171"/>
      <c r="L129" s="170"/>
      <c r="M129" s="170"/>
      <c r="N129" s="171"/>
      <c r="O129" s="170"/>
      <c r="P129" s="186"/>
      <c r="Q129" s="170"/>
      <c r="R129" s="170"/>
      <c r="S129" s="170"/>
      <c r="T129" s="170"/>
      <c r="U129" s="170"/>
      <c r="V129" s="170"/>
      <c r="W129" s="170"/>
      <c r="X129" s="170"/>
      <c r="Y129" s="170"/>
      <c r="Z129" s="170"/>
      <c r="AA129" s="170"/>
      <c r="AB129" s="170"/>
      <c r="AC129" s="170"/>
      <c r="AD129" s="170"/>
      <c r="AE129" s="170"/>
      <c r="AF129" s="171"/>
      <c r="AG129" s="170"/>
      <c r="AH129" s="170"/>
      <c r="AI129" s="170"/>
      <c r="AJ129" s="170"/>
      <c r="AK129" s="171"/>
      <c r="AL129" s="171"/>
      <c r="AM129" s="170"/>
      <c r="AN129" s="171"/>
      <c r="AO129" s="170"/>
      <c r="AP129" s="170"/>
      <c r="AQ129" s="171"/>
      <c r="AR129" s="171"/>
      <c r="AS129" s="171"/>
      <c r="AT129" s="170"/>
      <c r="AU129" s="170"/>
      <c r="AV129" s="170"/>
      <c r="AW129" s="170"/>
      <c r="AX129" s="170"/>
      <c r="AY129" s="170"/>
      <c r="AZ129" s="170"/>
      <c r="BA129" s="170"/>
      <c r="BB129" s="170"/>
      <c r="BC129" s="171"/>
      <c r="BD129" s="171"/>
      <c r="BE129" s="171"/>
      <c r="BF129" s="170"/>
      <c r="BG129" s="170"/>
      <c r="BH129" s="171"/>
      <c r="BI129" s="170"/>
      <c r="BJ129" s="170"/>
      <c r="BK129" s="170"/>
      <c r="BL129" s="170"/>
      <c r="BM129" s="171"/>
      <c r="BN129" s="170"/>
      <c r="BO129" s="170"/>
      <c r="BP129" s="170"/>
      <c r="BQ129" s="170"/>
      <c r="BR129" s="170"/>
      <c r="BS129" s="170"/>
      <c r="BT129" s="170"/>
      <c r="BU129" s="170"/>
      <c r="BV129" s="170"/>
      <c r="BW129" s="170"/>
      <c r="BX129" s="171"/>
      <c r="BY129" s="171"/>
      <c r="BZ129" s="170"/>
      <c r="CA129" s="170"/>
      <c r="CB129" s="170"/>
      <c r="CC129" s="170"/>
      <c r="CD129" s="170"/>
      <c r="CE129" s="170"/>
      <c r="CF129" s="170"/>
      <c r="CG129" s="170"/>
    </row>
    <row r="130">
      <c r="A130" s="171"/>
      <c r="B130" s="170"/>
      <c r="C130" s="170"/>
      <c r="D130" s="170"/>
      <c r="E130" s="171"/>
      <c r="F130" s="171"/>
      <c r="G130" s="171"/>
      <c r="H130" s="170"/>
      <c r="I130" s="171"/>
      <c r="J130" s="171"/>
      <c r="K130" s="171"/>
      <c r="L130" s="170"/>
      <c r="M130" s="170"/>
      <c r="N130" s="171"/>
      <c r="O130" s="170"/>
      <c r="P130" s="186"/>
      <c r="Q130" s="170"/>
      <c r="R130" s="170"/>
      <c r="S130" s="170"/>
      <c r="T130" s="170"/>
      <c r="U130" s="170"/>
      <c r="V130" s="170"/>
      <c r="W130" s="170"/>
      <c r="X130" s="170"/>
      <c r="Y130" s="170"/>
      <c r="Z130" s="170"/>
      <c r="AA130" s="170"/>
      <c r="AB130" s="170"/>
      <c r="AC130" s="170"/>
      <c r="AD130" s="170"/>
      <c r="AE130" s="170"/>
      <c r="AF130" s="171"/>
      <c r="AG130" s="170"/>
      <c r="AH130" s="170"/>
      <c r="AI130" s="170"/>
      <c r="AJ130" s="170"/>
      <c r="AK130" s="171"/>
      <c r="AL130" s="171"/>
      <c r="AM130" s="170"/>
      <c r="AN130" s="171"/>
      <c r="AO130" s="170"/>
      <c r="AP130" s="170"/>
      <c r="AQ130" s="171"/>
      <c r="AR130" s="171"/>
      <c r="AS130" s="171"/>
      <c r="AT130" s="170"/>
      <c r="AU130" s="170"/>
      <c r="AV130" s="170"/>
      <c r="AW130" s="170"/>
      <c r="AX130" s="170"/>
      <c r="AY130" s="170"/>
      <c r="AZ130" s="170"/>
      <c r="BA130" s="170"/>
      <c r="BB130" s="170"/>
      <c r="BC130" s="171"/>
      <c r="BD130" s="171"/>
      <c r="BE130" s="171"/>
      <c r="BF130" s="170"/>
      <c r="BG130" s="170"/>
      <c r="BH130" s="171"/>
      <c r="BI130" s="170"/>
      <c r="BJ130" s="170"/>
      <c r="BK130" s="170"/>
      <c r="BL130" s="170"/>
      <c r="BM130" s="171"/>
      <c r="BN130" s="170"/>
      <c r="BO130" s="170"/>
      <c r="BP130" s="170"/>
      <c r="BQ130" s="170"/>
      <c r="BR130" s="170"/>
      <c r="BS130" s="170"/>
      <c r="BT130" s="170"/>
      <c r="BU130" s="170"/>
      <c r="BV130" s="170"/>
      <c r="BW130" s="170"/>
      <c r="BX130" s="171"/>
      <c r="BY130" s="171"/>
      <c r="BZ130" s="170"/>
      <c r="CA130" s="170"/>
      <c r="CB130" s="170"/>
      <c r="CC130" s="170"/>
      <c r="CD130" s="170"/>
      <c r="CE130" s="170"/>
      <c r="CF130" s="170"/>
      <c r="CG130" s="170"/>
    </row>
    <row r="131">
      <c r="A131" s="171"/>
      <c r="B131" s="170"/>
      <c r="C131" s="170"/>
      <c r="D131" s="170"/>
      <c r="E131" s="171"/>
      <c r="F131" s="171"/>
      <c r="G131" s="171"/>
      <c r="H131" s="170"/>
      <c r="I131" s="171"/>
      <c r="J131" s="171"/>
      <c r="K131" s="171"/>
      <c r="L131" s="170"/>
      <c r="M131" s="170"/>
      <c r="N131" s="171"/>
      <c r="O131" s="170"/>
      <c r="P131" s="186"/>
      <c r="Q131" s="170"/>
      <c r="R131" s="170"/>
      <c r="S131" s="170"/>
      <c r="T131" s="170"/>
      <c r="U131" s="170"/>
      <c r="V131" s="170"/>
      <c r="W131" s="170"/>
      <c r="X131" s="170"/>
      <c r="Y131" s="170"/>
      <c r="Z131" s="170"/>
      <c r="AA131" s="170"/>
      <c r="AB131" s="170"/>
      <c r="AC131" s="170"/>
      <c r="AD131" s="170"/>
      <c r="AE131" s="170"/>
      <c r="AF131" s="171"/>
      <c r="AG131" s="170"/>
      <c r="AH131" s="170"/>
      <c r="AI131" s="170"/>
      <c r="AJ131" s="170"/>
      <c r="AK131" s="171"/>
      <c r="AL131" s="171"/>
      <c r="AM131" s="170"/>
      <c r="AN131" s="171"/>
      <c r="AO131" s="170"/>
      <c r="AP131" s="170"/>
      <c r="AQ131" s="171"/>
      <c r="AR131" s="171"/>
      <c r="AS131" s="171"/>
      <c r="AT131" s="170"/>
      <c r="AU131" s="170"/>
      <c r="AV131" s="170"/>
      <c r="AW131" s="170"/>
      <c r="AX131" s="170"/>
      <c r="AY131" s="170"/>
      <c r="AZ131" s="170"/>
      <c r="BA131" s="170"/>
      <c r="BB131" s="170"/>
      <c r="BC131" s="171"/>
      <c r="BD131" s="171"/>
      <c r="BE131" s="171"/>
      <c r="BF131" s="170"/>
      <c r="BG131" s="170"/>
      <c r="BH131" s="171"/>
      <c r="BI131" s="170"/>
      <c r="BJ131" s="170"/>
      <c r="BK131" s="170"/>
      <c r="BL131" s="170"/>
      <c r="BM131" s="171"/>
      <c r="BN131" s="170"/>
      <c r="BO131" s="170"/>
      <c r="BP131" s="170"/>
      <c r="BQ131" s="170"/>
      <c r="BR131" s="170"/>
      <c r="BS131" s="170"/>
      <c r="BT131" s="170"/>
      <c r="BU131" s="170"/>
      <c r="BV131" s="170"/>
      <c r="BW131" s="170"/>
      <c r="BX131" s="171"/>
      <c r="BY131" s="171"/>
      <c r="BZ131" s="170"/>
      <c r="CA131" s="170"/>
      <c r="CB131" s="170"/>
      <c r="CC131" s="170"/>
      <c r="CD131" s="170"/>
      <c r="CE131" s="170"/>
      <c r="CF131" s="170"/>
      <c r="CG131" s="170"/>
    </row>
    <row r="132">
      <c r="A132" s="171"/>
      <c r="B132" s="170"/>
      <c r="C132" s="170"/>
      <c r="D132" s="170"/>
      <c r="E132" s="171"/>
      <c r="F132" s="171"/>
      <c r="G132" s="171"/>
      <c r="H132" s="170"/>
      <c r="I132" s="171"/>
      <c r="J132" s="171"/>
      <c r="K132" s="171"/>
      <c r="L132" s="170"/>
      <c r="M132" s="170"/>
      <c r="N132" s="171"/>
      <c r="O132" s="170"/>
      <c r="P132" s="186"/>
      <c r="Q132" s="170"/>
      <c r="R132" s="170"/>
      <c r="S132" s="170"/>
      <c r="T132" s="170"/>
      <c r="U132" s="170"/>
      <c r="V132" s="170"/>
      <c r="W132" s="170"/>
      <c r="X132" s="170"/>
      <c r="Y132" s="170"/>
      <c r="Z132" s="170"/>
      <c r="AA132" s="170"/>
      <c r="AB132" s="170"/>
      <c r="AC132" s="170"/>
      <c r="AD132" s="170"/>
      <c r="AE132" s="170"/>
      <c r="AF132" s="171"/>
      <c r="AG132" s="170"/>
      <c r="AH132" s="170"/>
      <c r="AI132" s="170"/>
      <c r="AJ132" s="170"/>
      <c r="AK132" s="171"/>
      <c r="AL132" s="171"/>
      <c r="AM132" s="170"/>
      <c r="AN132" s="171"/>
      <c r="AO132" s="170"/>
      <c r="AP132" s="170"/>
      <c r="AQ132" s="171"/>
      <c r="AR132" s="171"/>
      <c r="AS132" s="171"/>
      <c r="AT132" s="170"/>
      <c r="AU132" s="170"/>
      <c r="AV132" s="170"/>
      <c r="AW132" s="170"/>
      <c r="AX132" s="170"/>
      <c r="AY132" s="170"/>
      <c r="AZ132" s="170"/>
      <c r="BA132" s="170"/>
      <c r="BB132" s="170"/>
      <c r="BC132" s="171"/>
      <c r="BD132" s="171"/>
      <c r="BE132" s="171"/>
      <c r="BF132" s="170"/>
      <c r="BG132" s="170"/>
      <c r="BH132" s="171"/>
      <c r="BI132" s="170"/>
      <c r="BJ132" s="170"/>
      <c r="BK132" s="170"/>
      <c r="BL132" s="170"/>
      <c r="BM132" s="171"/>
      <c r="BN132" s="170"/>
      <c r="BO132" s="170"/>
      <c r="BP132" s="170"/>
      <c r="BQ132" s="170"/>
      <c r="BR132" s="170"/>
      <c r="BS132" s="170"/>
      <c r="BT132" s="170"/>
      <c r="BU132" s="170"/>
      <c r="BV132" s="170"/>
      <c r="BW132" s="170"/>
      <c r="BX132" s="171"/>
      <c r="BY132" s="171"/>
      <c r="BZ132" s="170"/>
      <c r="CA132" s="170"/>
      <c r="CB132" s="170"/>
      <c r="CC132" s="170"/>
      <c r="CD132" s="170"/>
      <c r="CE132" s="170"/>
      <c r="CF132" s="170"/>
      <c r="CG132" s="170"/>
    </row>
    <row r="133">
      <c r="A133" s="171"/>
      <c r="B133" s="170"/>
      <c r="C133" s="170"/>
      <c r="D133" s="170"/>
      <c r="E133" s="171"/>
      <c r="F133" s="171"/>
      <c r="G133" s="171"/>
      <c r="H133" s="170"/>
      <c r="I133" s="171"/>
      <c r="J133" s="171"/>
      <c r="K133" s="171"/>
      <c r="L133" s="170"/>
      <c r="M133" s="170"/>
      <c r="N133" s="171"/>
      <c r="O133" s="170"/>
      <c r="P133" s="186"/>
      <c r="Q133" s="170"/>
      <c r="R133" s="170"/>
      <c r="S133" s="170"/>
      <c r="T133" s="170"/>
      <c r="U133" s="170"/>
      <c r="V133" s="170"/>
      <c r="W133" s="170"/>
      <c r="X133" s="170"/>
      <c r="Y133" s="170"/>
      <c r="Z133" s="170"/>
      <c r="AA133" s="170"/>
      <c r="AB133" s="170"/>
      <c r="AC133" s="170"/>
      <c r="AD133" s="170"/>
      <c r="AE133" s="170"/>
      <c r="AF133" s="171"/>
      <c r="AG133" s="170"/>
      <c r="AH133" s="170"/>
      <c r="AI133" s="170"/>
      <c r="AJ133" s="170"/>
      <c r="AK133" s="171"/>
      <c r="AL133" s="171"/>
      <c r="AM133" s="170"/>
      <c r="AN133" s="171"/>
      <c r="AO133" s="170"/>
      <c r="AP133" s="170"/>
      <c r="AQ133" s="171"/>
      <c r="AR133" s="171"/>
      <c r="AS133" s="171"/>
      <c r="AT133" s="170"/>
      <c r="AU133" s="170"/>
      <c r="AV133" s="170"/>
      <c r="AW133" s="170"/>
      <c r="AX133" s="170"/>
      <c r="AY133" s="170"/>
      <c r="AZ133" s="170"/>
      <c r="BA133" s="170"/>
      <c r="BB133" s="170"/>
      <c r="BC133" s="171"/>
      <c r="BD133" s="171"/>
      <c r="BE133" s="171"/>
      <c r="BF133" s="170"/>
      <c r="BG133" s="170"/>
      <c r="BH133" s="171"/>
      <c r="BI133" s="170"/>
      <c r="BJ133" s="170"/>
      <c r="BK133" s="170"/>
      <c r="BL133" s="170"/>
      <c r="BM133" s="171"/>
      <c r="BN133" s="170"/>
      <c r="BO133" s="170"/>
      <c r="BP133" s="170"/>
      <c r="BQ133" s="170"/>
      <c r="BR133" s="170"/>
      <c r="BS133" s="170"/>
      <c r="BT133" s="170"/>
      <c r="BU133" s="170"/>
      <c r="BV133" s="170"/>
      <c r="BW133" s="170"/>
      <c r="BX133" s="171"/>
      <c r="BY133" s="171"/>
      <c r="BZ133" s="170"/>
      <c r="CA133" s="170"/>
      <c r="CB133" s="170"/>
      <c r="CC133" s="170"/>
      <c r="CD133" s="170"/>
      <c r="CE133" s="170"/>
      <c r="CF133" s="170"/>
      <c r="CG133" s="170"/>
    </row>
    <row r="134">
      <c r="A134" s="171"/>
      <c r="B134" s="170"/>
      <c r="C134" s="170"/>
      <c r="D134" s="170"/>
      <c r="E134" s="171"/>
      <c r="F134" s="171"/>
      <c r="G134" s="171"/>
      <c r="H134" s="170"/>
      <c r="I134" s="171"/>
      <c r="J134" s="171"/>
      <c r="K134" s="171"/>
      <c r="L134" s="170"/>
      <c r="M134" s="170"/>
      <c r="N134" s="171"/>
      <c r="O134" s="170"/>
      <c r="P134" s="186"/>
      <c r="Q134" s="170"/>
      <c r="R134" s="170"/>
      <c r="S134" s="170"/>
      <c r="T134" s="170"/>
      <c r="U134" s="170"/>
      <c r="V134" s="170"/>
      <c r="W134" s="170"/>
      <c r="X134" s="170"/>
      <c r="Y134" s="170"/>
      <c r="Z134" s="170"/>
      <c r="AA134" s="170"/>
      <c r="AB134" s="170"/>
      <c r="AC134" s="170"/>
      <c r="AD134" s="170"/>
      <c r="AE134" s="170"/>
      <c r="AF134" s="171"/>
      <c r="AG134" s="170"/>
      <c r="AH134" s="170"/>
      <c r="AI134" s="170"/>
      <c r="AJ134" s="170"/>
      <c r="AK134" s="171"/>
      <c r="AL134" s="171"/>
      <c r="AM134" s="170"/>
      <c r="AN134" s="171"/>
      <c r="AO134" s="170"/>
      <c r="AP134" s="170"/>
      <c r="AQ134" s="171"/>
      <c r="AR134" s="171"/>
      <c r="AS134" s="171"/>
      <c r="AT134" s="170"/>
      <c r="AU134" s="170"/>
      <c r="AV134" s="170"/>
      <c r="AW134" s="170"/>
      <c r="AX134" s="170"/>
      <c r="AY134" s="170"/>
      <c r="AZ134" s="170"/>
      <c r="BA134" s="170"/>
      <c r="BB134" s="170"/>
      <c r="BC134" s="171"/>
      <c r="BD134" s="171"/>
      <c r="BE134" s="171"/>
      <c r="BF134" s="170"/>
      <c r="BG134" s="170"/>
      <c r="BH134" s="171"/>
      <c r="BI134" s="170"/>
      <c r="BJ134" s="170"/>
      <c r="BK134" s="170"/>
      <c r="BL134" s="170"/>
      <c r="BM134" s="171"/>
      <c r="BN134" s="170"/>
      <c r="BO134" s="170"/>
      <c r="BP134" s="170"/>
      <c r="BQ134" s="170"/>
      <c r="BR134" s="170"/>
      <c r="BS134" s="170"/>
      <c r="BT134" s="170"/>
      <c r="BU134" s="170"/>
      <c r="BV134" s="170"/>
      <c r="BW134" s="170"/>
      <c r="BX134" s="171"/>
      <c r="BY134" s="171"/>
      <c r="BZ134" s="170"/>
      <c r="CA134" s="170"/>
      <c r="CB134" s="170"/>
      <c r="CC134" s="170"/>
      <c r="CD134" s="170"/>
      <c r="CE134" s="170"/>
      <c r="CF134" s="170"/>
      <c r="CG134" s="170"/>
    </row>
    <row r="135">
      <c r="A135" s="171"/>
      <c r="B135" s="170"/>
      <c r="C135" s="170"/>
      <c r="D135" s="170"/>
      <c r="E135" s="171"/>
      <c r="F135" s="171"/>
      <c r="G135" s="171"/>
      <c r="H135" s="170"/>
      <c r="I135" s="171"/>
      <c r="J135" s="171"/>
      <c r="K135" s="171"/>
      <c r="L135" s="170"/>
      <c r="M135" s="170"/>
      <c r="N135" s="171"/>
      <c r="O135" s="170"/>
      <c r="P135" s="186"/>
      <c r="Q135" s="170"/>
      <c r="R135" s="170"/>
      <c r="S135" s="170"/>
      <c r="T135" s="170"/>
      <c r="U135" s="170"/>
      <c r="V135" s="170"/>
      <c r="W135" s="170"/>
      <c r="X135" s="170"/>
      <c r="Y135" s="170"/>
      <c r="Z135" s="170"/>
      <c r="AA135" s="170"/>
      <c r="AB135" s="170"/>
      <c r="AC135" s="170"/>
      <c r="AD135" s="170"/>
      <c r="AE135" s="170"/>
      <c r="AF135" s="171"/>
      <c r="AG135" s="170"/>
      <c r="AH135" s="170"/>
      <c r="AI135" s="170"/>
      <c r="AJ135" s="170"/>
      <c r="AK135" s="171"/>
      <c r="AL135" s="171"/>
      <c r="AM135" s="170"/>
      <c r="AN135" s="171"/>
      <c r="AO135" s="170"/>
      <c r="AP135" s="170"/>
      <c r="AQ135" s="171"/>
      <c r="AR135" s="171"/>
      <c r="AS135" s="171"/>
      <c r="AT135" s="170"/>
      <c r="AU135" s="170"/>
      <c r="AV135" s="170"/>
      <c r="AW135" s="170"/>
      <c r="AX135" s="170"/>
      <c r="AY135" s="170"/>
      <c r="AZ135" s="170"/>
      <c r="BA135" s="170"/>
      <c r="BB135" s="170"/>
      <c r="BC135" s="171"/>
      <c r="BD135" s="171"/>
      <c r="BE135" s="171"/>
      <c r="BF135" s="170"/>
      <c r="BG135" s="170"/>
      <c r="BH135" s="171"/>
      <c r="BI135" s="170"/>
      <c r="BJ135" s="170"/>
      <c r="BK135" s="170"/>
      <c r="BL135" s="170"/>
      <c r="BM135" s="171"/>
      <c r="BN135" s="170"/>
      <c r="BO135" s="170"/>
      <c r="BP135" s="170"/>
      <c r="BQ135" s="170"/>
      <c r="BR135" s="170"/>
      <c r="BS135" s="170"/>
      <c r="BT135" s="170"/>
      <c r="BU135" s="170"/>
      <c r="BV135" s="170"/>
      <c r="BW135" s="170"/>
      <c r="BX135" s="171"/>
      <c r="BY135" s="171"/>
      <c r="BZ135" s="170"/>
      <c r="CA135" s="170"/>
      <c r="CB135" s="170"/>
      <c r="CC135" s="170"/>
      <c r="CD135" s="170"/>
      <c r="CE135" s="170"/>
      <c r="CF135" s="170"/>
      <c r="CG135" s="170"/>
    </row>
    <row r="136">
      <c r="A136" s="171"/>
      <c r="B136" s="170"/>
      <c r="C136" s="170"/>
      <c r="D136" s="170"/>
      <c r="E136" s="171"/>
      <c r="F136" s="171"/>
      <c r="G136" s="171"/>
      <c r="H136" s="170"/>
      <c r="I136" s="171"/>
      <c r="J136" s="171"/>
      <c r="K136" s="171"/>
      <c r="L136" s="170"/>
      <c r="M136" s="170"/>
      <c r="N136" s="171"/>
      <c r="O136" s="170"/>
      <c r="P136" s="186"/>
      <c r="Q136" s="170"/>
      <c r="R136" s="170"/>
      <c r="S136" s="170"/>
      <c r="T136" s="170"/>
      <c r="U136" s="170"/>
      <c r="V136" s="170"/>
      <c r="W136" s="170"/>
      <c r="X136" s="170"/>
      <c r="Y136" s="170"/>
      <c r="Z136" s="170"/>
      <c r="AA136" s="170"/>
      <c r="AB136" s="170"/>
      <c r="AC136" s="170"/>
      <c r="AD136" s="170"/>
      <c r="AE136" s="170"/>
      <c r="AF136" s="171"/>
      <c r="AG136" s="170"/>
      <c r="AH136" s="170"/>
      <c r="AI136" s="170"/>
      <c r="AJ136" s="170"/>
      <c r="AK136" s="171"/>
      <c r="AL136" s="171"/>
      <c r="AM136" s="170"/>
      <c r="AN136" s="171"/>
      <c r="AO136" s="170"/>
      <c r="AP136" s="170"/>
      <c r="AQ136" s="171"/>
      <c r="AR136" s="171"/>
      <c r="AS136" s="171"/>
      <c r="AT136" s="170"/>
      <c r="AU136" s="170"/>
      <c r="AV136" s="170"/>
      <c r="AW136" s="170"/>
      <c r="AX136" s="170"/>
      <c r="AY136" s="170"/>
      <c r="AZ136" s="170"/>
      <c r="BA136" s="170"/>
      <c r="BB136" s="170"/>
      <c r="BC136" s="171"/>
      <c r="BD136" s="171"/>
      <c r="BE136" s="171"/>
      <c r="BF136" s="170"/>
      <c r="BG136" s="170"/>
      <c r="BH136" s="171"/>
      <c r="BI136" s="170"/>
      <c r="BJ136" s="170"/>
      <c r="BK136" s="170"/>
      <c r="BL136" s="170"/>
      <c r="BM136" s="171"/>
      <c r="BN136" s="170"/>
      <c r="BO136" s="170"/>
      <c r="BP136" s="170"/>
      <c r="BQ136" s="170"/>
      <c r="BR136" s="170"/>
      <c r="BS136" s="170"/>
      <c r="BT136" s="170"/>
      <c r="BU136" s="170"/>
      <c r="BV136" s="170"/>
      <c r="BW136" s="170"/>
      <c r="BX136" s="171"/>
      <c r="BY136" s="171"/>
      <c r="BZ136" s="170"/>
      <c r="CA136" s="170"/>
      <c r="CB136" s="170"/>
      <c r="CC136" s="170"/>
      <c r="CD136" s="170"/>
      <c r="CE136" s="170"/>
      <c r="CF136" s="170"/>
      <c r="CG136" s="170"/>
    </row>
    <row r="137">
      <c r="A137" s="171"/>
      <c r="B137" s="170"/>
      <c r="C137" s="170"/>
      <c r="D137" s="170"/>
      <c r="E137" s="171"/>
      <c r="F137" s="171"/>
      <c r="G137" s="171"/>
      <c r="H137" s="170"/>
      <c r="I137" s="171"/>
      <c r="J137" s="171"/>
      <c r="K137" s="171"/>
      <c r="L137" s="170"/>
      <c r="M137" s="170"/>
      <c r="N137" s="171"/>
      <c r="O137" s="170"/>
      <c r="P137" s="186"/>
      <c r="Q137" s="170"/>
      <c r="R137" s="170"/>
      <c r="S137" s="170"/>
      <c r="T137" s="170"/>
      <c r="U137" s="170"/>
      <c r="V137" s="170"/>
      <c r="W137" s="170"/>
      <c r="X137" s="170"/>
      <c r="Y137" s="170"/>
      <c r="Z137" s="170"/>
      <c r="AA137" s="170"/>
      <c r="AB137" s="170"/>
      <c r="AC137" s="170"/>
      <c r="AD137" s="170"/>
      <c r="AE137" s="170"/>
      <c r="AF137" s="171"/>
      <c r="AG137" s="170"/>
      <c r="AH137" s="170"/>
      <c r="AI137" s="170"/>
      <c r="AJ137" s="170"/>
      <c r="AK137" s="171"/>
      <c r="AL137" s="171"/>
      <c r="AM137" s="170"/>
      <c r="AN137" s="171"/>
      <c r="AO137" s="170"/>
      <c r="AP137" s="170"/>
      <c r="AQ137" s="171"/>
      <c r="AR137" s="171"/>
      <c r="AS137" s="171"/>
      <c r="AT137" s="170"/>
      <c r="AU137" s="170"/>
      <c r="AV137" s="170"/>
      <c r="AW137" s="170"/>
      <c r="AX137" s="170"/>
      <c r="AY137" s="170"/>
      <c r="AZ137" s="170"/>
      <c r="BA137" s="170"/>
      <c r="BB137" s="170"/>
      <c r="BC137" s="171"/>
      <c r="BD137" s="171"/>
      <c r="BE137" s="171"/>
      <c r="BF137" s="170"/>
      <c r="BG137" s="170"/>
      <c r="BH137" s="171"/>
      <c r="BI137" s="170"/>
      <c r="BJ137" s="170"/>
      <c r="BK137" s="170"/>
      <c r="BL137" s="170"/>
      <c r="BM137" s="171"/>
      <c r="BN137" s="170"/>
      <c r="BO137" s="170"/>
      <c r="BP137" s="170"/>
      <c r="BQ137" s="170"/>
      <c r="BR137" s="170"/>
      <c r="BS137" s="170"/>
      <c r="BT137" s="170"/>
      <c r="BU137" s="170"/>
      <c r="BV137" s="170"/>
      <c r="BW137" s="170"/>
      <c r="BX137" s="171"/>
      <c r="BY137" s="171"/>
      <c r="BZ137" s="170"/>
      <c r="CA137" s="170"/>
      <c r="CB137" s="170"/>
      <c r="CC137" s="170"/>
      <c r="CD137" s="170"/>
      <c r="CE137" s="170"/>
      <c r="CF137" s="170"/>
      <c r="CG137" s="170"/>
    </row>
    <row r="138">
      <c r="A138" s="171"/>
      <c r="B138" s="170"/>
      <c r="C138" s="170"/>
      <c r="D138" s="170"/>
      <c r="E138" s="171"/>
      <c r="F138" s="171"/>
      <c r="G138" s="171"/>
      <c r="H138" s="170"/>
      <c r="I138" s="171"/>
      <c r="J138" s="171"/>
      <c r="K138" s="171"/>
      <c r="L138" s="170"/>
      <c r="M138" s="170"/>
      <c r="N138" s="171"/>
      <c r="O138" s="170"/>
      <c r="P138" s="186"/>
      <c r="Q138" s="170"/>
      <c r="R138" s="170"/>
      <c r="S138" s="170"/>
      <c r="T138" s="170"/>
      <c r="U138" s="170"/>
      <c r="V138" s="170"/>
      <c r="W138" s="170"/>
      <c r="X138" s="170"/>
      <c r="Y138" s="170"/>
      <c r="Z138" s="170"/>
      <c r="AA138" s="170"/>
      <c r="AB138" s="170"/>
      <c r="AC138" s="170"/>
      <c r="AD138" s="170"/>
      <c r="AE138" s="170"/>
      <c r="AF138" s="171"/>
      <c r="AG138" s="170"/>
      <c r="AH138" s="170"/>
      <c r="AI138" s="170"/>
      <c r="AJ138" s="170"/>
      <c r="AK138" s="171"/>
      <c r="AL138" s="171"/>
      <c r="AM138" s="170"/>
      <c r="AN138" s="171"/>
      <c r="AO138" s="170"/>
      <c r="AP138" s="170"/>
      <c r="AQ138" s="171"/>
      <c r="AR138" s="171"/>
      <c r="AS138" s="171"/>
      <c r="AT138" s="170"/>
      <c r="AU138" s="170"/>
      <c r="AV138" s="170"/>
      <c r="AW138" s="170"/>
      <c r="AX138" s="170"/>
      <c r="AY138" s="170"/>
      <c r="AZ138" s="170"/>
      <c r="BA138" s="170"/>
      <c r="BB138" s="170"/>
      <c r="BC138" s="171"/>
      <c r="BD138" s="171"/>
      <c r="BE138" s="171"/>
      <c r="BF138" s="170"/>
      <c r="BG138" s="170"/>
      <c r="BH138" s="171"/>
      <c r="BI138" s="170"/>
      <c r="BJ138" s="170"/>
      <c r="BK138" s="170"/>
      <c r="BL138" s="170"/>
      <c r="BM138" s="171"/>
      <c r="BN138" s="170"/>
      <c r="BO138" s="170"/>
      <c r="BP138" s="170"/>
      <c r="BQ138" s="170"/>
      <c r="BR138" s="170"/>
      <c r="BS138" s="170"/>
      <c r="BT138" s="170"/>
      <c r="BU138" s="170"/>
      <c r="BV138" s="170"/>
      <c r="BW138" s="170"/>
      <c r="BX138" s="171"/>
      <c r="BY138" s="171"/>
      <c r="BZ138" s="170"/>
      <c r="CA138" s="170"/>
      <c r="CB138" s="170"/>
      <c r="CC138" s="170"/>
      <c r="CD138" s="170"/>
      <c r="CE138" s="170"/>
      <c r="CF138" s="170"/>
      <c r="CG138" s="170"/>
    </row>
    <row r="139">
      <c r="A139" s="171"/>
      <c r="B139" s="170"/>
      <c r="C139" s="170"/>
      <c r="D139" s="170"/>
      <c r="E139" s="171"/>
      <c r="F139" s="171"/>
      <c r="G139" s="171"/>
      <c r="H139" s="170"/>
      <c r="I139" s="171"/>
      <c r="J139" s="171"/>
      <c r="K139" s="171"/>
      <c r="L139" s="170"/>
      <c r="M139" s="170"/>
      <c r="N139" s="171"/>
      <c r="O139" s="170"/>
      <c r="P139" s="186"/>
      <c r="Q139" s="170"/>
      <c r="R139" s="170"/>
      <c r="S139" s="170"/>
      <c r="T139" s="170"/>
      <c r="U139" s="170"/>
      <c r="V139" s="170"/>
      <c r="W139" s="170"/>
      <c r="X139" s="170"/>
      <c r="Y139" s="170"/>
      <c r="Z139" s="170"/>
      <c r="AA139" s="170"/>
      <c r="AB139" s="170"/>
      <c r="AC139" s="170"/>
      <c r="AD139" s="170"/>
      <c r="AE139" s="170"/>
      <c r="AF139" s="171"/>
      <c r="AG139" s="170"/>
      <c r="AH139" s="170"/>
      <c r="AI139" s="170"/>
      <c r="AJ139" s="170"/>
      <c r="AK139" s="171"/>
      <c r="AL139" s="171"/>
      <c r="AM139" s="170"/>
      <c r="AN139" s="171"/>
      <c r="AO139" s="170"/>
      <c r="AP139" s="170"/>
      <c r="AQ139" s="171"/>
      <c r="AR139" s="171"/>
      <c r="AS139" s="171"/>
      <c r="AT139" s="170"/>
      <c r="AU139" s="170"/>
      <c r="AV139" s="170"/>
      <c r="AW139" s="170"/>
      <c r="AX139" s="170"/>
      <c r="AY139" s="170"/>
      <c r="AZ139" s="170"/>
      <c r="BA139" s="170"/>
      <c r="BB139" s="170"/>
      <c r="BC139" s="171"/>
      <c r="BD139" s="171"/>
      <c r="BE139" s="171"/>
      <c r="BF139" s="170"/>
      <c r="BG139" s="170"/>
      <c r="BH139" s="171"/>
      <c r="BI139" s="170"/>
      <c r="BJ139" s="170"/>
      <c r="BK139" s="170"/>
      <c r="BL139" s="170"/>
      <c r="BM139" s="171"/>
      <c r="BN139" s="170"/>
      <c r="BO139" s="170"/>
      <c r="BP139" s="170"/>
      <c r="BQ139" s="170"/>
      <c r="BR139" s="170"/>
      <c r="BS139" s="170"/>
      <c r="BT139" s="170"/>
      <c r="BU139" s="170"/>
      <c r="BV139" s="170"/>
      <c r="BW139" s="170"/>
      <c r="BX139" s="171"/>
      <c r="BY139" s="171"/>
      <c r="BZ139" s="170"/>
      <c r="CA139" s="170"/>
      <c r="CB139" s="170"/>
      <c r="CC139" s="170"/>
      <c r="CD139" s="170"/>
      <c r="CE139" s="170"/>
      <c r="CF139" s="170"/>
      <c r="CG139" s="170"/>
    </row>
    <row r="140">
      <c r="A140" s="171"/>
      <c r="B140" s="170"/>
      <c r="C140" s="170"/>
      <c r="D140" s="170"/>
      <c r="E140" s="171"/>
      <c r="F140" s="171"/>
      <c r="G140" s="171"/>
      <c r="H140" s="170"/>
      <c r="I140" s="171"/>
      <c r="J140" s="171"/>
      <c r="K140" s="171"/>
      <c r="L140" s="170"/>
      <c r="M140" s="170"/>
      <c r="N140" s="171"/>
      <c r="O140" s="170"/>
      <c r="P140" s="186"/>
      <c r="Q140" s="170"/>
      <c r="R140" s="170"/>
      <c r="S140" s="170"/>
      <c r="T140" s="170"/>
      <c r="U140" s="170"/>
      <c r="V140" s="170"/>
      <c r="W140" s="170"/>
      <c r="X140" s="170"/>
      <c r="Y140" s="170"/>
      <c r="Z140" s="170"/>
      <c r="AA140" s="170"/>
      <c r="AB140" s="170"/>
      <c r="AC140" s="170"/>
      <c r="AD140" s="170"/>
      <c r="AE140" s="170"/>
      <c r="AF140" s="171"/>
      <c r="AG140" s="170"/>
      <c r="AH140" s="170"/>
      <c r="AI140" s="170"/>
      <c r="AJ140" s="170"/>
      <c r="AK140" s="171"/>
      <c r="AL140" s="171"/>
      <c r="AM140" s="170"/>
      <c r="AN140" s="171"/>
      <c r="AO140" s="170"/>
      <c r="AP140" s="170"/>
      <c r="AQ140" s="171"/>
      <c r="AR140" s="171"/>
      <c r="AS140" s="171"/>
      <c r="AT140" s="170"/>
      <c r="AU140" s="170"/>
      <c r="AV140" s="170"/>
      <c r="AW140" s="170"/>
      <c r="AX140" s="170"/>
      <c r="AY140" s="170"/>
      <c r="AZ140" s="170"/>
      <c r="BA140" s="170"/>
      <c r="BB140" s="170"/>
      <c r="BC140" s="171"/>
      <c r="BD140" s="171"/>
      <c r="BE140" s="171"/>
      <c r="BF140" s="170"/>
      <c r="BG140" s="170"/>
      <c r="BH140" s="171"/>
      <c r="BI140" s="170"/>
      <c r="BJ140" s="170"/>
      <c r="BK140" s="170"/>
      <c r="BL140" s="170"/>
      <c r="BM140" s="171"/>
      <c r="BN140" s="170"/>
      <c r="BO140" s="170"/>
      <c r="BP140" s="170"/>
      <c r="BQ140" s="170"/>
      <c r="BR140" s="170"/>
      <c r="BS140" s="170"/>
      <c r="BT140" s="170"/>
      <c r="BU140" s="170"/>
      <c r="BV140" s="170"/>
      <c r="BW140" s="170"/>
      <c r="BX140" s="171"/>
      <c r="BY140" s="171"/>
      <c r="BZ140" s="170"/>
      <c r="CA140" s="170"/>
      <c r="CB140" s="170"/>
      <c r="CC140" s="170"/>
      <c r="CD140" s="170"/>
      <c r="CE140" s="170"/>
      <c r="CF140" s="170"/>
      <c r="CG140" s="170"/>
    </row>
    <row r="141">
      <c r="A141" s="171"/>
      <c r="B141" s="170"/>
      <c r="C141" s="170"/>
      <c r="D141" s="170"/>
      <c r="E141" s="171"/>
      <c r="F141" s="171"/>
      <c r="G141" s="171"/>
      <c r="H141" s="170"/>
      <c r="I141" s="171"/>
      <c r="J141" s="171"/>
      <c r="K141" s="171"/>
      <c r="L141" s="170"/>
      <c r="M141" s="170"/>
      <c r="N141" s="171"/>
      <c r="O141" s="170"/>
      <c r="P141" s="186"/>
      <c r="Q141" s="170"/>
      <c r="R141" s="170"/>
      <c r="S141" s="170"/>
      <c r="T141" s="170"/>
      <c r="U141" s="170"/>
      <c r="V141" s="170"/>
      <c r="W141" s="170"/>
      <c r="X141" s="170"/>
      <c r="Y141" s="170"/>
      <c r="Z141" s="170"/>
      <c r="AA141" s="170"/>
      <c r="AB141" s="170"/>
      <c r="AC141" s="170"/>
      <c r="AD141" s="170"/>
      <c r="AE141" s="170"/>
      <c r="AF141" s="171"/>
      <c r="AG141" s="170"/>
      <c r="AH141" s="170"/>
      <c r="AI141" s="170"/>
      <c r="AJ141" s="170"/>
      <c r="AK141" s="171"/>
      <c r="AL141" s="171"/>
      <c r="AM141" s="170"/>
      <c r="AN141" s="171"/>
      <c r="AO141" s="170"/>
      <c r="AP141" s="170"/>
      <c r="AQ141" s="171"/>
      <c r="AR141" s="171"/>
      <c r="AS141" s="171"/>
      <c r="AT141" s="170"/>
      <c r="AU141" s="170"/>
      <c r="AV141" s="170"/>
      <c r="AW141" s="170"/>
      <c r="AX141" s="170"/>
      <c r="AY141" s="170"/>
      <c r="AZ141" s="170"/>
      <c r="BA141" s="170"/>
      <c r="BB141" s="170"/>
      <c r="BC141" s="171"/>
      <c r="BD141" s="171"/>
      <c r="BE141" s="171"/>
      <c r="BF141" s="170"/>
      <c r="BG141" s="170"/>
      <c r="BH141" s="171"/>
      <c r="BI141" s="170"/>
      <c r="BJ141" s="170"/>
      <c r="BK141" s="170"/>
      <c r="BL141" s="170"/>
      <c r="BM141" s="171"/>
      <c r="BN141" s="170"/>
      <c r="BO141" s="170"/>
      <c r="BP141" s="170"/>
      <c r="BQ141" s="170"/>
      <c r="BR141" s="170"/>
      <c r="BS141" s="170"/>
      <c r="BT141" s="170"/>
      <c r="BU141" s="170"/>
      <c r="BV141" s="170"/>
      <c r="BW141" s="170"/>
      <c r="BX141" s="171"/>
      <c r="BY141" s="171"/>
      <c r="BZ141" s="170"/>
      <c r="CA141" s="170"/>
      <c r="CB141" s="170"/>
      <c r="CC141" s="170"/>
      <c r="CD141" s="170"/>
      <c r="CE141" s="170"/>
      <c r="CF141" s="170"/>
      <c r="CG141" s="170"/>
    </row>
    <row r="142">
      <c r="A142" s="171"/>
      <c r="B142" s="170"/>
      <c r="C142" s="170"/>
      <c r="D142" s="170"/>
      <c r="E142" s="171"/>
      <c r="F142" s="171"/>
      <c r="G142" s="171"/>
      <c r="H142" s="170"/>
      <c r="I142" s="171"/>
      <c r="J142" s="171"/>
      <c r="K142" s="171"/>
      <c r="L142" s="170"/>
      <c r="M142" s="170"/>
      <c r="N142" s="171"/>
      <c r="O142" s="170"/>
      <c r="P142" s="186"/>
      <c r="Q142" s="170"/>
      <c r="R142" s="170"/>
      <c r="S142" s="170"/>
      <c r="T142" s="170"/>
      <c r="U142" s="170"/>
      <c r="V142" s="170"/>
      <c r="W142" s="170"/>
      <c r="X142" s="170"/>
      <c r="Y142" s="170"/>
      <c r="Z142" s="170"/>
      <c r="AA142" s="170"/>
      <c r="AB142" s="170"/>
      <c r="AC142" s="170"/>
      <c r="AD142" s="170"/>
      <c r="AE142" s="170"/>
      <c r="AF142" s="171"/>
      <c r="AG142" s="170"/>
      <c r="AH142" s="170"/>
      <c r="AI142" s="170"/>
      <c r="AJ142" s="170"/>
      <c r="AK142" s="171"/>
      <c r="AL142" s="171"/>
      <c r="AM142" s="170"/>
      <c r="AN142" s="171"/>
      <c r="AO142" s="170"/>
      <c r="AP142" s="170"/>
      <c r="AQ142" s="171"/>
      <c r="AR142" s="171"/>
      <c r="AS142" s="171"/>
      <c r="AT142" s="170"/>
      <c r="AU142" s="170"/>
      <c r="AV142" s="170"/>
      <c r="AW142" s="170"/>
      <c r="AX142" s="170"/>
      <c r="AY142" s="170"/>
      <c r="AZ142" s="170"/>
      <c r="BA142" s="170"/>
      <c r="BB142" s="170"/>
      <c r="BC142" s="171"/>
      <c r="BD142" s="171"/>
      <c r="BE142" s="171"/>
      <c r="BF142" s="170"/>
      <c r="BG142" s="170"/>
      <c r="BH142" s="171"/>
      <c r="BI142" s="170"/>
      <c r="BJ142" s="170"/>
      <c r="BK142" s="170"/>
      <c r="BL142" s="170"/>
      <c r="BM142" s="171"/>
      <c r="BN142" s="170"/>
      <c r="BO142" s="170"/>
      <c r="BP142" s="170"/>
      <c r="BQ142" s="170"/>
      <c r="BR142" s="170"/>
      <c r="BS142" s="170"/>
      <c r="BT142" s="170"/>
      <c r="BU142" s="170"/>
      <c r="BV142" s="170"/>
      <c r="BW142" s="170"/>
      <c r="BX142" s="171"/>
      <c r="BY142" s="171"/>
      <c r="BZ142" s="170"/>
      <c r="CA142" s="170"/>
      <c r="CB142" s="170"/>
      <c r="CC142" s="170"/>
      <c r="CD142" s="170"/>
      <c r="CE142" s="170"/>
      <c r="CF142" s="170"/>
      <c r="CG142" s="170"/>
    </row>
    <row r="143">
      <c r="A143" s="171"/>
      <c r="B143" s="170"/>
      <c r="C143" s="170"/>
      <c r="D143" s="170"/>
      <c r="E143" s="171"/>
      <c r="F143" s="171"/>
      <c r="G143" s="171"/>
      <c r="H143" s="170"/>
      <c r="I143" s="171"/>
      <c r="J143" s="171"/>
      <c r="K143" s="171"/>
      <c r="L143" s="170"/>
      <c r="M143" s="170"/>
      <c r="N143" s="171"/>
      <c r="O143" s="170"/>
      <c r="P143" s="186"/>
      <c r="Q143" s="170"/>
      <c r="R143" s="170"/>
      <c r="S143" s="170"/>
      <c r="T143" s="170"/>
      <c r="U143" s="170"/>
      <c r="V143" s="170"/>
      <c r="W143" s="170"/>
      <c r="X143" s="170"/>
      <c r="Y143" s="170"/>
      <c r="Z143" s="170"/>
      <c r="AA143" s="170"/>
      <c r="AB143" s="170"/>
      <c r="AC143" s="170"/>
      <c r="AD143" s="170"/>
      <c r="AE143" s="170"/>
      <c r="AF143" s="171"/>
      <c r="AG143" s="170"/>
      <c r="AH143" s="170"/>
      <c r="AI143" s="170"/>
      <c r="AJ143" s="170"/>
      <c r="AK143" s="171"/>
      <c r="AL143" s="171"/>
      <c r="AM143" s="170"/>
      <c r="AN143" s="171"/>
      <c r="AO143" s="170"/>
      <c r="AP143" s="170"/>
      <c r="AQ143" s="171"/>
      <c r="AR143" s="171"/>
      <c r="AS143" s="171"/>
      <c r="AT143" s="170"/>
      <c r="AU143" s="170"/>
      <c r="AV143" s="170"/>
      <c r="AW143" s="170"/>
      <c r="AX143" s="170"/>
      <c r="AY143" s="170"/>
      <c r="AZ143" s="170"/>
      <c r="BA143" s="170"/>
      <c r="BB143" s="170"/>
      <c r="BC143" s="171"/>
      <c r="BD143" s="171"/>
      <c r="BE143" s="171"/>
      <c r="BF143" s="170"/>
      <c r="BG143" s="170"/>
      <c r="BH143" s="171"/>
      <c r="BI143" s="170"/>
      <c r="BJ143" s="170"/>
      <c r="BK143" s="170"/>
      <c r="BL143" s="170"/>
      <c r="BM143" s="171"/>
      <c r="BN143" s="170"/>
      <c r="BO143" s="170"/>
      <c r="BP143" s="170"/>
      <c r="BQ143" s="170"/>
      <c r="BR143" s="170"/>
      <c r="BS143" s="170"/>
      <c r="BT143" s="170"/>
      <c r="BU143" s="170"/>
      <c r="BV143" s="170"/>
      <c r="BW143" s="170"/>
      <c r="BX143" s="171"/>
      <c r="BY143" s="171"/>
      <c r="BZ143" s="170"/>
      <c r="CA143" s="170"/>
      <c r="CB143" s="170"/>
      <c r="CC143" s="170"/>
      <c r="CD143" s="170"/>
      <c r="CE143" s="170"/>
      <c r="CF143" s="170"/>
      <c r="CG143" s="170"/>
    </row>
    <row r="144">
      <c r="A144" s="171"/>
      <c r="B144" s="170"/>
      <c r="C144" s="170"/>
      <c r="D144" s="170"/>
      <c r="E144" s="171"/>
      <c r="F144" s="171"/>
      <c r="G144" s="171"/>
      <c r="H144" s="170"/>
      <c r="I144" s="171"/>
      <c r="J144" s="171"/>
      <c r="K144" s="171"/>
      <c r="L144" s="170"/>
      <c r="M144" s="170"/>
      <c r="N144" s="171"/>
      <c r="O144" s="170"/>
      <c r="P144" s="186"/>
      <c r="Q144" s="170"/>
      <c r="R144" s="170"/>
      <c r="S144" s="170"/>
      <c r="T144" s="170"/>
      <c r="U144" s="170"/>
      <c r="V144" s="170"/>
      <c r="W144" s="170"/>
      <c r="X144" s="170"/>
      <c r="Y144" s="170"/>
      <c r="Z144" s="170"/>
      <c r="AA144" s="170"/>
      <c r="AB144" s="170"/>
      <c r="AC144" s="170"/>
      <c r="AD144" s="170"/>
      <c r="AE144" s="170"/>
      <c r="AF144" s="171"/>
      <c r="AG144" s="170"/>
      <c r="AH144" s="170"/>
      <c r="AI144" s="170"/>
      <c r="AJ144" s="170"/>
      <c r="AK144" s="171"/>
      <c r="AL144" s="171"/>
      <c r="AM144" s="170"/>
      <c r="AN144" s="171"/>
      <c r="AO144" s="170"/>
      <c r="AP144" s="170"/>
      <c r="AQ144" s="171"/>
      <c r="AR144" s="171"/>
      <c r="AS144" s="171"/>
      <c r="AT144" s="170"/>
      <c r="AU144" s="170"/>
      <c r="AV144" s="170"/>
      <c r="AW144" s="170"/>
      <c r="AX144" s="170"/>
      <c r="AY144" s="170"/>
      <c r="AZ144" s="170"/>
      <c r="BA144" s="170"/>
      <c r="BB144" s="170"/>
      <c r="BC144" s="171"/>
      <c r="BD144" s="171"/>
      <c r="BE144" s="171"/>
      <c r="BF144" s="170"/>
      <c r="BG144" s="170"/>
      <c r="BH144" s="171"/>
      <c r="BI144" s="170"/>
      <c r="BJ144" s="170"/>
      <c r="BK144" s="170"/>
      <c r="BL144" s="170"/>
      <c r="BM144" s="171"/>
      <c r="BN144" s="170"/>
      <c r="BO144" s="170"/>
      <c r="BP144" s="170"/>
      <c r="BQ144" s="170"/>
      <c r="BR144" s="170"/>
      <c r="BS144" s="170"/>
      <c r="BT144" s="170"/>
      <c r="BU144" s="170"/>
      <c r="BV144" s="170"/>
      <c r="BW144" s="170"/>
      <c r="BX144" s="171"/>
      <c r="BY144" s="171"/>
      <c r="BZ144" s="170"/>
      <c r="CA144" s="170"/>
      <c r="CB144" s="170"/>
      <c r="CC144" s="170"/>
      <c r="CD144" s="170"/>
      <c r="CE144" s="170"/>
      <c r="CF144" s="170"/>
      <c r="CG144" s="170"/>
    </row>
    <row r="145">
      <c r="A145" s="171"/>
      <c r="B145" s="170"/>
      <c r="C145" s="170"/>
      <c r="D145" s="170"/>
      <c r="E145" s="171"/>
      <c r="F145" s="171"/>
      <c r="G145" s="171"/>
      <c r="H145" s="170"/>
      <c r="I145" s="171"/>
      <c r="J145" s="171"/>
      <c r="K145" s="171"/>
      <c r="L145" s="170"/>
      <c r="M145" s="170"/>
      <c r="N145" s="171"/>
      <c r="O145" s="170"/>
      <c r="P145" s="186"/>
      <c r="Q145" s="170"/>
      <c r="R145" s="170"/>
      <c r="S145" s="170"/>
      <c r="T145" s="170"/>
      <c r="U145" s="170"/>
      <c r="V145" s="170"/>
      <c r="W145" s="170"/>
      <c r="X145" s="170"/>
      <c r="Y145" s="170"/>
      <c r="Z145" s="170"/>
      <c r="AA145" s="170"/>
      <c r="AB145" s="170"/>
      <c r="AC145" s="170"/>
      <c r="AD145" s="170"/>
      <c r="AE145" s="170"/>
      <c r="AF145" s="171"/>
      <c r="AG145" s="170"/>
      <c r="AH145" s="170"/>
      <c r="AI145" s="170"/>
      <c r="AJ145" s="170"/>
      <c r="AK145" s="171"/>
      <c r="AL145" s="171"/>
      <c r="AM145" s="170"/>
      <c r="AN145" s="171"/>
      <c r="AO145" s="170"/>
      <c r="AP145" s="170"/>
      <c r="AQ145" s="171"/>
      <c r="AR145" s="171"/>
      <c r="AS145" s="171"/>
      <c r="AT145" s="170"/>
      <c r="AU145" s="170"/>
      <c r="AV145" s="170"/>
      <c r="AW145" s="170"/>
      <c r="AX145" s="170"/>
      <c r="AY145" s="170"/>
      <c r="AZ145" s="170"/>
      <c r="BA145" s="170"/>
      <c r="BB145" s="170"/>
      <c r="BC145" s="171"/>
      <c r="BD145" s="171"/>
      <c r="BE145" s="171"/>
      <c r="BF145" s="170"/>
      <c r="BG145" s="170"/>
      <c r="BH145" s="171"/>
      <c r="BI145" s="170"/>
      <c r="BJ145" s="170"/>
      <c r="BK145" s="170"/>
      <c r="BL145" s="170"/>
      <c r="BM145" s="171"/>
      <c r="BN145" s="170"/>
      <c r="BO145" s="170"/>
      <c r="BP145" s="170"/>
      <c r="BQ145" s="170"/>
      <c r="BR145" s="170"/>
      <c r="BS145" s="170"/>
      <c r="BT145" s="170"/>
      <c r="BU145" s="170"/>
      <c r="BV145" s="170"/>
      <c r="BW145" s="170"/>
      <c r="BX145" s="171"/>
      <c r="BY145" s="171"/>
      <c r="BZ145" s="170"/>
      <c r="CA145" s="170"/>
      <c r="CB145" s="170"/>
      <c r="CC145" s="170"/>
      <c r="CD145" s="170"/>
      <c r="CE145" s="170"/>
      <c r="CF145" s="170"/>
      <c r="CG145" s="170"/>
    </row>
    <row r="146">
      <c r="A146" s="171"/>
      <c r="B146" s="170"/>
      <c r="C146" s="170"/>
      <c r="D146" s="170"/>
      <c r="E146" s="171"/>
      <c r="F146" s="171"/>
      <c r="G146" s="171"/>
      <c r="H146" s="170"/>
      <c r="I146" s="171"/>
      <c r="J146" s="171"/>
      <c r="K146" s="171"/>
      <c r="L146" s="170"/>
      <c r="M146" s="170"/>
      <c r="N146" s="171"/>
      <c r="O146" s="170"/>
      <c r="P146" s="186"/>
      <c r="Q146" s="170"/>
      <c r="R146" s="170"/>
      <c r="S146" s="170"/>
      <c r="T146" s="170"/>
      <c r="U146" s="170"/>
      <c r="V146" s="170"/>
      <c r="W146" s="170"/>
      <c r="X146" s="170"/>
      <c r="Y146" s="170"/>
      <c r="Z146" s="170"/>
      <c r="AA146" s="170"/>
      <c r="AB146" s="170"/>
      <c r="AC146" s="170"/>
      <c r="AD146" s="170"/>
      <c r="AE146" s="170"/>
      <c r="AF146" s="171"/>
      <c r="AG146" s="170"/>
      <c r="AH146" s="170"/>
      <c r="AI146" s="170"/>
      <c r="AJ146" s="170"/>
      <c r="AK146" s="171"/>
      <c r="AL146" s="171"/>
      <c r="AM146" s="170"/>
      <c r="AN146" s="171"/>
      <c r="AO146" s="170"/>
      <c r="AP146" s="170"/>
      <c r="AQ146" s="171"/>
      <c r="AR146" s="171"/>
      <c r="AS146" s="171"/>
      <c r="AT146" s="170"/>
      <c r="AU146" s="170"/>
      <c r="AV146" s="170"/>
      <c r="AW146" s="170"/>
      <c r="AX146" s="170"/>
      <c r="AY146" s="170"/>
      <c r="AZ146" s="170"/>
      <c r="BA146" s="170"/>
      <c r="BB146" s="170"/>
      <c r="BC146" s="171"/>
      <c r="BD146" s="171"/>
      <c r="BE146" s="171"/>
      <c r="BF146" s="170"/>
      <c r="BG146" s="170"/>
      <c r="BH146" s="171"/>
      <c r="BI146" s="170"/>
      <c r="BJ146" s="170"/>
      <c r="BK146" s="170"/>
      <c r="BL146" s="170"/>
      <c r="BM146" s="171"/>
      <c r="BN146" s="170"/>
      <c r="BO146" s="170"/>
      <c r="BP146" s="170"/>
      <c r="BQ146" s="170"/>
      <c r="BR146" s="170"/>
      <c r="BS146" s="170"/>
      <c r="BT146" s="170"/>
      <c r="BU146" s="170"/>
      <c r="BV146" s="170"/>
      <c r="BW146" s="170"/>
      <c r="BX146" s="171"/>
      <c r="BY146" s="171"/>
      <c r="BZ146" s="170"/>
      <c r="CA146" s="170"/>
      <c r="CB146" s="170"/>
      <c r="CC146" s="170"/>
      <c r="CD146" s="170"/>
      <c r="CE146" s="170"/>
      <c r="CF146" s="170"/>
      <c r="CG146" s="170"/>
    </row>
    <row r="147">
      <c r="A147" s="171"/>
      <c r="B147" s="170"/>
      <c r="C147" s="170"/>
      <c r="D147" s="170"/>
      <c r="E147" s="171"/>
      <c r="F147" s="171"/>
      <c r="G147" s="171"/>
      <c r="H147" s="170"/>
      <c r="I147" s="171"/>
      <c r="J147" s="171"/>
      <c r="K147" s="171"/>
      <c r="L147" s="170"/>
      <c r="M147" s="170"/>
      <c r="N147" s="171"/>
      <c r="O147" s="170"/>
      <c r="P147" s="186"/>
      <c r="Q147" s="170"/>
      <c r="R147" s="170"/>
      <c r="S147" s="170"/>
      <c r="T147" s="170"/>
      <c r="U147" s="170"/>
      <c r="V147" s="170"/>
      <c r="W147" s="170"/>
      <c r="X147" s="170"/>
      <c r="Y147" s="170"/>
      <c r="Z147" s="170"/>
      <c r="AA147" s="170"/>
      <c r="AB147" s="170"/>
      <c r="AC147" s="170"/>
      <c r="AD147" s="170"/>
      <c r="AE147" s="170"/>
      <c r="AF147" s="171"/>
      <c r="AG147" s="170"/>
      <c r="AH147" s="170"/>
      <c r="AI147" s="170"/>
      <c r="AJ147" s="170"/>
      <c r="AK147" s="171"/>
      <c r="AL147" s="171"/>
      <c r="AM147" s="170"/>
      <c r="AN147" s="171"/>
      <c r="AO147" s="170"/>
      <c r="AP147" s="170"/>
      <c r="AQ147" s="171"/>
      <c r="AR147" s="171"/>
      <c r="AS147" s="171"/>
      <c r="AT147" s="170"/>
      <c r="AU147" s="170"/>
      <c r="AV147" s="170"/>
      <c r="AW147" s="170"/>
      <c r="AX147" s="170"/>
      <c r="AY147" s="170"/>
      <c r="AZ147" s="170"/>
      <c r="BA147" s="170"/>
      <c r="BB147" s="170"/>
      <c r="BC147" s="171"/>
      <c r="BD147" s="171"/>
      <c r="BE147" s="171"/>
      <c r="BF147" s="170"/>
      <c r="BG147" s="170"/>
      <c r="BH147" s="171"/>
      <c r="BI147" s="170"/>
      <c r="BJ147" s="170"/>
      <c r="BK147" s="170"/>
      <c r="BL147" s="170"/>
      <c r="BM147" s="171"/>
      <c r="BN147" s="170"/>
      <c r="BO147" s="170"/>
      <c r="BP147" s="170"/>
      <c r="BQ147" s="170"/>
      <c r="BR147" s="170"/>
      <c r="BS147" s="170"/>
      <c r="BT147" s="170"/>
      <c r="BU147" s="170"/>
      <c r="BV147" s="170"/>
      <c r="BW147" s="170"/>
      <c r="BX147" s="171"/>
      <c r="BY147" s="171"/>
      <c r="BZ147" s="170"/>
      <c r="CA147" s="170"/>
      <c r="CB147" s="170"/>
      <c r="CC147" s="170"/>
      <c r="CD147" s="170"/>
      <c r="CE147" s="170"/>
      <c r="CF147" s="170"/>
      <c r="CG147" s="170"/>
    </row>
    <row r="148">
      <c r="A148" s="171"/>
      <c r="B148" s="170"/>
      <c r="C148" s="170"/>
      <c r="D148" s="170"/>
      <c r="E148" s="171"/>
      <c r="F148" s="171"/>
      <c r="G148" s="171"/>
      <c r="H148" s="170"/>
      <c r="I148" s="171"/>
      <c r="J148" s="171"/>
      <c r="K148" s="171"/>
      <c r="L148" s="170"/>
      <c r="M148" s="170"/>
      <c r="N148" s="171"/>
      <c r="O148" s="170"/>
      <c r="P148" s="186"/>
      <c r="Q148" s="170"/>
      <c r="R148" s="170"/>
      <c r="S148" s="170"/>
      <c r="T148" s="170"/>
      <c r="U148" s="170"/>
      <c r="V148" s="170"/>
      <c r="W148" s="170"/>
      <c r="X148" s="170"/>
      <c r="Y148" s="170"/>
      <c r="Z148" s="170"/>
      <c r="AA148" s="170"/>
      <c r="AB148" s="170"/>
      <c r="AC148" s="170"/>
      <c r="AD148" s="170"/>
      <c r="AE148" s="170"/>
      <c r="AF148" s="171"/>
      <c r="AG148" s="170"/>
      <c r="AH148" s="170"/>
      <c r="AI148" s="170"/>
      <c r="AJ148" s="170"/>
      <c r="AK148" s="171"/>
      <c r="AL148" s="171"/>
      <c r="AM148" s="170"/>
      <c r="AN148" s="171"/>
      <c r="AO148" s="170"/>
      <c r="AP148" s="170"/>
      <c r="AQ148" s="171"/>
      <c r="AR148" s="171"/>
      <c r="AS148" s="171"/>
      <c r="AT148" s="170"/>
      <c r="AU148" s="170"/>
      <c r="AV148" s="170"/>
      <c r="AW148" s="170"/>
      <c r="AX148" s="170"/>
      <c r="AY148" s="170"/>
      <c r="AZ148" s="170"/>
      <c r="BA148" s="170"/>
      <c r="BB148" s="170"/>
      <c r="BC148" s="171"/>
      <c r="BD148" s="171"/>
      <c r="BE148" s="171"/>
      <c r="BF148" s="170"/>
      <c r="BG148" s="170"/>
      <c r="BH148" s="171"/>
      <c r="BI148" s="170"/>
      <c r="BJ148" s="170"/>
      <c r="BK148" s="170"/>
      <c r="BL148" s="170"/>
      <c r="BM148" s="171"/>
      <c r="BN148" s="170"/>
      <c r="BO148" s="170"/>
      <c r="BP148" s="170"/>
      <c r="BQ148" s="170"/>
      <c r="BR148" s="170"/>
      <c r="BS148" s="170"/>
      <c r="BT148" s="170"/>
      <c r="BU148" s="170"/>
      <c r="BV148" s="170"/>
      <c r="BW148" s="170"/>
      <c r="BX148" s="171"/>
      <c r="BY148" s="171"/>
      <c r="BZ148" s="170"/>
      <c r="CA148" s="170"/>
      <c r="CB148" s="170"/>
      <c r="CC148" s="170"/>
      <c r="CD148" s="170"/>
      <c r="CE148" s="170"/>
      <c r="CF148" s="170"/>
      <c r="CG148" s="170"/>
    </row>
    <row r="149">
      <c r="A149" s="171"/>
      <c r="B149" s="170"/>
      <c r="C149" s="170"/>
      <c r="D149" s="170"/>
      <c r="E149" s="171"/>
      <c r="F149" s="171"/>
      <c r="G149" s="171"/>
      <c r="H149" s="170"/>
      <c r="I149" s="171"/>
      <c r="J149" s="171"/>
      <c r="K149" s="171"/>
      <c r="L149" s="170"/>
      <c r="M149" s="170"/>
      <c r="N149" s="171"/>
      <c r="O149" s="170"/>
      <c r="P149" s="186"/>
      <c r="Q149" s="170"/>
      <c r="R149" s="170"/>
      <c r="S149" s="170"/>
      <c r="T149" s="170"/>
      <c r="U149" s="170"/>
      <c r="V149" s="170"/>
      <c r="W149" s="170"/>
      <c r="X149" s="170"/>
      <c r="Y149" s="170"/>
      <c r="Z149" s="170"/>
      <c r="AA149" s="170"/>
      <c r="AB149" s="170"/>
      <c r="AC149" s="170"/>
      <c r="AD149" s="170"/>
      <c r="AE149" s="170"/>
      <c r="AF149" s="171"/>
      <c r="AG149" s="170"/>
      <c r="AH149" s="170"/>
      <c r="AI149" s="170"/>
      <c r="AJ149" s="170"/>
      <c r="AK149" s="171"/>
      <c r="AL149" s="171"/>
      <c r="AM149" s="170"/>
      <c r="AN149" s="171"/>
      <c r="AO149" s="170"/>
      <c r="AP149" s="170"/>
      <c r="AQ149" s="171"/>
      <c r="AR149" s="171"/>
      <c r="AS149" s="171"/>
      <c r="AT149" s="170"/>
      <c r="AU149" s="170"/>
      <c r="AV149" s="170"/>
      <c r="AW149" s="170"/>
      <c r="AX149" s="170"/>
      <c r="AY149" s="170"/>
      <c r="AZ149" s="170"/>
      <c r="BA149" s="170"/>
      <c r="BB149" s="170"/>
      <c r="BC149" s="171"/>
      <c r="BD149" s="171"/>
      <c r="BE149" s="171"/>
      <c r="BF149" s="170"/>
      <c r="BG149" s="170"/>
      <c r="BH149" s="171"/>
      <c r="BI149" s="170"/>
      <c r="BJ149" s="170"/>
      <c r="BK149" s="170"/>
      <c r="BL149" s="170"/>
      <c r="BM149" s="171"/>
      <c r="BN149" s="170"/>
      <c r="BO149" s="170"/>
      <c r="BP149" s="170"/>
      <c r="BQ149" s="170"/>
      <c r="BR149" s="170"/>
      <c r="BS149" s="170"/>
      <c r="BT149" s="170"/>
      <c r="BU149" s="170"/>
      <c r="BV149" s="170"/>
      <c r="BW149" s="170"/>
      <c r="BX149" s="171"/>
      <c r="BY149" s="171"/>
      <c r="BZ149" s="170"/>
      <c r="CA149" s="170"/>
      <c r="CB149" s="170"/>
      <c r="CC149" s="170"/>
      <c r="CD149" s="170"/>
      <c r="CE149" s="170"/>
      <c r="CF149" s="170"/>
      <c r="CG149" s="170"/>
    </row>
    <row r="150">
      <c r="A150" s="171"/>
      <c r="B150" s="170"/>
      <c r="C150" s="170"/>
      <c r="D150" s="170"/>
      <c r="E150" s="171"/>
      <c r="F150" s="171"/>
      <c r="G150" s="171"/>
      <c r="H150" s="170"/>
      <c r="I150" s="171"/>
      <c r="J150" s="171"/>
      <c r="K150" s="171"/>
      <c r="L150" s="170"/>
      <c r="M150" s="170"/>
      <c r="N150" s="171"/>
      <c r="O150" s="170"/>
      <c r="P150" s="186"/>
      <c r="Q150" s="170"/>
      <c r="R150" s="170"/>
      <c r="S150" s="170"/>
      <c r="T150" s="170"/>
      <c r="U150" s="170"/>
      <c r="V150" s="170"/>
      <c r="W150" s="170"/>
      <c r="X150" s="170"/>
      <c r="Y150" s="170"/>
      <c r="Z150" s="170"/>
      <c r="AA150" s="170"/>
      <c r="AB150" s="170"/>
      <c r="AC150" s="170"/>
      <c r="AD150" s="170"/>
      <c r="AE150" s="170"/>
      <c r="AF150" s="171"/>
      <c r="AG150" s="170"/>
      <c r="AH150" s="170"/>
      <c r="AI150" s="170"/>
      <c r="AJ150" s="170"/>
      <c r="AK150" s="171"/>
      <c r="AL150" s="171"/>
      <c r="AM150" s="170"/>
      <c r="AN150" s="171"/>
      <c r="AO150" s="170"/>
      <c r="AP150" s="170"/>
      <c r="AQ150" s="171"/>
      <c r="AR150" s="171"/>
      <c r="AS150" s="171"/>
      <c r="AT150" s="170"/>
      <c r="AU150" s="170"/>
      <c r="AV150" s="170"/>
      <c r="AW150" s="170"/>
      <c r="AX150" s="170"/>
      <c r="AY150" s="170"/>
      <c r="AZ150" s="170"/>
      <c r="BA150" s="170"/>
      <c r="BB150" s="170"/>
      <c r="BC150" s="171"/>
      <c r="BD150" s="171"/>
      <c r="BE150" s="171"/>
      <c r="BF150" s="170"/>
      <c r="BG150" s="170"/>
      <c r="BH150" s="171"/>
      <c r="BI150" s="170"/>
      <c r="BJ150" s="170"/>
      <c r="BK150" s="170"/>
      <c r="BL150" s="170"/>
      <c r="BM150" s="171"/>
      <c r="BN150" s="170"/>
      <c r="BO150" s="170"/>
      <c r="BP150" s="170"/>
      <c r="BQ150" s="170"/>
      <c r="BR150" s="170"/>
      <c r="BS150" s="170"/>
      <c r="BT150" s="170"/>
      <c r="BU150" s="170"/>
      <c r="BV150" s="170"/>
      <c r="BW150" s="170"/>
      <c r="BX150" s="171"/>
      <c r="BY150" s="171"/>
      <c r="BZ150" s="170"/>
      <c r="CA150" s="170"/>
      <c r="CB150" s="170"/>
      <c r="CC150" s="170"/>
      <c r="CD150" s="170"/>
      <c r="CE150" s="170"/>
      <c r="CF150" s="170"/>
      <c r="CG150" s="170"/>
    </row>
    <row r="151">
      <c r="A151" s="171"/>
      <c r="B151" s="170"/>
      <c r="C151" s="170"/>
      <c r="D151" s="170"/>
      <c r="E151" s="171"/>
      <c r="F151" s="171"/>
      <c r="G151" s="171"/>
      <c r="H151" s="170"/>
      <c r="I151" s="171"/>
      <c r="J151" s="171"/>
      <c r="K151" s="171"/>
      <c r="L151" s="170"/>
      <c r="M151" s="170"/>
      <c r="N151" s="171"/>
      <c r="O151" s="170"/>
      <c r="P151" s="186"/>
      <c r="Q151" s="170"/>
      <c r="R151" s="170"/>
      <c r="S151" s="170"/>
      <c r="T151" s="170"/>
      <c r="U151" s="170"/>
      <c r="V151" s="170"/>
      <c r="W151" s="170"/>
      <c r="X151" s="170"/>
      <c r="Y151" s="170"/>
      <c r="Z151" s="170"/>
      <c r="AA151" s="170"/>
      <c r="AB151" s="170"/>
      <c r="AC151" s="170"/>
      <c r="AD151" s="170"/>
      <c r="AE151" s="170"/>
      <c r="AF151" s="171"/>
      <c r="AG151" s="170"/>
      <c r="AH151" s="170"/>
      <c r="AI151" s="170"/>
      <c r="AJ151" s="170"/>
      <c r="AK151" s="171"/>
      <c r="AL151" s="171"/>
      <c r="AM151" s="170"/>
      <c r="AN151" s="171"/>
      <c r="AO151" s="170"/>
      <c r="AP151" s="170"/>
      <c r="AQ151" s="171"/>
      <c r="AR151" s="171"/>
      <c r="AS151" s="171"/>
      <c r="AT151" s="170"/>
      <c r="AU151" s="170"/>
      <c r="AV151" s="170"/>
      <c r="AW151" s="170"/>
      <c r="AX151" s="170"/>
      <c r="AY151" s="170"/>
      <c r="AZ151" s="170"/>
      <c r="BA151" s="170"/>
      <c r="BB151" s="170"/>
      <c r="BC151" s="171"/>
      <c r="BD151" s="171"/>
      <c r="BE151" s="171"/>
      <c r="BF151" s="170"/>
      <c r="BG151" s="170"/>
      <c r="BH151" s="171"/>
      <c r="BI151" s="170"/>
      <c r="BJ151" s="170"/>
      <c r="BK151" s="170"/>
      <c r="BL151" s="170"/>
      <c r="BM151" s="171"/>
      <c r="BN151" s="170"/>
      <c r="BO151" s="170"/>
      <c r="BP151" s="170"/>
      <c r="BQ151" s="170"/>
      <c r="BR151" s="170"/>
      <c r="BS151" s="170"/>
      <c r="BT151" s="170"/>
      <c r="BU151" s="170"/>
      <c r="BV151" s="170"/>
      <c r="BW151" s="170"/>
      <c r="BX151" s="171"/>
      <c r="BY151" s="171"/>
      <c r="BZ151" s="170"/>
      <c r="CA151" s="170"/>
      <c r="CB151" s="170"/>
      <c r="CC151" s="170"/>
      <c r="CD151" s="170"/>
      <c r="CE151" s="170"/>
      <c r="CF151" s="170"/>
      <c r="CG151" s="170"/>
    </row>
    <row r="152">
      <c r="A152" s="171"/>
      <c r="B152" s="170"/>
      <c r="C152" s="170"/>
      <c r="D152" s="170"/>
      <c r="E152" s="171"/>
      <c r="F152" s="171"/>
      <c r="G152" s="171"/>
      <c r="H152" s="170"/>
      <c r="I152" s="171"/>
      <c r="J152" s="171"/>
      <c r="K152" s="171"/>
      <c r="L152" s="170"/>
      <c r="M152" s="170"/>
      <c r="N152" s="171"/>
      <c r="O152" s="170"/>
      <c r="P152" s="186"/>
      <c r="Q152" s="170"/>
      <c r="R152" s="170"/>
      <c r="S152" s="170"/>
      <c r="T152" s="170"/>
      <c r="U152" s="170"/>
      <c r="V152" s="170"/>
      <c r="W152" s="170"/>
      <c r="X152" s="170"/>
      <c r="Y152" s="170"/>
      <c r="Z152" s="170"/>
      <c r="AA152" s="170"/>
      <c r="AB152" s="170"/>
      <c r="AC152" s="170"/>
      <c r="AD152" s="170"/>
      <c r="AE152" s="170"/>
      <c r="AF152" s="171"/>
      <c r="AG152" s="170"/>
      <c r="AH152" s="170"/>
      <c r="AI152" s="170"/>
      <c r="AJ152" s="170"/>
      <c r="AK152" s="171"/>
      <c r="AL152" s="171"/>
      <c r="AM152" s="170"/>
      <c r="AN152" s="171"/>
      <c r="AO152" s="170"/>
      <c r="AP152" s="170"/>
      <c r="AQ152" s="171"/>
      <c r="AR152" s="171"/>
      <c r="AS152" s="171"/>
      <c r="AT152" s="170"/>
      <c r="AU152" s="170"/>
      <c r="AV152" s="170"/>
      <c r="AW152" s="170"/>
      <c r="AX152" s="170"/>
      <c r="AY152" s="170"/>
      <c r="AZ152" s="170"/>
      <c r="BA152" s="170"/>
      <c r="BB152" s="170"/>
      <c r="BC152" s="171"/>
      <c r="BD152" s="171"/>
      <c r="BE152" s="171"/>
      <c r="BF152" s="170"/>
      <c r="BG152" s="170"/>
      <c r="BH152" s="171"/>
      <c r="BI152" s="170"/>
      <c r="BJ152" s="170"/>
      <c r="BK152" s="170"/>
      <c r="BL152" s="170"/>
      <c r="BM152" s="171"/>
      <c r="BN152" s="170"/>
      <c r="BO152" s="170"/>
      <c r="BP152" s="170"/>
      <c r="BQ152" s="170"/>
      <c r="BR152" s="170"/>
      <c r="BS152" s="170"/>
      <c r="BT152" s="170"/>
      <c r="BU152" s="170"/>
      <c r="BV152" s="170"/>
      <c r="BW152" s="170"/>
      <c r="BX152" s="171"/>
      <c r="BY152" s="171"/>
      <c r="BZ152" s="170"/>
      <c r="CA152" s="170"/>
      <c r="CB152" s="170"/>
      <c r="CC152" s="170"/>
      <c r="CD152" s="170"/>
      <c r="CE152" s="170"/>
      <c r="CF152" s="170"/>
      <c r="CG152" s="170"/>
    </row>
  </sheetData>
  <dataValidations>
    <dataValidation type="list" allowBlank="1" showErrorMessage="1" sqref="AN1:AN18 AV19:AV22 AN23:AN152">
      <formula1>"neoantigen prediction done,Yes,No"</formula1>
    </dataValidation>
    <dataValidation type="list" allowBlank="1" showErrorMessage="1" sqref="AY19:AY22 BE1:BE152">
      <formula1>"Immunogenicity,Yes,No"</formula1>
    </dataValidation>
  </dataValidations>
  <hyperlinks>
    <hyperlink r:id="rId1" ref="F2"/>
    <hyperlink r:id="rId2" ref="AB2"/>
    <hyperlink r:id="rId3" ref="F3"/>
    <hyperlink r:id="rId4" ref="F4"/>
    <hyperlink r:id="rId5" ref="AV4"/>
    <hyperlink r:id="rId6" ref="F5"/>
    <hyperlink r:id="rId7" ref="F6"/>
    <hyperlink r:id="rId8" ref="F7"/>
    <hyperlink r:id="rId9" ref="F8"/>
    <hyperlink r:id="rId10" ref="F9"/>
    <hyperlink r:id="rId11" ref="F10"/>
    <hyperlink r:id="rId12" ref="F21"/>
    <hyperlink r:id="rId13" ref="F22"/>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26.63"/>
    <col customWidth="1" min="3" max="3" width="37.63"/>
    <col customWidth="1" min="4" max="4" width="25.13"/>
    <col customWidth="1" min="5" max="5" width="35.88"/>
    <col customWidth="1" min="6" max="8" width="26.63"/>
    <col customWidth="1" min="9" max="9" width="36.0"/>
    <col customWidth="1" min="10" max="11" width="26.63"/>
    <col customWidth="1" min="12" max="12" width="28.75"/>
    <col customWidth="1" min="13" max="16" width="26.63"/>
    <col customWidth="1" min="17" max="17" width="47.75"/>
    <col customWidth="1" min="18" max="25" width="26.63"/>
    <col customWidth="1" min="26" max="26" width="33.88"/>
    <col customWidth="1" min="27" max="27" width="31.88"/>
    <col customWidth="1" min="28" max="28" width="32.0"/>
    <col customWidth="1" min="29" max="29" width="26.63"/>
  </cols>
  <sheetData>
    <row r="1" ht="39.75" customHeight="1">
      <c r="A1" s="187" t="s">
        <v>4327</v>
      </c>
      <c r="B1" s="187" t="s">
        <v>4328</v>
      </c>
      <c r="C1" s="188" t="s">
        <v>2</v>
      </c>
      <c r="D1" s="189" t="s">
        <v>3</v>
      </c>
      <c r="E1" s="190" t="s">
        <v>4</v>
      </c>
      <c r="F1" s="190" t="s">
        <v>5</v>
      </c>
      <c r="G1" s="190" t="s">
        <v>6</v>
      </c>
      <c r="H1" s="187" t="s">
        <v>7</v>
      </c>
      <c r="I1" s="191" t="s">
        <v>3274</v>
      </c>
      <c r="J1" s="192" t="s">
        <v>4329</v>
      </c>
      <c r="K1" s="192" t="s">
        <v>3276</v>
      </c>
      <c r="L1" s="191" t="s">
        <v>4330</v>
      </c>
      <c r="M1" s="191" t="s">
        <v>4331</v>
      </c>
      <c r="N1" s="191" t="s">
        <v>4332</v>
      </c>
      <c r="O1" s="192" t="s">
        <v>4333</v>
      </c>
      <c r="P1" s="191" t="s">
        <v>4334</v>
      </c>
      <c r="Q1" s="192" t="s">
        <v>4335</v>
      </c>
      <c r="R1" s="192" t="s">
        <v>3912</v>
      </c>
      <c r="S1" s="192" t="s">
        <v>4336</v>
      </c>
      <c r="T1" s="191" t="s">
        <v>4337</v>
      </c>
      <c r="U1" s="192" t="s">
        <v>4338</v>
      </c>
      <c r="V1" s="192" t="s">
        <v>4339</v>
      </c>
      <c r="W1" s="192" t="s">
        <v>4340</v>
      </c>
      <c r="X1" s="192" t="s">
        <v>4341</v>
      </c>
      <c r="Y1" s="192" t="s">
        <v>4342</v>
      </c>
      <c r="Z1" s="192" t="s">
        <v>4343</v>
      </c>
      <c r="AA1" s="192" t="s">
        <v>4344</v>
      </c>
      <c r="AB1" s="192" t="s">
        <v>4345</v>
      </c>
      <c r="AC1" s="191" t="s">
        <v>4346</v>
      </c>
    </row>
    <row r="2">
      <c r="A2" s="193" t="s">
        <v>4347</v>
      </c>
      <c r="B2" s="194">
        <v>2025.0</v>
      </c>
      <c r="C2" s="195" t="s">
        <v>3105</v>
      </c>
      <c r="D2" s="196" t="s">
        <v>1784</v>
      </c>
      <c r="E2" s="197" t="s">
        <v>3106</v>
      </c>
      <c r="F2" s="198" t="s">
        <v>3107</v>
      </c>
      <c r="G2" s="198" t="s">
        <v>1270</v>
      </c>
      <c r="H2" s="197" t="s">
        <v>67</v>
      </c>
      <c r="I2" s="199" t="s">
        <v>3359</v>
      </c>
      <c r="J2" s="200" t="s">
        <v>4348</v>
      </c>
      <c r="K2" s="200" t="s">
        <v>4349</v>
      </c>
      <c r="L2" s="199" t="s">
        <v>4350</v>
      </c>
      <c r="M2" s="199" t="s">
        <v>4351</v>
      </c>
      <c r="N2" s="199" t="s">
        <v>3362</v>
      </c>
      <c r="O2" s="200" t="s">
        <v>4352</v>
      </c>
      <c r="P2" s="199" t="s">
        <v>4353</v>
      </c>
      <c r="Q2" s="200" t="s">
        <v>4354</v>
      </c>
      <c r="R2" s="200" t="s">
        <v>4355</v>
      </c>
      <c r="S2" s="200">
        <v>26.0</v>
      </c>
      <c r="T2" s="199" t="s">
        <v>4356</v>
      </c>
      <c r="U2" s="200" t="s">
        <v>4357</v>
      </c>
      <c r="V2" s="200" t="s">
        <v>4358</v>
      </c>
      <c r="W2" s="200" t="s">
        <v>4359</v>
      </c>
      <c r="X2" s="200" t="s">
        <v>4360</v>
      </c>
      <c r="Y2" s="200" t="s">
        <v>4361</v>
      </c>
      <c r="Z2" s="200" t="s">
        <v>4362</v>
      </c>
      <c r="AA2" s="200" t="s">
        <v>4363</v>
      </c>
      <c r="AB2" s="200" t="s">
        <v>4364</v>
      </c>
      <c r="AC2" s="199" t="s">
        <v>4365</v>
      </c>
    </row>
    <row r="3">
      <c r="A3" s="193" t="s">
        <v>4366</v>
      </c>
      <c r="B3" s="194">
        <v>2022.0</v>
      </c>
      <c r="C3" s="195" t="s">
        <v>2428</v>
      </c>
      <c r="D3" s="196" t="s">
        <v>59</v>
      </c>
      <c r="E3" s="198" t="s">
        <v>2429</v>
      </c>
      <c r="F3" s="198" t="s">
        <v>2430</v>
      </c>
      <c r="G3" s="198" t="s">
        <v>1270</v>
      </c>
      <c r="H3" s="197" t="s">
        <v>4367</v>
      </c>
      <c r="I3" s="201"/>
      <c r="J3" s="202"/>
      <c r="K3" s="202"/>
      <c r="L3" s="201"/>
      <c r="M3" s="201"/>
      <c r="N3" s="201"/>
      <c r="O3" s="202"/>
      <c r="P3" s="201"/>
      <c r="Q3" s="202"/>
      <c r="R3" s="202"/>
      <c r="S3" s="202"/>
      <c r="T3" s="201"/>
      <c r="U3" s="202"/>
      <c r="V3" s="202"/>
      <c r="W3" s="202"/>
      <c r="X3" s="202"/>
      <c r="Y3" s="202"/>
      <c r="Z3" s="202"/>
      <c r="AA3" s="202"/>
      <c r="AB3" s="202"/>
      <c r="AC3" s="199" t="s">
        <v>4368</v>
      </c>
    </row>
    <row r="4">
      <c r="A4" s="203" t="s">
        <v>4369</v>
      </c>
      <c r="B4" s="204">
        <v>2021.0</v>
      </c>
      <c r="C4" s="205" t="s">
        <v>1678</v>
      </c>
      <c r="D4" s="206" t="s">
        <v>1327</v>
      </c>
      <c r="E4" s="207" t="s">
        <v>1679</v>
      </c>
      <c r="F4" s="207" t="s">
        <v>1680</v>
      </c>
      <c r="G4" s="207" t="s">
        <v>1270</v>
      </c>
      <c r="H4" s="208" t="s">
        <v>67</v>
      </c>
      <c r="I4" s="191" t="s">
        <v>3359</v>
      </c>
      <c r="J4" s="192" t="s">
        <v>4370</v>
      </c>
      <c r="K4" s="192" t="s">
        <v>4371</v>
      </c>
      <c r="L4" s="191" t="s">
        <v>4372</v>
      </c>
      <c r="M4" s="191" t="s">
        <v>4373</v>
      </c>
      <c r="N4" s="209">
        <v>42675.0</v>
      </c>
      <c r="O4" s="210">
        <v>43435.0</v>
      </c>
      <c r="P4" s="191" t="s">
        <v>4374</v>
      </c>
      <c r="Q4" s="192" t="s">
        <v>4375</v>
      </c>
      <c r="R4" s="192" t="s">
        <v>4376</v>
      </c>
      <c r="S4" s="192" t="s">
        <v>4377</v>
      </c>
      <c r="T4" s="191" t="s">
        <v>4378</v>
      </c>
      <c r="U4" s="192" t="s">
        <v>4379</v>
      </c>
      <c r="V4" s="192" t="s">
        <v>4380</v>
      </c>
      <c r="W4" s="192" t="s">
        <v>4381</v>
      </c>
      <c r="X4" s="192" t="s">
        <v>4382</v>
      </c>
      <c r="Y4" s="192" t="s">
        <v>4361</v>
      </c>
      <c r="Z4" s="192" t="s">
        <v>4383</v>
      </c>
      <c r="AA4" s="192" t="s">
        <v>4384</v>
      </c>
      <c r="AB4" s="192" t="s">
        <v>4385</v>
      </c>
      <c r="AC4" s="211"/>
    </row>
    <row r="5">
      <c r="A5" s="212" t="s">
        <v>4386</v>
      </c>
      <c r="B5" s="213">
        <v>2025.0</v>
      </c>
      <c r="C5" s="214" t="s">
        <v>3128</v>
      </c>
      <c r="D5" s="215" t="s">
        <v>1573</v>
      </c>
      <c r="E5" s="216" t="s">
        <v>3129</v>
      </c>
      <c r="F5" s="216" t="s">
        <v>3130</v>
      </c>
      <c r="G5" s="216" t="s">
        <v>1270</v>
      </c>
      <c r="H5" s="217" t="s">
        <v>67</v>
      </c>
      <c r="I5" s="218" t="s">
        <v>3359</v>
      </c>
      <c r="J5" s="219" t="s">
        <v>4387</v>
      </c>
      <c r="K5" s="219" t="s">
        <v>4388</v>
      </c>
      <c r="L5" s="218" t="s">
        <v>4389</v>
      </c>
      <c r="M5" s="218" t="s">
        <v>4390</v>
      </c>
      <c r="N5" s="220">
        <v>42887.0</v>
      </c>
      <c r="O5" s="219" t="s">
        <v>4391</v>
      </c>
      <c r="P5" s="218" t="s">
        <v>4392</v>
      </c>
      <c r="Q5" s="219" t="s">
        <v>4393</v>
      </c>
      <c r="R5" s="219" t="s">
        <v>4394</v>
      </c>
      <c r="S5" s="219" t="s">
        <v>4395</v>
      </c>
      <c r="T5" s="218" t="s">
        <v>4396</v>
      </c>
      <c r="U5" s="219" t="s">
        <v>4397</v>
      </c>
      <c r="V5" s="219" t="s">
        <v>4398</v>
      </c>
      <c r="W5" s="219" t="s">
        <v>4399</v>
      </c>
      <c r="X5" s="219" t="s">
        <v>4400</v>
      </c>
      <c r="Y5" s="219" t="s">
        <v>4361</v>
      </c>
      <c r="Z5" s="219" t="s">
        <v>4401</v>
      </c>
      <c r="AA5" s="219" t="s">
        <v>4402</v>
      </c>
      <c r="AB5" s="219" t="s">
        <v>4403</v>
      </c>
      <c r="AC5" s="218" t="s">
        <v>4404</v>
      </c>
    </row>
    <row r="6">
      <c r="A6" s="193" t="s">
        <v>4405</v>
      </c>
      <c r="B6" s="194">
        <v>2020.0</v>
      </c>
      <c r="C6" s="195" t="s">
        <v>1427</v>
      </c>
      <c r="D6" s="196" t="s">
        <v>24</v>
      </c>
      <c r="E6" s="198" t="s">
        <v>1428</v>
      </c>
      <c r="F6" s="198" t="s">
        <v>1429</v>
      </c>
      <c r="G6" s="198" t="s">
        <v>1270</v>
      </c>
      <c r="H6" s="197" t="s">
        <v>67</v>
      </c>
      <c r="I6" s="201"/>
      <c r="J6" s="202"/>
      <c r="K6" s="202"/>
      <c r="L6" s="201"/>
      <c r="M6" s="201"/>
      <c r="N6" s="201"/>
      <c r="O6" s="202"/>
      <c r="P6" s="201"/>
      <c r="Q6" s="202"/>
      <c r="R6" s="202"/>
      <c r="S6" s="202"/>
      <c r="T6" s="201"/>
      <c r="U6" s="202"/>
      <c r="V6" s="202"/>
      <c r="W6" s="202"/>
      <c r="X6" s="202"/>
      <c r="Y6" s="202"/>
      <c r="Z6" s="202"/>
      <c r="AA6" s="202"/>
      <c r="AB6" s="202"/>
      <c r="AC6" s="199" t="s">
        <v>4406</v>
      </c>
    </row>
    <row r="7">
      <c r="A7" s="221" t="s">
        <v>4407</v>
      </c>
      <c r="B7" s="222">
        <v>2025.0</v>
      </c>
      <c r="C7" s="223" t="s">
        <v>3134</v>
      </c>
      <c r="D7" s="224" t="s">
        <v>1373</v>
      </c>
      <c r="E7" s="225" t="s">
        <v>3135</v>
      </c>
      <c r="F7" s="225" t="s">
        <v>3136</v>
      </c>
      <c r="G7" s="225" t="s">
        <v>1270</v>
      </c>
      <c r="H7" s="226" t="s">
        <v>67</v>
      </c>
      <c r="I7" s="227" t="s">
        <v>4408</v>
      </c>
      <c r="J7" s="228" t="s">
        <v>4409</v>
      </c>
      <c r="K7" s="228" t="s">
        <v>4410</v>
      </c>
      <c r="L7" s="227" t="s">
        <v>4411</v>
      </c>
      <c r="M7" s="227" t="s">
        <v>4412</v>
      </c>
      <c r="N7" s="229">
        <v>45292.0</v>
      </c>
      <c r="O7" s="228" t="s">
        <v>4413</v>
      </c>
      <c r="P7" s="227" t="s">
        <v>4392</v>
      </c>
      <c r="Q7" s="228" t="s">
        <v>4414</v>
      </c>
      <c r="R7" s="228" t="s">
        <v>4415</v>
      </c>
      <c r="S7" s="228" t="s">
        <v>4416</v>
      </c>
      <c r="T7" s="227" t="s">
        <v>4378</v>
      </c>
      <c r="U7" s="228" t="s">
        <v>4417</v>
      </c>
      <c r="V7" s="228" t="s">
        <v>4418</v>
      </c>
      <c r="W7" s="228" t="s">
        <v>3362</v>
      </c>
      <c r="X7" s="228" t="s">
        <v>4419</v>
      </c>
      <c r="Y7" s="228" t="s">
        <v>4420</v>
      </c>
      <c r="Z7" s="228" t="s">
        <v>4421</v>
      </c>
      <c r="AA7" s="228" t="s">
        <v>4422</v>
      </c>
      <c r="AB7" s="228" t="s">
        <v>4423</v>
      </c>
      <c r="AC7" s="227" t="s">
        <v>4424</v>
      </c>
    </row>
    <row r="8">
      <c r="A8" s="193" t="s">
        <v>4425</v>
      </c>
      <c r="B8" s="194">
        <v>2019.0</v>
      </c>
      <c r="C8" s="195" t="s">
        <v>1347</v>
      </c>
      <c r="D8" s="196" t="s">
        <v>112</v>
      </c>
      <c r="E8" s="197" t="s">
        <v>4426</v>
      </c>
      <c r="F8" s="197" t="s">
        <v>4427</v>
      </c>
      <c r="G8" s="198" t="s">
        <v>1348</v>
      </c>
      <c r="H8" s="197" t="s">
        <v>67</v>
      </c>
      <c r="I8" s="199" t="s">
        <v>3359</v>
      </c>
      <c r="J8" s="200" t="s">
        <v>4428</v>
      </c>
      <c r="K8" s="200" t="s">
        <v>4429</v>
      </c>
      <c r="L8" s="199" t="s">
        <v>4430</v>
      </c>
      <c r="M8" s="201"/>
      <c r="N8" s="201"/>
      <c r="O8" s="202"/>
      <c r="P8" s="199" t="s">
        <v>4431</v>
      </c>
      <c r="Q8" s="200" t="s">
        <v>4432</v>
      </c>
      <c r="R8" s="200" t="s">
        <v>4433</v>
      </c>
      <c r="S8" s="200">
        <v>24.0</v>
      </c>
      <c r="T8" s="199" t="s">
        <v>4434</v>
      </c>
      <c r="U8" s="200" t="s">
        <v>4435</v>
      </c>
      <c r="V8" s="200" t="s">
        <v>4436</v>
      </c>
      <c r="W8" s="202"/>
      <c r="X8" s="200" t="s">
        <v>4437</v>
      </c>
      <c r="Y8" s="200" t="s">
        <v>4361</v>
      </c>
      <c r="Z8" s="200" t="s">
        <v>4438</v>
      </c>
      <c r="AA8" s="200" t="s">
        <v>4439</v>
      </c>
      <c r="AB8" s="200" t="s">
        <v>4440</v>
      </c>
      <c r="AC8" s="199" t="s">
        <v>4441</v>
      </c>
    </row>
    <row r="9">
      <c r="A9" s="221" t="s">
        <v>4442</v>
      </c>
      <c r="B9" s="222">
        <v>2020.0</v>
      </c>
      <c r="C9" s="223" t="s">
        <v>1563</v>
      </c>
      <c r="D9" s="224" t="s">
        <v>1327</v>
      </c>
      <c r="E9" s="225" t="s">
        <v>1564</v>
      </c>
      <c r="F9" s="230"/>
      <c r="G9" s="225" t="s">
        <v>1348</v>
      </c>
      <c r="H9" s="226" t="s">
        <v>67</v>
      </c>
      <c r="I9" s="227" t="s">
        <v>4443</v>
      </c>
      <c r="J9" s="231"/>
      <c r="K9" s="228"/>
      <c r="L9" s="227" t="s">
        <v>4444</v>
      </c>
      <c r="M9" s="232"/>
      <c r="N9" s="232"/>
      <c r="O9" s="231"/>
      <c r="P9" s="232"/>
      <c r="Q9" s="231"/>
      <c r="R9" s="231"/>
      <c r="S9" s="231"/>
      <c r="T9" s="232"/>
      <c r="U9" s="231"/>
      <c r="V9" s="231"/>
      <c r="W9" s="231"/>
      <c r="X9" s="231"/>
      <c r="Y9" s="231"/>
      <c r="Z9" s="231"/>
      <c r="AA9" s="231"/>
      <c r="AB9" s="231"/>
      <c r="AC9" s="227" t="s">
        <v>4445</v>
      </c>
    </row>
    <row r="10" ht="109.5" customHeight="1">
      <c r="A10" s="233" t="s">
        <v>4446</v>
      </c>
      <c r="B10" s="234">
        <v>2020.0</v>
      </c>
      <c r="C10" s="235" t="s">
        <v>373</v>
      </c>
      <c r="D10" s="236" t="s">
        <v>24</v>
      </c>
      <c r="E10" s="237" t="s">
        <v>374</v>
      </c>
      <c r="F10" s="238" t="s">
        <v>375</v>
      </c>
      <c r="G10" s="238" t="s">
        <v>18</v>
      </c>
      <c r="H10" s="239" t="s">
        <v>19</v>
      </c>
      <c r="I10" s="240" t="s">
        <v>4447</v>
      </c>
      <c r="J10" s="241"/>
      <c r="K10" s="242" t="s">
        <v>4448</v>
      </c>
      <c r="L10" s="240" t="s">
        <v>4449</v>
      </c>
      <c r="M10" s="240" t="s">
        <v>4450</v>
      </c>
      <c r="N10" s="243">
        <v>42644.0</v>
      </c>
      <c r="O10" s="244">
        <v>43952.0</v>
      </c>
      <c r="P10" s="240" t="s">
        <v>4451</v>
      </c>
      <c r="Q10" s="242" t="s">
        <v>4452</v>
      </c>
      <c r="R10" s="242" t="s">
        <v>4453</v>
      </c>
      <c r="S10" s="242">
        <v>34.0</v>
      </c>
      <c r="T10" s="240" t="s">
        <v>4454</v>
      </c>
      <c r="U10" s="242" t="s">
        <v>4455</v>
      </c>
      <c r="V10" s="242" t="s">
        <v>4398</v>
      </c>
      <c r="W10" s="242"/>
      <c r="X10" s="242" t="s">
        <v>4456</v>
      </c>
      <c r="Y10" s="242" t="s">
        <v>4457</v>
      </c>
      <c r="Z10" s="242" t="s">
        <v>4458</v>
      </c>
      <c r="AA10" s="242" t="s">
        <v>4459</v>
      </c>
      <c r="AB10" s="242" t="s">
        <v>4460</v>
      </c>
      <c r="AC10" s="240"/>
    </row>
    <row r="11">
      <c r="A11" s="193" t="s">
        <v>4461</v>
      </c>
      <c r="B11" s="194">
        <v>2025.0</v>
      </c>
      <c r="C11" s="195" t="s">
        <v>391</v>
      </c>
      <c r="D11" s="196" t="s">
        <v>81</v>
      </c>
      <c r="E11" s="245" t="s">
        <v>392</v>
      </c>
      <c r="F11" s="197" t="s">
        <v>393</v>
      </c>
      <c r="G11" s="198" t="s">
        <v>18</v>
      </c>
      <c r="H11" s="197" t="s">
        <v>19</v>
      </c>
      <c r="I11" s="246" t="s">
        <v>3359</v>
      </c>
      <c r="J11" s="247" t="s">
        <v>4462</v>
      </c>
      <c r="K11" s="247" t="s">
        <v>3412</v>
      </c>
      <c r="L11" s="246" t="s">
        <v>4463</v>
      </c>
      <c r="M11" s="246" t="s">
        <v>4443</v>
      </c>
      <c r="N11" s="248">
        <v>42461.0</v>
      </c>
      <c r="O11" s="249" t="s">
        <v>4464</v>
      </c>
      <c r="P11" s="246" t="s">
        <v>4465</v>
      </c>
      <c r="Q11" s="249" t="s">
        <v>4466</v>
      </c>
      <c r="R11" s="249" t="s">
        <v>4453</v>
      </c>
      <c r="S11" s="249">
        <v>60.0</v>
      </c>
      <c r="T11" s="246" t="s">
        <v>4467</v>
      </c>
      <c r="U11" s="247"/>
      <c r="V11" s="249" t="s">
        <v>4358</v>
      </c>
      <c r="W11" s="249" t="s">
        <v>4468</v>
      </c>
      <c r="X11" s="249" t="s">
        <v>3570</v>
      </c>
      <c r="Y11" s="249" t="s">
        <v>4361</v>
      </c>
      <c r="Z11" s="247"/>
      <c r="AA11" s="247"/>
      <c r="AB11" s="247"/>
      <c r="AC11" s="246" t="s">
        <v>4469</v>
      </c>
    </row>
    <row r="12">
      <c r="A12" s="203" t="s">
        <v>4470</v>
      </c>
      <c r="B12" s="250">
        <v>2024.0</v>
      </c>
      <c r="C12" s="251" t="s">
        <v>80</v>
      </c>
      <c r="D12" s="252" t="s">
        <v>81</v>
      </c>
      <c r="E12" s="253" t="s">
        <v>82</v>
      </c>
      <c r="F12" s="254" t="s">
        <v>83</v>
      </c>
      <c r="G12" s="254" t="s">
        <v>18</v>
      </c>
      <c r="H12" s="255" t="s">
        <v>19</v>
      </c>
      <c r="I12" s="256" t="s">
        <v>3359</v>
      </c>
      <c r="J12" s="257" t="s">
        <v>4471</v>
      </c>
      <c r="K12" s="258" t="s">
        <v>4472</v>
      </c>
      <c r="L12" s="256" t="s">
        <v>4473</v>
      </c>
      <c r="M12" s="256" t="s">
        <v>4474</v>
      </c>
      <c r="N12" s="259">
        <v>43800.0</v>
      </c>
      <c r="O12" s="258" t="s">
        <v>4475</v>
      </c>
      <c r="P12" s="256" t="s">
        <v>4476</v>
      </c>
      <c r="Q12" s="258" t="s">
        <v>4477</v>
      </c>
      <c r="R12" s="258" t="s">
        <v>4453</v>
      </c>
      <c r="S12" s="258" t="s">
        <v>4478</v>
      </c>
      <c r="T12" s="256" t="s">
        <v>4378</v>
      </c>
      <c r="U12" s="258" t="s">
        <v>4479</v>
      </c>
      <c r="V12" s="258" t="s">
        <v>4398</v>
      </c>
      <c r="W12" s="258" t="s">
        <v>4480</v>
      </c>
      <c r="X12" s="258" t="s">
        <v>3570</v>
      </c>
      <c r="Y12" s="258" t="s">
        <v>4361</v>
      </c>
      <c r="Z12" s="258" t="s">
        <v>4481</v>
      </c>
      <c r="AA12" s="258" t="s">
        <v>4482</v>
      </c>
      <c r="AB12" s="258" t="s">
        <v>4483</v>
      </c>
      <c r="AC12" s="260"/>
    </row>
    <row r="13">
      <c r="A13" s="203" t="s">
        <v>4484</v>
      </c>
      <c r="B13" s="250">
        <v>2022.0</v>
      </c>
      <c r="C13" s="251" t="s">
        <v>178</v>
      </c>
      <c r="D13" s="252" t="s">
        <v>59</v>
      </c>
      <c r="E13" s="253" t="s">
        <v>179</v>
      </c>
      <c r="F13" s="255" t="s">
        <v>180</v>
      </c>
      <c r="G13" s="254" t="s">
        <v>18</v>
      </c>
      <c r="H13" s="255" t="s">
        <v>19</v>
      </c>
      <c r="I13" s="256" t="s">
        <v>3359</v>
      </c>
      <c r="J13" s="261"/>
      <c r="K13" s="262" t="s">
        <v>3362</v>
      </c>
      <c r="L13" s="256" t="s">
        <v>4444</v>
      </c>
      <c r="M13" s="256" t="s">
        <v>4485</v>
      </c>
      <c r="N13" s="263">
        <v>43221.0</v>
      </c>
      <c r="O13" s="258" t="s">
        <v>4486</v>
      </c>
      <c r="P13" s="256" t="s">
        <v>4487</v>
      </c>
      <c r="Q13" s="258" t="s">
        <v>4488</v>
      </c>
      <c r="R13" s="258" t="s">
        <v>4489</v>
      </c>
      <c r="S13" s="258" t="s">
        <v>4490</v>
      </c>
      <c r="T13" s="256" t="s">
        <v>4491</v>
      </c>
      <c r="U13" s="258" t="s">
        <v>4492</v>
      </c>
      <c r="V13" s="258" t="s">
        <v>4398</v>
      </c>
      <c r="W13" s="258" t="s">
        <v>4493</v>
      </c>
      <c r="X13" s="258" t="s">
        <v>4494</v>
      </c>
      <c r="Y13" s="258" t="s">
        <v>4361</v>
      </c>
      <c r="Z13" s="262"/>
      <c r="AA13" s="258" t="s">
        <v>4495</v>
      </c>
      <c r="AB13" s="258" t="s">
        <v>4496</v>
      </c>
      <c r="AC13" s="260"/>
    </row>
    <row r="14">
      <c r="A14" s="212" t="s">
        <v>4497</v>
      </c>
      <c r="B14" s="213">
        <v>2013.0</v>
      </c>
      <c r="C14" s="214" t="s">
        <v>2957</v>
      </c>
      <c r="D14" s="215" t="s">
        <v>1704</v>
      </c>
      <c r="E14" s="216" t="s">
        <v>2958</v>
      </c>
      <c r="F14" s="216" t="s">
        <v>2959</v>
      </c>
      <c r="G14" s="216" t="s">
        <v>1270</v>
      </c>
      <c r="H14" s="217" t="s">
        <v>19</v>
      </c>
      <c r="I14" s="264" t="s">
        <v>3359</v>
      </c>
      <c r="J14" s="219" t="s">
        <v>4498</v>
      </c>
      <c r="K14" s="265" t="s">
        <v>4227</v>
      </c>
      <c r="L14" s="264" t="s">
        <v>3362</v>
      </c>
      <c r="M14" s="264" t="s">
        <v>4499</v>
      </c>
      <c r="N14" s="264" t="s">
        <v>3362</v>
      </c>
      <c r="O14" s="265" t="s">
        <v>4500</v>
      </c>
      <c r="P14" s="264" t="s">
        <v>4501</v>
      </c>
      <c r="Q14" s="219" t="s">
        <v>4502</v>
      </c>
      <c r="R14" s="266"/>
      <c r="S14" s="219" t="s">
        <v>4503</v>
      </c>
      <c r="T14" s="264" t="s">
        <v>4504</v>
      </c>
      <c r="U14" s="265" t="s">
        <v>4505</v>
      </c>
      <c r="V14" s="265" t="s">
        <v>4506</v>
      </c>
      <c r="W14" s="266"/>
      <c r="X14" s="265" t="s">
        <v>4507</v>
      </c>
      <c r="Y14" s="265" t="s">
        <v>4508</v>
      </c>
      <c r="Z14" s="265" t="s">
        <v>4509</v>
      </c>
      <c r="AA14" s="265" t="s">
        <v>4510</v>
      </c>
      <c r="AB14" s="265" t="s">
        <v>4511</v>
      </c>
      <c r="AC14" s="264" t="s">
        <v>4512</v>
      </c>
    </row>
    <row r="15">
      <c r="A15" s="221" t="s">
        <v>4513</v>
      </c>
      <c r="B15" s="222">
        <v>2018.0</v>
      </c>
      <c r="C15" s="223" t="s">
        <v>3132</v>
      </c>
      <c r="D15" s="224" t="s">
        <v>112</v>
      </c>
      <c r="E15" s="226" t="s">
        <v>4514</v>
      </c>
      <c r="F15" s="227" t="s">
        <v>4515</v>
      </c>
      <c r="G15" s="225" t="s">
        <v>1348</v>
      </c>
      <c r="H15" s="226" t="s">
        <v>19</v>
      </c>
      <c r="I15" s="227" t="s">
        <v>4516</v>
      </c>
      <c r="J15" s="231"/>
      <c r="K15" s="228" t="s">
        <v>4517</v>
      </c>
      <c r="L15" s="227" t="s">
        <v>4518</v>
      </c>
      <c r="M15" s="267" t="s">
        <v>4519</v>
      </c>
      <c r="N15" s="227" t="s">
        <v>3362</v>
      </c>
      <c r="O15" s="268" t="s">
        <v>4520</v>
      </c>
      <c r="P15" s="267" t="s">
        <v>4487</v>
      </c>
      <c r="Q15" s="228" t="s">
        <v>4521</v>
      </c>
      <c r="R15" s="228" t="s">
        <v>4522</v>
      </c>
      <c r="S15" s="228" t="s">
        <v>4523</v>
      </c>
      <c r="T15" s="267" t="s">
        <v>4524</v>
      </c>
      <c r="U15" s="268" t="s">
        <v>4525</v>
      </c>
      <c r="V15" s="268" t="s">
        <v>4526</v>
      </c>
      <c r="W15" s="268" t="s">
        <v>4527</v>
      </c>
      <c r="X15" s="227" t="s">
        <v>4528</v>
      </c>
      <c r="Y15" s="268" t="s">
        <v>4520</v>
      </c>
      <c r="Z15" s="268" t="s">
        <v>4529</v>
      </c>
      <c r="AA15" s="268" t="s">
        <v>4530</v>
      </c>
      <c r="AB15" s="268" t="s">
        <v>4531</v>
      </c>
      <c r="AC15" s="267" t="s">
        <v>4532</v>
      </c>
    </row>
    <row r="16">
      <c r="A16" s="221" t="s">
        <v>4533</v>
      </c>
      <c r="B16" s="222">
        <v>2024.0</v>
      </c>
      <c r="C16" s="223" t="s">
        <v>80</v>
      </c>
      <c r="D16" s="224" t="s">
        <v>81</v>
      </c>
      <c r="E16" s="269" t="s">
        <v>82</v>
      </c>
      <c r="F16" s="225" t="s">
        <v>83</v>
      </c>
      <c r="G16" s="225" t="s">
        <v>18</v>
      </c>
      <c r="H16" s="226" t="s">
        <v>19</v>
      </c>
      <c r="I16" s="267" t="s">
        <v>3359</v>
      </c>
      <c r="J16" s="228" t="s">
        <v>4534</v>
      </c>
      <c r="K16" s="268" t="s">
        <v>4535</v>
      </c>
      <c r="L16" s="267" t="s">
        <v>4372</v>
      </c>
      <c r="M16" s="267">
        <v>1.0</v>
      </c>
      <c r="N16" s="270">
        <v>43800.0</v>
      </c>
      <c r="O16" s="268" t="s">
        <v>4536</v>
      </c>
      <c r="P16" s="267" t="s">
        <v>4476</v>
      </c>
      <c r="Q16" s="268" t="s">
        <v>4537</v>
      </c>
      <c r="R16" s="268" t="s">
        <v>4538</v>
      </c>
      <c r="S16" s="268" t="s">
        <v>4539</v>
      </c>
      <c r="T16" s="267" t="s">
        <v>4524</v>
      </c>
      <c r="U16" s="268" t="s">
        <v>4540</v>
      </c>
      <c r="V16" s="268" t="s">
        <v>4541</v>
      </c>
      <c r="W16" s="268" t="s">
        <v>4542</v>
      </c>
      <c r="X16" s="268" t="s">
        <v>4543</v>
      </c>
      <c r="Y16" s="268" t="s">
        <v>4361</v>
      </c>
      <c r="Z16" s="268" t="s">
        <v>4544</v>
      </c>
      <c r="AA16" s="268" t="s">
        <v>4545</v>
      </c>
      <c r="AB16" s="268" t="s">
        <v>4546</v>
      </c>
      <c r="AC16" s="267" t="s">
        <v>4547</v>
      </c>
    </row>
    <row r="17">
      <c r="A17" s="193" t="s">
        <v>4548</v>
      </c>
      <c r="B17" s="194">
        <v>2022.0</v>
      </c>
      <c r="C17" s="195" t="s">
        <v>178</v>
      </c>
      <c r="D17" s="196" t="s">
        <v>59</v>
      </c>
      <c r="E17" s="245" t="s">
        <v>179</v>
      </c>
      <c r="F17" s="198" t="s">
        <v>180</v>
      </c>
      <c r="G17" s="198" t="s">
        <v>18</v>
      </c>
      <c r="H17" s="197" t="s">
        <v>19</v>
      </c>
      <c r="I17" s="246" t="s">
        <v>3359</v>
      </c>
      <c r="J17" s="200" t="s">
        <v>4549</v>
      </c>
      <c r="K17" s="247" t="s">
        <v>3362</v>
      </c>
      <c r="L17" s="246" t="s">
        <v>4444</v>
      </c>
      <c r="M17" s="246" t="s">
        <v>4550</v>
      </c>
      <c r="N17" s="248">
        <v>43221.0</v>
      </c>
      <c r="O17" s="249" t="s">
        <v>4551</v>
      </c>
      <c r="P17" s="246" t="s">
        <v>4487</v>
      </c>
      <c r="Q17" s="247"/>
      <c r="R17" s="249" t="s">
        <v>4433</v>
      </c>
      <c r="S17" s="249">
        <v>38.0</v>
      </c>
      <c r="T17" s="246" t="s">
        <v>4552</v>
      </c>
      <c r="U17" s="249" t="s">
        <v>4553</v>
      </c>
      <c r="V17" s="249" t="s">
        <v>4526</v>
      </c>
      <c r="W17" s="247"/>
      <c r="X17" s="249" t="s">
        <v>4554</v>
      </c>
      <c r="Y17" s="249" t="s">
        <v>4555</v>
      </c>
      <c r="Z17" s="249" t="s">
        <v>4556</v>
      </c>
      <c r="AA17" s="249" t="s">
        <v>4557</v>
      </c>
      <c r="AB17" s="249" t="s">
        <v>4558</v>
      </c>
      <c r="AC17" s="271"/>
    </row>
    <row r="18">
      <c r="A18" s="221" t="s">
        <v>4559</v>
      </c>
      <c r="B18" s="222">
        <v>2018.0</v>
      </c>
      <c r="C18" s="223" t="s">
        <v>3132</v>
      </c>
      <c r="D18" s="224" t="s">
        <v>112</v>
      </c>
      <c r="E18" s="230"/>
      <c r="F18" s="227" t="s">
        <v>4515</v>
      </c>
      <c r="G18" s="225" t="s">
        <v>1348</v>
      </c>
      <c r="H18" s="226" t="s">
        <v>19</v>
      </c>
      <c r="I18" s="227" t="s">
        <v>4516</v>
      </c>
      <c r="J18" s="231"/>
      <c r="K18" s="228" t="s">
        <v>4517</v>
      </c>
      <c r="L18" s="227" t="s">
        <v>4518</v>
      </c>
      <c r="M18" s="267" t="s">
        <v>4519</v>
      </c>
      <c r="N18" s="227" t="s">
        <v>3362</v>
      </c>
      <c r="O18" s="268" t="s">
        <v>4520</v>
      </c>
      <c r="P18" s="267" t="s">
        <v>4487</v>
      </c>
      <c r="Q18" s="228" t="s">
        <v>4521</v>
      </c>
      <c r="R18" s="228" t="s">
        <v>4522</v>
      </c>
      <c r="S18" s="228" t="s">
        <v>4523</v>
      </c>
      <c r="T18" s="267" t="s">
        <v>4524</v>
      </c>
      <c r="U18" s="268" t="s">
        <v>4525</v>
      </c>
      <c r="V18" s="268" t="s">
        <v>4526</v>
      </c>
      <c r="W18" s="268" t="s">
        <v>4527</v>
      </c>
      <c r="X18" s="227" t="s">
        <v>4528</v>
      </c>
      <c r="Y18" s="268" t="s">
        <v>4560</v>
      </c>
      <c r="Z18" s="268" t="s">
        <v>4529</v>
      </c>
      <c r="AA18" s="268" t="s">
        <v>4530</v>
      </c>
      <c r="AB18" s="268" t="s">
        <v>4531</v>
      </c>
      <c r="AC18" s="267" t="s">
        <v>4561</v>
      </c>
    </row>
    <row r="19">
      <c r="A19" s="203" t="s">
        <v>4562</v>
      </c>
      <c r="B19" s="250">
        <v>2024.0</v>
      </c>
      <c r="C19" s="272" t="s">
        <v>3248</v>
      </c>
      <c r="D19" s="206" t="s">
        <v>112</v>
      </c>
      <c r="E19" s="207" t="s">
        <v>3249</v>
      </c>
      <c r="F19" s="208" t="s">
        <v>4563</v>
      </c>
      <c r="G19" s="207" t="s">
        <v>1348</v>
      </c>
      <c r="H19" s="208" t="s">
        <v>19</v>
      </c>
      <c r="I19" s="273" t="s">
        <v>3359</v>
      </c>
      <c r="J19" s="274"/>
      <c r="K19" s="275" t="s">
        <v>4564</v>
      </c>
      <c r="L19" s="191" t="s">
        <v>4565</v>
      </c>
      <c r="M19" s="273" t="s">
        <v>3605</v>
      </c>
      <c r="N19" s="273" t="s">
        <v>3362</v>
      </c>
      <c r="O19" s="275" t="s">
        <v>3362</v>
      </c>
      <c r="P19" s="273" t="s">
        <v>4431</v>
      </c>
      <c r="Q19" s="275" t="s">
        <v>4566</v>
      </c>
      <c r="R19" s="275" t="s">
        <v>4567</v>
      </c>
      <c r="S19" s="275" t="s">
        <v>4568</v>
      </c>
      <c r="T19" s="273" t="s">
        <v>4524</v>
      </c>
      <c r="U19" s="275" t="s">
        <v>4569</v>
      </c>
      <c r="V19" s="275" t="s">
        <v>4570</v>
      </c>
      <c r="W19" s="275" t="s">
        <v>3362</v>
      </c>
      <c r="X19" s="275" t="s">
        <v>4571</v>
      </c>
      <c r="Y19" s="275" t="s">
        <v>4572</v>
      </c>
      <c r="Z19" s="192" t="s">
        <v>4573</v>
      </c>
      <c r="AA19" s="192" t="s">
        <v>4574</v>
      </c>
      <c r="AB19" s="275" t="s">
        <v>4575</v>
      </c>
      <c r="AC19" s="273" t="s">
        <v>4576</v>
      </c>
    </row>
    <row r="20">
      <c r="A20" s="203" t="s">
        <v>4577</v>
      </c>
      <c r="B20" s="250">
        <v>2024.0</v>
      </c>
      <c r="C20" s="272" t="s">
        <v>3251</v>
      </c>
      <c r="D20" s="276" t="s">
        <v>272</v>
      </c>
      <c r="E20" s="277"/>
      <c r="F20" s="278" t="s">
        <v>4578</v>
      </c>
      <c r="G20" s="279" t="s">
        <v>1348</v>
      </c>
      <c r="H20" s="278" t="s">
        <v>19</v>
      </c>
      <c r="I20" s="280" t="s">
        <v>3359</v>
      </c>
      <c r="J20" s="192" t="s">
        <v>4579</v>
      </c>
      <c r="K20" s="192" t="s">
        <v>4580</v>
      </c>
      <c r="L20" s="280" t="s">
        <v>4581</v>
      </c>
      <c r="M20" s="281"/>
      <c r="N20" s="280" t="s">
        <v>3362</v>
      </c>
      <c r="O20" s="282" t="s">
        <v>4520</v>
      </c>
      <c r="P20" s="280" t="s">
        <v>4431</v>
      </c>
      <c r="Q20" s="282" t="s">
        <v>4582</v>
      </c>
      <c r="R20" s="282" t="s">
        <v>4583</v>
      </c>
      <c r="S20" s="282" t="s">
        <v>4584</v>
      </c>
      <c r="T20" s="280" t="s">
        <v>4378</v>
      </c>
      <c r="U20" s="282" t="s">
        <v>4585</v>
      </c>
      <c r="V20" s="282" t="s">
        <v>4586</v>
      </c>
      <c r="W20" s="282" t="s">
        <v>3362</v>
      </c>
      <c r="X20" s="283" t="s">
        <v>4587</v>
      </c>
      <c r="Y20" s="282" t="s">
        <v>4588</v>
      </c>
      <c r="Z20" s="284" t="s">
        <v>4589</v>
      </c>
      <c r="AA20" s="284" t="s">
        <v>4590</v>
      </c>
      <c r="AB20" s="284" t="s">
        <v>4591</v>
      </c>
      <c r="AC20" s="280" t="s">
        <v>4576</v>
      </c>
    </row>
    <row r="21">
      <c r="A21" s="31">
        <v>2022.0</v>
      </c>
      <c r="B21" s="32" t="s">
        <v>1626</v>
      </c>
      <c r="C21" s="33" t="s">
        <v>1627</v>
      </c>
      <c r="D21" s="34" t="s">
        <v>1327</v>
      </c>
      <c r="E21" s="33" t="s">
        <v>1628</v>
      </c>
      <c r="F21" s="33" t="s">
        <v>1629</v>
      </c>
      <c r="G21" s="33" t="s">
        <v>1270</v>
      </c>
      <c r="H21" s="35" t="s">
        <v>19</v>
      </c>
      <c r="I21" s="36" t="s">
        <v>27</v>
      </c>
      <c r="J21" s="37"/>
      <c r="K21" s="37"/>
      <c r="L21" s="37"/>
      <c r="M21" s="37"/>
      <c r="N21" s="37"/>
      <c r="O21" s="37"/>
      <c r="P21" s="37"/>
      <c r="Q21" s="37"/>
      <c r="AA21" s="285"/>
      <c r="AB21" s="285"/>
      <c r="AC21" s="211"/>
    </row>
    <row r="22">
      <c r="C22" s="39"/>
      <c r="J22" s="39"/>
      <c r="K22" s="39"/>
      <c r="O22" s="39"/>
      <c r="Q22" s="39"/>
      <c r="R22" s="39"/>
      <c r="S22" s="39"/>
      <c r="U22" s="39"/>
      <c r="V22" s="39"/>
      <c r="W22" s="39"/>
      <c r="X22" s="39"/>
      <c r="Y22" s="39"/>
      <c r="Z22" s="39"/>
      <c r="AA22" s="39"/>
      <c r="AB22" s="39"/>
    </row>
    <row r="23">
      <c r="C23" s="39"/>
      <c r="J23" s="39"/>
      <c r="K23" s="39"/>
      <c r="O23" s="39"/>
      <c r="Q23" s="39"/>
      <c r="R23" s="39"/>
      <c r="S23" s="39"/>
      <c r="U23" s="39"/>
      <c r="V23" s="39"/>
      <c r="W23" s="39"/>
      <c r="X23" s="39"/>
      <c r="Y23" s="39"/>
      <c r="Z23" s="39"/>
      <c r="AA23" s="39"/>
      <c r="AB23" s="39"/>
    </row>
    <row r="24">
      <c r="C24" s="39"/>
      <c r="J24" s="39"/>
      <c r="K24" s="39"/>
      <c r="O24" s="39"/>
      <c r="Q24" s="39"/>
      <c r="R24" s="39"/>
      <c r="S24" s="39"/>
      <c r="U24" s="39"/>
      <c r="V24" s="39"/>
      <c r="W24" s="39"/>
      <c r="X24" s="39"/>
      <c r="Y24" s="39"/>
      <c r="Z24" s="39"/>
      <c r="AA24" s="39"/>
      <c r="AB24" s="39"/>
    </row>
    <row r="25">
      <c r="C25" s="39"/>
      <c r="J25" s="39"/>
      <c r="K25" s="39"/>
      <c r="O25" s="39"/>
      <c r="Q25" s="39"/>
      <c r="R25" s="39"/>
      <c r="S25" s="39"/>
      <c r="U25" s="39"/>
      <c r="V25" s="39"/>
      <c r="W25" s="39"/>
      <c r="X25" s="39"/>
      <c r="Y25" s="39"/>
      <c r="Z25" s="39"/>
      <c r="AA25" s="39"/>
      <c r="AB25" s="39"/>
    </row>
    <row r="26">
      <c r="C26" s="39"/>
      <c r="J26" s="39"/>
      <c r="K26" s="39"/>
      <c r="O26" s="39"/>
      <c r="Q26" s="39"/>
      <c r="R26" s="39"/>
      <c r="S26" s="39"/>
      <c r="U26" s="39"/>
      <c r="V26" s="39"/>
      <c r="W26" s="39"/>
      <c r="X26" s="39"/>
      <c r="Y26" s="39"/>
      <c r="Z26" s="39"/>
      <c r="AA26" s="39"/>
      <c r="AB26" s="39"/>
    </row>
    <row r="27">
      <c r="C27" s="39"/>
      <c r="J27" s="39"/>
      <c r="K27" s="39"/>
      <c r="O27" s="39"/>
      <c r="Q27" s="39"/>
      <c r="R27" s="39"/>
      <c r="S27" s="39"/>
      <c r="U27" s="39"/>
      <c r="V27" s="39"/>
      <c r="W27" s="39"/>
      <c r="X27" s="39"/>
      <c r="Y27" s="39"/>
      <c r="Z27" s="39"/>
      <c r="AA27" s="39"/>
      <c r="AB27" s="39"/>
    </row>
    <row r="28">
      <c r="C28" s="39"/>
      <c r="J28" s="39"/>
      <c r="K28" s="39"/>
      <c r="O28" s="39"/>
      <c r="Q28" s="39"/>
      <c r="R28" s="39"/>
      <c r="S28" s="39"/>
      <c r="U28" s="39"/>
      <c r="V28" s="39"/>
      <c r="W28" s="39"/>
      <c r="X28" s="39"/>
      <c r="Y28" s="39"/>
      <c r="Z28" s="39"/>
      <c r="AA28" s="39"/>
      <c r="AB28" s="39"/>
    </row>
    <row r="29">
      <c r="C29" s="39"/>
      <c r="J29" s="39"/>
      <c r="K29" s="39"/>
      <c r="O29" s="39"/>
      <c r="Q29" s="39"/>
      <c r="R29" s="39"/>
      <c r="S29" s="39"/>
      <c r="U29" s="39"/>
      <c r="V29" s="39"/>
      <c r="W29" s="39"/>
      <c r="X29" s="39"/>
      <c r="Y29" s="39"/>
      <c r="Z29" s="39"/>
      <c r="AA29" s="39"/>
      <c r="AB29" s="39"/>
    </row>
    <row r="30">
      <c r="C30" s="39"/>
      <c r="J30" s="39"/>
      <c r="K30" s="39"/>
      <c r="O30" s="39"/>
      <c r="Q30" s="39"/>
      <c r="R30" s="39"/>
      <c r="S30" s="39"/>
      <c r="U30" s="39"/>
      <c r="V30" s="39"/>
      <c r="W30" s="39"/>
      <c r="X30" s="39"/>
      <c r="Y30" s="39"/>
      <c r="Z30" s="39"/>
      <c r="AA30" s="39"/>
      <c r="AB30" s="39"/>
    </row>
    <row r="31">
      <c r="C31" s="39"/>
      <c r="J31" s="39"/>
      <c r="K31" s="39"/>
      <c r="O31" s="39"/>
      <c r="Q31" s="39"/>
      <c r="R31" s="39"/>
      <c r="S31" s="39"/>
      <c r="U31" s="39"/>
      <c r="V31" s="39"/>
      <c r="W31" s="39"/>
      <c r="X31" s="39"/>
      <c r="Y31" s="39"/>
      <c r="Z31" s="39"/>
      <c r="AA31" s="39"/>
      <c r="AB31" s="39"/>
    </row>
    <row r="32">
      <c r="C32" s="39"/>
      <c r="J32" s="39"/>
      <c r="K32" s="39"/>
      <c r="O32" s="39"/>
      <c r="Q32" s="39"/>
      <c r="R32" s="39"/>
      <c r="S32" s="39"/>
      <c r="U32" s="39"/>
      <c r="V32" s="39"/>
      <c r="W32" s="39"/>
      <c r="X32" s="39"/>
      <c r="Y32" s="39"/>
      <c r="Z32" s="39"/>
      <c r="AA32" s="39"/>
      <c r="AB32" s="39"/>
    </row>
    <row r="33">
      <c r="C33" s="39"/>
      <c r="J33" s="39"/>
      <c r="K33" s="39"/>
      <c r="O33" s="39"/>
      <c r="Q33" s="39"/>
      <c r="R33" s="39"/>
      <c r="S33" s="39"/>
      <c r="U33" s="39"/>
      <c r="V33" s="39"/>
      <c r="W33" s="39"/>
      <c r="X33" s="39"/>
      <c r="Y33" s="39"/>
      <c r="Z33" s="39"/>
      <c r="AA33" s="39"/>
      <c r="AB33" s="39"/>
    </row>
    <row r="34">
      <c r="C34" s="39"/>
      <c r="J34" s="39"/>
      <c r="K34" s="39"/>
      <c r="O34" s="39"/>
      <c r="Q34" s="39"/>
      <c r="R34" s="39"/>
      <c r="S34" s="39"/>
      <c r="U34" s="39"/>
      <c r="V34" s="39"/>
      <c r="W34" s="39"/>
      <c r="X34" s="39"/>
      <c r="Y34" s="39"/>
      <c r="Z34" s="39"/>
      <c r="AA34" s="39"/>
      <c r="AB34" s="39"/>
    </row>
    <row r="35">
      <c r="C35" s="39"/>
      <c r="J35" s="39"/>
      <c r="K35" s="39"/>
      <c r="O35" s="39"/>
      <c r="Q35" s="39"/>
      <c r="R35" s="39"/>
      <c r="S35" s="39"/>
      <c r="U35" s="39"/>
      <c r="V35" s="39"/>
      <c r="W35" s="39"/>
      <c r="X35" s="39"/>
      <c r="Y35" s="39"/>
      <c r="Z35" s="39"/>
      <c r="AA35" s="39"/>
      <c r="AB35" s="39"/>
    </row>
    <row r="36">
      <c r="C36" s="39"/>
      <c r="J36" s="39"/>
      <c r="K36" s="39"/>
      <c r="O36" s="39"/>
      <c r="Q36" s="39"/>
      <c r="R36" s="39"/>
      <c r="S36" s="39"/>
      <c r="U36" s="39"/>
      <c r="V36" s="39"/>
      <c r="W36" s="39"/>
      <c r="X36" s="39"/>
      <c r="Y36" s="39"/>
      <c r="Z36" s="39"/>
      <c r="AA36" s="39"/>
      <c r="AB36" s="39"/>
    </row>
    <row r="37">
      <c r="C37" s="39"/>
      <c r="J37" s="39"/>
      <c r="K37" s="39"/>
      <c r="O37" s="39"/>
      <c r="Q37" s="39"/>
      <c r="R37" s="39"/>
      <c r="S37" s="39"/>
      <c r="U37" s="39"/>
      <c r="V37" s="39"/>
      <c r="W37" s="39"/>
      <c r="X37" s="39"/>
      <c r="Y37" s="39"/>
      <c r="Z37" s="39"/>
      <c r="AA37" s="39"/>
      <c r="AB37" s="39"/>
    </row>
    <row r="38">
      <c r="C38" s="39"/>
      <c r="J38" s="39"/>
      <c r="K38" s="39"/>
      <c r="O38" s="39"/>
      <c r="Q38" s="39"/>
      <c r="R38" s="39"/>
      <c r="S38" s="39"/>
      <c r="U38" s="39"/>
      <c r="V38" s="39"/>
      <c r="W38" s="39"/>
      <c r="X38" s="39"/>
      <c r="Y38" s="39"/>
      <c r="Z38" s="39"/>
      <c r="AA38" s="39"/>
      <c r="AB38" s="39"/>
    </row>
    <row r="39">
      <c r="C39" s="39"/>
      <c r="J39" s="39"/>
      <c r="K39" s="39"/>
      <c r="O39" s="39"/>
      <c r="Q39" s="39"/>
      <c r="R39" s="39"/>
      <c r="S39" s="39"/>
      <c r="U39" s="39"/>
      <c r="V39" s="39"/>
      <c r="W39" s="39"/>
      <c r="X39" s="39"/>
      <c r="Y39" s="39"/>
      <c r="Z39" s="39"/>
      <c r="AA39" s="39"/>
      <c r="AB39" s="39"/>
    </row>
    <row r="40">
      <c r="C40" s="39"/>
      <c r="J40" s="39"/>
      <c r="K40" s="39"/>
      <c r="O40" s="39"/>
      <c r="Q40" s="39"/>
      <c r="R40" s="39"/>
      <c r="S40" s="39"/>
      <c r="U40" s="39"/>
      <c r="V40" s="39"/>
      <c r="W40" s="39"/>
      <c r="X40" s="39"/>
      <c r="Y40" s="39"/>
      <c r="Z40" s="39"/>
      <c r="AA40" s="39"/>
      <c r="AB40" s="39"/>
    </row>
    <row r="41">
      <c r="C41" s="39"/>
      <c r="J41" s="39"/>
      <c r="K41" s="39"/>
      <c r="O41" s="39"/>
      <c r="Q41" s="39"/>
      <c r="R41" s="39"/>
      <c r="S41" s="39"/>
      <c r="U41" s="39"/>
      <c r="V41" s="39"/>
      <c r="W41" s="39"/>
      <c r="X41" s="39"/>
      <c r="Y41" s="39"/>
      <c r="Z41" s="39"/>
      <c r="AA41" s="39"/>
      <c r="AB41" s="39"/>
    </row>
    <row r="42">
      <c r="C42" s="39"/>
      <c r="J42" s="39"/>
      <c r="K42" s="39"/>
      <c r="O42" s="39"/>
      <c r="Q42" s="39"/>
      <c r="R42" s="39"/>
      <c r="S42" s="39"/>
      <c r="U42" s="39"/>
      <c r="V42" s="39"/>
      <c r="W42" s="39"/>
      <c r="X42" s="39"/>
      <c r="Y42" s="39"/>
      <c r="Z42" s="39"/>
      <c r="AA42" s="39"/>
      <c r="AB42" s="39"/>
    </row>
    <row r="43">
      <c r="C43" s="39"/>
      <c r="J43" s="39"/>
      <c r="K43" s="39"/>
      <c r="O43" s="39"/>
      <c r="Q43" s="39"/>
      <c r="R43" s="39"/>
      <c r="S43" s="39"/>
      <c r="U43" s="39"/>
      <c r="V43" s="39"/>
      <c r="W43" s="39"/>
      <c r="X43" s="39"/>
      <c r="Y43" s="39"/>
      <c r="Z43" s="39"/>
      <c r="AA43" s="39"/>
      <c r="AB43" s="39"/>
    </row>
    <row r="44">
      <c r="C44" s="39"/>
      <c r="J44" s="39"/>
      <c r="K44" s="39"/>
      <c r="O44" s="39"/>
      <c r="Q44" s="39"/>
      <c r="R44" s="39"/>
      <c r="S44" s="39"/>
      <c r="U44" s="39"/>
      <c r="V44" s="39"/>
      <c r="W44" s="39"/>
      <c r="X44" s="39"/>
      <c r="Y44" s="39"/>
      <c r="Z44" s="39"/>
      <c r="AA44" s="39"/>
      <c r="AB44" s="39"/>
    </row>
    <row r="45">
      <c r="C45" s="39"/>
      <c r="J45" s="39"/>
      <c r="K45" s="39"/>
      <c r="O45" s="39"/>
      <c r="Q45" s="39"/>
      <c r="R45" s="39"/>
      <c r="S45" s="39"/>
      <c r="U45" s="39"/>
      <c r="V45" s="39"/>
      <c r="W45" s="39"/>
      <c r="X45" s="39"/>
      <c r="Y45" s="39"/>
      <c r="Z45" s="39"/>
      <c r="AA45" s="39"/>
      <c r="AB45" s="39"/>
    </row>
    <row r="46">
      <c r="C46" s="39"/>
      <c r="J46" s="39"/>
      <c r="K46" s="39"/>
      <c r="O46" s="39"/>
      <c r="Q46" s="39"/>
      <c r="R46" s="39"/>
      <c r="S46" s="39"/>
      <c r="U46" s="39"/>
      <c r="V46" s="39"/>
      <c r="W46" s="39"/>
      <c r="X46" s="39"/>
      <c r="Y46" s="39"/>
      <c r="Z46" s="39"/>
      <c r="AA46" s="39"/>
      <c r="AB46" s="39"/>
    </row>
    <row r="47">
      <c r="C47" s="39"/>
      <c r="J47" s="39"/>
      <c r="K47" s="39"/>
      <c r="O47" s="39"/>
      <c r="Q47" s="39"/>
      <c r="R47" s="39"/>
      <c r="S47" s="39"/>
      <c r="U47" s="39"/>
      <c r="V47" s="39"/>
      <c r="W47" s="39"/>
      <c r="X47" s="39"/>
      <c r="Y47" s="39"/>
      <c r="Z47" s="39"/>
      <c r="AA47" s="39"/>
      <c r="AB47" s="39"/>
    </row>
    <row r="48">
      <c r="C48" s="39"/>
      <c r="J48" s="39"/>
      <c r="K48" s="39"/>
      <c r="O48" s="39"/>
      <c r="Q48" s="39"/>
      <c r="R48" s="39"/>
      <c r="S48" s="39"/>
      <c r="U48" s="39"/>
      <c r="V48" s="39"/>
      <c r="W48" s="39"/>
      <c r="X48" s="39"/>
      <c r="Y48" s="39"/>
      <c r="Z48" s="39"/>
      <c r="AA48" s="39"/>
      <c r="AB48" s="39"/>
    </row>
    <row r="49">
      <c r="C49" s="39"/>
      <c r="J49" s="39"/>
      <c r="K49" s="39"/>
      <c r="O49" s="39"/>
      <c r="Q49" s="39"/>
      <c r="R49" s="39"/>
      <c r="S49" s="39"/>
      <c r="U49" s="39"/>
      <c r="V49" s="39"/>
      <c r="W49" s="39"/>
      <c r="X49" s="39"/>
      <c r="Y49" s="39"/>
      <c r="Z49" s="39"/>
      <c r="AA49" s="39"/>
      <c r="AB49" s="39"/>
    </row>
    <row r="50">
      <c r="C50" s="39"/>
      <c r="J50" s="39"/>
      <c r="K50" s="39"/>
      <c r="O50" s="39"/>
      <c r="Q50" s="39"/>
      <c r="R50" s="39"/>
      <c r="S50" s="39"/>
      <c r="U50" s="39"/>
      <c r="V50" s="39"/>
      <c r="W50" s="39"/>
      <c r="X50" s="39"/>
      <c r="Y50" s="39"/>
      <c r="Z50" s="39"/>
      <c r="AA50" s="39"/>
      <c r="AB50" s="39"/>
    </row>
    <row r="51">
      <c r="C51" s="39"/>
      <c r="J51" s="39"/>
      <c r="K51" s="39"/>
      <c r="O51" s="39"/>
      <c r="Q51" s="39"/>
      <c r="R51" s="39"/>
      <c r="S51" s="39"/>
      <c r="U51" s="39"/>
      <c r="V51" s="39"/>
      <c r="W51" s="39"/>
      <c r="X51" s="39"/>
      <c r="Y51" s="39"/>
      <c r="Z51" s="39"/>
      <c r="AA51" s="39"/>
      <c r="AB51" s="39"/>
    </row>
    <row r="52">
      <c r="C52" s="39"/>
      <c r="J52" s="39"/>
      <c r="K52" s="39"/>
      <c r="O52" s="39"/>
      <c r="Q52" s="39"/>
      <c r="R52" s="39"/>
      <c r="S52" s="39"/>
      <c r="U52" s="39"/>
      <c r="V52" s="39"/>
      <c r="W52" s="39"/>
      <c r="X52" s="39"/>
      <c r="Y52" s="39"/>
      <c r="Z52" s="39"/>
      <c r="AA52" s="39"/>
      <c r="AB52" s="39"/>
    </row>
    <row r="53">
      <c r="C53" s="39"/>
      <c r="J53" s="39"/>
      <c r="K53" s="39"/>
      <c r="O53" s="39"/>
      <c r="Q53" s="39"/>
      <c r="R53" s="39"/>
      <c r="S53" s="39"/>
      <c r="U53" s="39"/>
      <c r="V53" s="39"/>
      <c r="W53" s="39"/>
      <c r="X53" s="39"/>
      <c r="Y53" s="39"/>
      <c r="Z53" s="39"/>
      <c r="AA53" s="39"/>
      <c r="AB53" s="39"/>
    </row>
    <row r="54">
      <c r="C54" s="39"/>
      <c r="J54" s="39"/>
      <c r="K54" s="39"/>
      <c r="O54" s="39"/>
      <c r="Q54" s="39"/>
      <c r="R54" s="39"/>
      <c r="S54" s="39"/>
      <c r="U54" s="39"/>
      <c r="V54" s="39"/>
      <c r="W54" s="39"/>
      <c r="X54" s="39"/>
      <c r="Y54" s="39"/>
      <c r="Z54" s="39"/>
      <c r="AA54" s="39"/>
      <c r="AB54" s="39"/>
    </row>
    <row r="55">
      <c r="C55" s="39"/>
      <c r="J55" s="39"/>
      <c r="K55" s="39"/>
      <c r="O55" s="39"/>
      <c r="Q55" s="39"/>
      <c r="R55" s="39"/>
      <c r="S55" s="39"/>
      <c r="U55" s="39"/>
      <c r="V55" s="39"/>
      <c r="W55" s="39"/>
      <c r="X55" s="39"/>
      <c r="Y55" s="39"/>
      <c r="Z55" s="39"/>
      <c r="AA55" s="39"/>
      <c r="AB55" s="39"/>
    </row>
    <row r="56">
      <c r="C56" s="39"/>
      <c r="J56" s="39"/>
      <c r="K56" s="39"/>
      <c r="O56" s="39"/>
      <c r="Q56" s="39"/>
      <c r="R56" s="39"/>
      <c r="S56" s="39"/>
      <c r="U56" s="39"/>
      <c r="V56" s="39"/>
      <c r="W56" s="39"/>
      <c r="X56" s="39"/>
      <c r="Y56" s="39"/>
      <c r="Z56" s="39"/>
      <c r="AA56" s="39"/>
      <c r="AB56" s="39"/>
    </row>
    <row r="57">
      <c r="C57" s="39"/>
      <c r="J57" s="39"/>
      <c r="K57" s="39"/>
      <c r="O57" s="39"/>
      <c r="Q57" s="39"/>
      <c r="R57" s="39"/>
      <c r="S57" s="39"/>
      <c r="U57" s="39"/>
      <c r="V57" s="39"/>
      <c r="W57" s="39"/>
      <c r="X57" s="39"/>
      <c r="Y57" s="39"/>
      <c r="Z57" s="39"/>
      <c r="AA57" s="39"/>
      <c r="AB57" s="39"/>
    </row>
    <row r="58">
      <c r="C58" s="39"/>
      <c r="J58" s="39"/>
      <c r="K58" s="39"/>
      <c r="O58" s="39"/>
      <c r="Q58" s="39"/>
      <c r="R58" s="39"/>
      <c r="S58" s="39"/>
      <c r="U58" s="39"/>
      <c r="V58" s="39"/>
      <c r="W58" s="39"/>
      <c r="X58" s="39"/>
      <c r="Y58" s="39"/>
      <c r="Z58" s="39"/>
      <c r="AA58" s="39"/>
      <c r="AB58" s="39"/>
    </row>
    <row r="59">
      <c r="C59" s="39"/>
      <c r="J59" s="39"/>
      <c r="K59" s="39"/>
      <c r="O59" s="39"/>
      <c r="Q59" s="39"/>
      <c r="R59" s="39"/>
      <c r="S59" s="39"/>
      <c r="U59" s="39"/>
      <c r="V59" s="39"/>
      <c r="W59" s="39"/>
      <c r="X59" s="39"/>
      <c r="Y59" s="39"/>
      <c r="Z59" s="39"/>
      <c r="AA59" s="39"/>
      <c r="AB59" s="39"/>
    </row>
    <row r="60">
      <c r="C60" s="39"/>
      <c r="J60" s="39"/>
      <c r="K60" s="39"/>
      <c r="O60" s="39"/>
      <c r="Q60" s="39"/>
      <c r="R60" s="39"/>
      <c r="S60" s="39"/>
      <c r="U60" s="39"/>
      <c r="V60" s="39"/>
      <c r="W60" s="39"/>
      <c r="X60" s="39"/>
      <c r="Y60" s="39"/>
      <c r="Z60" s="39"/>
      <c r="AA60" s="39"/>
      <c r="AB60" s="39"/>
    </row>
    <row r="61">
      <c r="C61" s="39"/>
      <c r="J61" s="39"/>
      <c r="K61" s="39"/>
      <c r="O61" s="39"/>
      <c r="Q61" s="39"/>
      <c r="R61" s="39"/>
      <c r="S61" s="39"/>
      <c r="U61" s="39"/>
      <c r="V61" s="39"/>
      <c r="W61" s="39"/>
      <c r="X61" s="39"/>
      <c r="Y61" s="39"/>
      <c r="Z61" s="39"/>
      <c r="AA61" s="39"/>
      <c r="AB61" s="39"/>
    </row>
    <row r="62">
      <c r="C62" s="39"/>
      <c r="J62" s="39"/>
      <c r="K62" s="39"/>
      <c r="O62" s="39"/>
      <c r="Q62" s="39"/>
      <c r="R62" s="39"/>
      <c r="S62" s="39"/>
      <c r="U62" s="39"/>
      <c r="V62" s="39"/>
      <c r="W62" s="39"/>
      <c r="X62" s="39"/>
      <c r="Y62" s="39"/>
      <c r="Z62" s="39"/>
      <c r="AA62" s="39"/>
      <c r="AB62" s="39"/>
    </row>
    <row r="63">
      <c r="C63" s="39"/>
      <c r="J63" s="39"/>
      <c r="K63" s="39"/>
      <c r="O63" s="39"/>
      <c r="Q63" s="39"/>
      <c r="R63" s="39"/>
      <c r="S63" s="39"/>
      <c r="U63" s="39"/>
      <c r="V63" s="39"/>
      <c r="W63" s="39"/>
      <c r="X63" s="39"/>
      <c r="Y63" s="39"/>
      <c r="Z63" s="39"/>
      <c r="AA63" s="39"/>
      <c r="AB63" s="39"/>
    </row>
    <row r="64">
      <c r="C64" s="39"/>
      <c r="J64" s="39"/>
      <c r="K64" s="39"/>
      <c r="O64" s="39"/>
      <c r="Q64" s="39"/>
      <c r="R64" s="39"/>
      <c r="S64" s="39"/>
      <c r="U64" s="39"/>
      <c r="V64" s="39"/>
      <c r="W64" s="39"/>
      <c r="X64" s="39"/>
      <c r="Y64" s="39"/>
      <c r="Z64" s="39"/>
      <c r="AA64" s="39"/>
      <c r="AB64" s="39"/>
    </row>
    <row r="65">
      <c r="C65" s="39"/>
      <c r="J65" s="39"/>
      <c r="K65" s="39"/>
      <c r="O65" s="39"/>
      <c r="Q65" s="39"/>
      <c r="R65" s="39"/>
      <c r="S65" s="39"/>
      <c r="U65" s="39"/>
      <c r="V65" s="39"/>
      <c r="W65" s="39"/>
      <c r="X65" s="39"/>
      <c r="Y65" s="39"/>
      <c r="Z65" s="39"/>
      <c r="AA65" s="39"/>
      <c r="AB65" s="39"/>
    </row>
    <row r="66">
      <c r="C66" s="39"/>
      <c r="J66" s="39"/>
      <c r="K66" s="39"/>
      <c r="O66" s="39"/>
      <c r="Q66" s="39"/>
      <c r="R66" s="39"/>
      <c r="S66" s="39"/>
      <c r="U66" s="39"/>
      <c r="V66" s="39"/>
      <c r="W66" s="39"/>
      <c r="X66" s="39"/>
      <c r="Y66" s="39"/>
      <c r="Z66" s="39"/>
      <c r="AA66" s="39"/>
      <c r="AB66" s="39"/>
    </row>
    <row r="67">
      <c r="C67" s="39"/>
      <c r="J67" s="39"/>
      <c r="K67" s="39"/>
      <c r="O67" s="39"/>
      <c r="Q67" s="39"/>
      <c r="R67" s="39"/>
      <c r="S67" s="39"/>
      <c r="U67" s="39"/>
      <c r="V67" s="39"/>
      <c r="W67" s="39"/>
      <c r="X67" s="39"/>
      <c r="Y67" s="39"/>
      <c r="Z67" s="39"/>
      <c r="AA67" s="39"/>
      <c r="AB67" s="39"/>
    </row>
    <row r="68">
      <c r="C68" s="39"/>
      <c r="J68" s="39"/>
      <c r="K68" s="39"/>
      <c r="O68" s="39"/>
      <c r="Q68" s="39"/>
      <c r="R68" s="39"/>
      <c r="S68" s="39"/>
      <c r="U68" s="39"/>
      <c r="V68" s="39"/>
      <c r="W68" s="39"/>
      <c r="X68" s="39"/>
      <c r="Y68" s="39"/>
      <c r="Z68" s="39"/>
      <c r="AA68" s="39"/>
      <c r="AB68" s="39"/>
    </row>
    <row r="69">
      <c r="C69" s="39"/>
      <c r="J69" s="39"/>
      <c r="K69" s="39"/>
      <c r="O69" s="39"/>
      <c r="Q69" s="39"/>
      <c r="R69" s="39"/>
      <c r="S69" s="39"/>
      <c r="U69" s="39"/>
      <c r="V69" s="39"/>
      <c r="W69" s="39"/>
      <c r="X69" s="39"/>
      <c r="Y69" s="39"/>
      <c r="Z69" s="39"/>
      <c r="AA69" s="39"/>
      <c r="AB69" s="39"/>
    </row>
    <row r="70">
      <c r="C70" s="39"/>
      <c r="J70" s="39"/>
      <c r="K70" s="39"/>
      <c r="O70" s="39"/>
      <c r="Q70" s="39"/>
      <c r="R70" s="39"/>
      <c r="S70" s="39"/>
      <c r="U70" s="39"/>
      <c r="V70" s="39"/>
      <c r="W70" s="39"/>
      <c r="X70" s="39"/>
      <c r="Y70" s="39"/>
      <c r="Z70" s="39"/>
      <c r="AA70" s="39"/>
      <c r="AB70" s="39"/>
    </row>
    <row r="71">
      <c r="C71" s="39"/>
      <c r="J71" s="39"/>
      <c r="K71" s="39"/>
      <c r="O71" s="39"/>
      <c r="Q71" s="39"/>
      <c r="R71" s="39"/>
      <c r="S71" s="39"/>
      <c r="U71" s="39"/>
      <c r="V71" s="39"/>
      <c r="W71" s="39"/>
      <c r="X71" s="39"/>
      <c r="Y71" s="39"/>
      <c r="Z71" s="39"/>
      <c r="AA71" s="39"/>
      <c r="AB71" s="39"/>
    </row>
    <row r="72">
      <c r="C72" s="39"/>
      <c r="J72" s="39"/>
      <c r="K72" s="39"/>
      <c r="O72" s="39"/>
      <c r="Q72" s="39"/>
      <c r="R72" s="39"/>
      <c r="S72" s="39"/>
      <c r="U72" s="39"/>
      <c r="V72" s="39"/>
      <c r="W72" s="39"/>
      <c r="X72" s="39"/>
      <c r="Y72" s="39"/>
      <c r="Z72" s="39"/>
      <c r="AA72" s="39"/>
      <c r="AB72" s="39"/>
    </row>
    <row r="73">
      <c r="C73" s="39"/>
      <c r="J73" s="39"/>
      <c r="K73" s="39"/>
      <c r="O73" s="39"/>
      <c r="Q73" s="39"/>
      <c r="R73" s="39"/>
      <c r="S73" s="39"/>
      <c r="U73" s="39"/>
      <c r="V73" s="39"/>
      <c r="W73" s="39"/>
      <c r="X73" s="39"/>
      <c r="Y73" s="39"/>
      <c r="Z73" s="39"/>
      <c r="AA73" s="39"/>
      <c r="AB73" s="39"/>
    </row>
    <row r="74">
      <c r="C74" s="39"/>
      <c r="J74" s="39"/>
      <c r="K74" s="39"/>
      <c r="O74" s="39"/>
      <c r="Q74" s="39"/>
      <c r="R74" s="39"/>
      <c r="S74" s="39"/>
      <c r="U74" s="39"/>
      <c r="V74" s="39"/>
      <c r="W74" s="39"/>
      <c r="X74" s="39"/>
      <c r="Y74" s="39"/>
      <c r="Z74" s="39"/>
      <c r="AA74" s="39"/>
      <c r="AB74" s="39"/>
    </row>
    <row r="75">
      <c r="C75" s="39"/>
      <c r="J75" s="39"/>
      <c r="K75" s="39"/>
      <c r="O75" s="39"/>
      <c r="Q75" s="39"/>
      <c r="R75" s="39"/>
      <c r="S75" s="39"/>
      <c r="U75" s="39"/>
      <c r="V75" s="39"/>
      <c r="W75" s="39"/>
      <c r="X75" s="39"/>
      <c r="Y75" s="39"/>
      <c r="Z75" s="39"/>
      <c r="AA75" s="39"/>
      <c r="AB75" s="39"/>
    </row>
    <row r="76">
      <c r="C76" s="39"/>
      <c r="J76" s="39"/>
      <c r="K76" s="39"/>
      <c r="O76" s="39"/>
      <c r="Q76" s="39"/>
      <c r="R76" s="39"/>
      <c r="S76" s="39"/>
      <c r="U76" s="39"/>
      <c r="V76" s="39"/>
      <c r="W76" s="39"/>
      <c r="X76" s="39"/>
      <c r="Y76" s="39"/>
      <c r="Z76" s="39"/>
      <c r="AA76" s="39"/>
      <c r="AB76" s="39"/>
    </row>
    <row r="77">
      <c r="C77" s="39"/>
      <c r="J77" s="39"/>
      <c r="K77" s="39"/>
      <c r="O77" s="39"/>
      <c r="Q77" s="39"/>
      <c r="R77" s="39"/>
      <c r="S77" s="39"/>
      <c r="U77" s="39"/>
      <c r="V77" s="39"/>
      <c r="W77" s="39"/>
      <c r="X77" s="39"/>
      <c r="Y77" s="39"/>
      <c r="Z77" s="39"/>
      <c r="AA77" s="39"/>
      <c r="AB77" s="39"/>
    </row>
    <row r="78">
      <c r="C78" s="39"/>
      <c r="J78" s="39"/>
      <c r="K78" s="39"/>
      <c r="O78" s="39"/>
      <c r="Q78" s="39"/>
      <c r="R78" s="39"/>
      <c r="S78" s="39"/>
      <c r="U78" s="39"/>
      <c r="V78" s="39"/>
      <c r="W78" s="39"/>
      <c r="X78" s="39"/>
      <c r="Y78" s="39"/>
      <c r="Z78" s="39"/>
      <c r="AA78" s="39"/>
      <c r="AB78" s="39"/>
    </row>
    <row r="79">
      <c r="C79" s="39"/>
      <c r="J79" s="39"/>
      <c r="K79" s="39"/>
      <c r="O79" s="39"/>
      <c r="Q79" s="39"/>
      <c r="R79" s="39"/>
      <c r="S79" s="39"/>
      <c r="U79" s="39"/>
      <c r="V79" s="39"/>
      <c r="W79" s="39"/>
      <c r="X79" s="39"/>
      <c r="Y79" s="39"/>
      <c r="Z79" s="39"/>
      <c r="AA79" s="39"/>
      <c r="AB79" s="39"/>
    </row>
    <row r="80">
      <c r="C80" s="39"/>
      <c r="J80" s="39"/>
      <c r="K80" s="39"/>
      <c r="O80" s="39"/>
      <c r="Q80" s="39"/>
      <c r="R80" s="39"/>
      <c r="S80" s="39"/>
      <c r="U80" s="39"/>
      <c r="V80" s="39"/>
      <c r="W80" s="39"/>
      <c r="X80" s="39"/>
      <c r="Y80" s="39"/>
      <c r="Z80" s="39"/>
      <c r="AA80" s="39"/>
      <c r="AB80" s="39"/>
    </row>
    <row r="81">
      <c r="C81" s="39"/>
      <c r="J81" s="39"/>
      <c r="K81" s="39"/>
      <c r="O81" s="39"/>
      <c r="Q81" s="39"/>
      <c r="R81" s="39"/>
      <c r="S81" s="39"/>
      <c r="U81" s="39"/>
      <c r="V81" s="39"/>
      <c r="W81" s="39"/>
      <c r="X81" s="39"/>
      <c r="Y81" s="39"/>
      <c r="Z81" s="39"/>
      <c r="AA81" s="39"/>
      <c r="AB81" s="39"/>
    </row>
    <row r="82">
      <c r="C82" s="39"/>
      <c r="J82" s="39"/>
      <c r="K82" s="39"/>
      <c r="O82" s="39"/>
      <c r="Q82" s="39"/>
      <c r="R82" s="39"/>
      <c r="S82" s="39"/>
      <c r="U82" s="39"/>
      <c r="V82" s="39"/>
      <c r="W82" s="39"/>
      <c r="X82" s="39"/>
      <c r="Y82" s="39"/>
      <c r="Z82" s="39"/>
      <c r="AA82" s="39"/>
      <c r="AB82" s="39"/>
    </row>
    <row r="83">
      <c r="C83" s="39"/>
      <c r="J83" s="39"/>
      <c r="K83" s="39"/>
      <c r="O83" s="39"/>
      <c r="Q83" s="39"/>
      <c r="R83" s="39"/>
      <c r="S83" s="39"/>
      <c r="U83" s="39"/>
      <c r="V83" s="39"/>
      <c r="W83" s="39"/>
      <c r="X83" s="39"/>
      <c r="Y83" s="39"/>
      <c r="Z83" s="39"/>
      <c r="AA83" s="39"/>
      <c r="AB83" s="39"/>
    </row>
    <row r="84">
      <c r="C84" s="39"/>
      <c r="J84" s="39"/>
      <c r="K84" s="39"/>
      <c r="O84" s="39"/>
      <c r="Q84" s="39"/>
      <c r="R84" s="39"/>
      <c r="S84" s="39"/>
      <c r="U84" s="39"/>
      <c r="V84" s="39"/>
      <c r="W84" s="39"/>
      <c r="X84" s="39"/>
      <c r="Y84" s="39"/>
      <c r="Z84" s="39"/>
      <c r="AA84" s="39"/>
      <c r="AB84" s="39"/>
    </row>
    <row r="85">
      <c r="C85" s="39"/>
      <c r="J85" s="39"/>
      <c r="K85" s="39"/>
      <c r="O85" s="39"/>
      <c r="Q85" s="39"/>
      <c r="R85" s="39"/>
      <c r="S85" s="39"/>
      <c r="U85" s="39"/>
      <c r="V85" s="39"/>
      <c r="W85" s="39"/>
      <c r="X85" s="39"/>
      <c r="Y85" s="39"/>
      <c r="Z85" s="39"/>
      <c r="AA85" s="39"/>
      <c r="AB85" s="39"/>
    </row>
    <row r="86">
      <c r="C86" s="39"/>
      <c r="J86" s="39"/>
      <c r="K86" s="39"/>
      <c r="O86" s="39"/>
      <c r="Q86" s="39"/>
      <c r="R86" s="39"/>
      <c r="S86" s="39"/>
      <c r="U86" s="39"/>
      <c r="V86" s="39"/>
      <c r="W86" s="39"/>
      <c r="X86" s="39"/>
      <c r="Y86" s="39"/>
      <c r="Z86" s="39"/>
      <c r="AA86" s="39"/>
      <c r="AB86" s="39"/>
    </row>
    <row r="87">
      <c r="C87" s="39"/>
      <c r="J87" s="39"/>
      <c r="K87" s="39"/>
      <c r="O87" s="39"/>
      <c r="Q87" s="39"/>
      <c r="R87" s="39"/>
      <c r="S87" s="39"/>
      <c r="U87" s="39"/>
      <c r="V87" s="39"/>
      <c r="W87" s="39"/>
      <c r="X87" s="39"/>
      <c r="Y87" s="39"/>
      <c r="Z87" s="39"/>
      <c r="AA87" s="39"/>
      <c r="AB87" s="39"/>
    </row>
    <row r="88">
      <c r="C88" s="39"/>
      <c r="J88" s="39"/>
      <c r="K88" s="39"/>
      <c r="O88" s="39"/>
      <c r="Q88" s="39"/>
      <c r="R88" s="39"/>
      <c r="S88" s="39"/>
      <c r="U88" s="39"/>
      <c r="V88" s="39"/>
      <c r="W88" s="39"/>
      <c r="X88" s="39"/>
      <c r="Y88" s="39"/>
      <c r="Z88" s="39"/>
      <c r="AA88" s="39"/>
      <c r="AB88" s="39"/>
    </row>
    <row r="89">
      <c r="C89" s="39"/>
      <c r="J89" s="39"/>
      <c r="K89" s="39"/>
      <c r="O89" s="39"/>
      <c r="Q89" s="39"/>
      <c r="R89" s="39"/>
      <c r="S89" s="39"/>
      <c r="U89" s="39"/>
      <c r="V89" s="39"/>
      <c r="W89" s="39"/>
      <c r="X89" s="39"/>
      <c r="Y89" s="39"/>
      <c r="Z89" s="39"/>
      <c r="AA89" s="39"/>
      <c r="AB89" s="39"/>
    </row>
    <row r="90">
      <c r="C90" s="39"/>
      <c r="J90" s="39"/>
      <c r="K90" s="39"/>
      <c r="O90" s="39"/>
      <c r="Q90" s="39"/>
      <c r="R90" s="39"/>
      <c r="S90" s="39"/>
      <c r="U90" s="39"/>
      <c r="V90" s="39"/>
      <c r="W90" s="39"/>
      <c r="X90" s="39"/>
      <c r="Y90" s="39"/>
      <c r="Z90" s="39"/>
      <c r="AA90" s="39"/>
      <c r="AB90" s="39"/>
    </row>
    <row r="91">
      <c r="C91" s="39"/>
      <c r="J91" s="39"/>
      <c r="K91" s="39"/>
      <c r="O91" s="39"/>
      <c r="Q91" s="39"/>
      <c r="R91" s="39"/>
      <c r="S91" s="39"/>
      <c r="U91" s="39"/>
      <c r="V91" s="39"/>
      <c r="W91" s="39"/>
      <c r="X91" s="39"/>
      <c r="Y91" s="39"/>
      <c r="Z91" s="39"/>
      <c r="AA91" s="39"/>
      <c r="AB91" s="39"/>
    </row>
    <row r="92">
      <c r="C92" s="39"/>
      <c r="J92" s="39"/>
      <c r="K92" s="39"/>
      <c r="O92" s="39"/>
      <c r="Q92" s="39"/>
      <c r="R92" s="39"/>
      <c r="S92" s="39"/>
      <c r="U92" s="39"/>
      <c r="V92" s="39"/>
      <c r="W92" s="39"/>
      <c r="X92" s="39"/>
      <c r="Y92" s="39"/>
      <c r="Z92" s="39"/>
      <c r="AA92" s="39"/>
      <c r="AB92" s="39"/>
    </row>
    <row r="93">
      <c r="C93" s="39"/>
      <c r="J93" s="39"/>
      <c r="K93" s="39"/>
      <c r="O93" s="39"/>
      <c r="Q93" s="39"/>
      <c r="R93" s="39"/>
      <c r="S93" s="39"/>
      <c r="U93" s="39"/>
      <c r="V93" s="39"/>
      <c r="W93" s="39"/>
      <c r="X93" s="39"/>
      <c r="Y93" s="39"/>
      <c r="Z93" s="39"/>
      <c r="AA93" s="39"/>
      <c r="AB93" s="39"/>
    </row>
    <row r="94">
      <c r="C94" s="39"/>
      <c r="J94" s="39"/>
      <c r="K94" s="39"/>
      <c r="O94" s="39"/>
      <c r="Q94" s="39"/>
      <c r="R94" s="39"/>
      <c r="S94" s="39"/>
      <c r="U94" s="39"/>
      <c r="V94" s="39"/>
      <c r="W94" s="39"/>
      <c r="X94" s="39"/>
      <c r="Y94" s="39"/>
      <c r="Z94" s="39"/>
      <c r="AA94" s="39"/>
      <c r="AB94" s="39"/>
    </row>
    <row r="95">
      <c r="C95" s="39"/>
      <c r="J95" s="39"/>
      <c r="K95" s="39"/>
      <c r="O95" s="39"/>
      <c r="Q95" s="39"/>
      <c r="R95" s="39"/>
      <c r="S95" s="39"/>
      <c r="U95" s="39"/>
      <c r="V95" s="39"/>
      <c r="W95" s="39"/>
      <c r="X95" s="39"/>
      <c r="Y95" s="39"/>
      <c r="Z95" s="39"/>
      <c r="AA95" s="39"/>
      <c r="AB95" s="39"/>
    </row>
    <row r="96">
      <c r="C96" s="39"/>
      <c r="J96" s="39"/>
      <c r="K96" s="39"/>
      <c r="O96" s="39"/>
      <c r="Q96" s="39"/>
      <c r="R96" s="39"/>
      <c r="S96" s="39"/>
      <c r="U96" s="39"/>
      <c r="V96" s="39"/>
      <c r="W96" s="39"/>
      <c r="X96" s="39"/>
      <c r="Y96" s="39"/>
      <c r="Z96" s="39"/>
      <c r="AA96" s="39"/>
      <c r="AB96" s="39"/>
    </row>
    <row r="97">
      <c r="C97" s="39"/>
      <c r="J97" s="39"/>
      <c r="K97" s="39"/>
      <c r="O97" s="39"/>
      <c r="Q97" s="39"/>
      <c r="R97" s="39"/>
      <c r="S97" s="39"/>
      <c r="U97" s="39"/>
      <c r="V97" s="39"/>
      <c r="W97" s="39"/>
      <c r="X97" s="39"/>
      <c r="Y97" s="39"/>
      <c r="Z97" s="39"/>
      <c r="AA97" s="39"/>
      <c r="AB97" s="39"/>
    </row>
    <row r="98">
      <c r="C98" s="39"/>
      <c r="J98" s="39"/>
      <c r="K98" s="39"/>
      <c r="O98" s="39"/>
      <c r="Q98" s="39"/>
      <c r="R98" s="39"/>
      <c r="S98" s="39"/>
      <c r="U98" s="39"/>
      <c r="V98" s="39"/>
      <c r="W98" s="39"/>
      <c r="X98" s="39"/>
      <c r="Y98" s="39"/>
      <c r="Z98" s="39"/>
      <c r="AA98" s="39"/>
      <c r="AB98" s="39"/>
    </row>
    <row r="99">
      <c r="C99" s="39"/>
      <c r="J99" s="39"/>
      <c r="K99" s="39"/>
      <c r="O99" s="39"/>
      <c r="Q99" s="39"/>
      <c r="R99" s="39"/>
      <c r="S99" s="39"/>
      <c r="U99" s="39"/>
      <c r="V99" s="39"/>
      <c r="W99" s="39"/>
      <c r="X99" s="39"/>
      <c r="Y99" s="39"/>
      <c r="Z99" s="39"/>
      <c r="AA99" s="39"/>
      <c r="AB99" s="39"/>
    </row>
    <row r="100">
      <c r="C100" s="39"/>
      <c r="J100" s="39"/>
      <c r="K100" s="39"/>
      <c r="O100" s="39"/>
      <c r="Q100" s="39"/>
      <c r="R100" s="39"/>
      <c r="S100" s="39"/>
      <c r="U100" s="39"/>
      <c r="V100" s="39"/>
      <c r="W100" s="39"/>
      <c r="X100" s="39"/>
      <c r="Y100" s="39"/>
      <c r="Z100" s="39"/>
      <c r="AA100" s="39"/>
      <c r="AB100" s="39"/>
    </row>
    <row r="101">
      <c r="C101" s="39"/>
      <c r="J101" s="39"/>
      <c r="K101" s="39"/>
      <c r="O101" s="39"/>
      <c r="Q101" s="39"/>
      <c r="R101" s="39"/>
      <c r="S101" s="39"/>
      <c r="U101" s="39"/>
      <c r="V101" s="39"/>
      <c r="W101" s="39"/>
      <c r="X101" s="39"/>
      <c r="Y101" s="39"/>
      <c r="Z101" s="39"/>
      <c r="AA101" s="39"/>
      <c r="AB101" s="39"/>
    </row>
    <row r="102">
      <c r="C102" s="39"/>
      <c r="J102" s="39"/>
      <c r="K102" s="39"/>
      <c r="O102" s="39"/>
      <c r="Q102" s="39"/>
      <c r="R102" s="39"/>
      <c r="S102" s="39"/>
      <c r="U102" s="39"/>
      <c r="V102" s="39"/>
      <c r="W102" s="39"/>
      <c r="X102" s="39"/>
      <c r="Y102" s="39"/>
      <c r="Z102" s="39"/>
      <c r="AA102" s="39"/>
      <c r="AB102" s="39"/>
    </row>
    <row r="103">
      <c r="C103" s="39"/>
      <c r="J103" s="39"/>
      <c r="K103" s="39"/>
      <c r="O103" s="39"/>
      <c r="Q103" s="39"/>
      <c r="R103" s="39"/>
      <c r="S103" s="39"/>
      <c r="U103" s="39"/>
      <c r="V103" s="39"/>
      <c r="W103" s="39"/>
      <c r="X103" s="39"/>
      <c r="Y103" s="39"/>
      <c r="Z103" s="39"/>
      <c r="AA103" s="39"/>
      <c r="AB103" s="39"/>
    </row>
    <row r="104">
      <c r="C104" s="39"/>
      <c r="J104" s="39"/>
      <c r="K104" s="39"/>
      <c r="O104" s="39"/>
      <c r="Q104" s="39"/>
      <c r="R104" s="39"/>
      <c r="S104" s="39"/>
      <c r="U104" s="39"/>
      <c r="V104" s="39"/>
      <c r="W104" s="39"/>
      <c r="X104" s="39"/>
      <c r="Y104" s="39"/>
      <c r="Z104" s="39"/>
      <c r="AA104" s="39"/>
      <c r="AB104" s="39"/>
    </row>
    <row r="105">
      <c r="C105" s="39"/>
      <c r="J105" s="39"/>
      <c r="K105" s="39"/>
      <c r="O105" s="39"/>
      <c r="Q105" s="39"/>
      <c r="R105" s="39"/>
      <c r="S105" s="39"/>
      <c r="U105" s="39"/>
      <c r="V105" s="39"/>
      <c r="W105" s="39"/>
      <c r="X105" s="39"/>
      <c r="Y105" s="39"/>
      <c r="Z105" s="39"/>
      <c r="AA105" s="39"/>
      <c r="AB105" s="39"/>
    </row>
    <row r="106">
      <c r="C106" s="39"/>
      <c r="J106" s="39"/>
      <c r="K106" s="39"/>
      <c r="O106" s="39"/>
      <c r="Q106" s="39"/>
      <c r="R106" s="39"/>
      <c r="S106" s="39"/>
      <c r="U106" s="39"/>
      <c r="V106" s="39"/>
      <c r="W106" s="39"/>
      <c r="X106" s="39"/>
      <c r="Y106" s="39"/>
      <c r="Z106" s="39"/>
      <c r="AA106" s="39"/>
      <c r="AB106" s="39"/>
    </row>
    <row r="107">
      <c r="C107" s="39"/>
      <c r="J107" s="39"/>
      <c r="K107" s="39"/>
      <c r="O107" s="39"/>
      <c r="Q107" s="39"/>
      <c r="R107" s="39"/>
      <c r="S107" s="39"/>
      <c r="U107" s="39"/>
      <c r="V107" s="39"/>
      <c r="W107" s="39"/>
      <c r="X107" s="39"/>
      <c r="Y107" s="39"/>
      <c r="Z107" s="39"/>
      <c r="AA107" s="39"/>
      <c r="AB107" s="39"/>
    </row>
    <row r="108">
      <c r="C108" s="39"/>
      <c r="J108" s="39"/>
      <c r="K108" s="39"/>
      <c r="O108" s="39"/>
      <c r="Q108" s="39"/>
      <c r="R108" s="39"/>
      <c r="S108" s="39"/>
      <c r="U108" s="39"/>
      <c r="V108" s="39"/>
      <c r="W108" s="39"/>
      <c r="X108" s="39"/>
      <c r="Y108" s="39"/>
      <c r="Z108" s="39"/>
      <c r="AA108" s="39"/>
      <c r="AB108" s="39"/>
    </row>
    <row r="109">
      <c r="C109" s="39"/>
      <c r="J109" s="39"/>
      <c r="K109" s="39"/>
      <c r="O109" s="39"/>
      <c r="Q109" s="39"/>
      <c r="R109" s="39"/>
      <c r="S109" s="39"/>
      <c r="U109" s="39"/>
      <c r="V109" s="39"/>
      <c r="W109" s="39"/>
      <c r="X109" s="39"/>
      <c r="Y109" s="39"/>
      <c r="Z109" s="39"/>
      <c r="AA109" s="39"/>
      <c r="AB109" s="39"/>
    </row>
    <row r="110">
      <c r="C110" s="39"/>
      <c r="J110" s="39"/>
      <c r="K110" s="39"/>
      <c r="O110" s="39"/>
      <c r="Q110" s="39"/>
      <c r="R110" s="39"/>
      <c r="S110" s="39"/>
      <c r="U110" s="39"/>
      <c r="V110" s="39"/>
      <c r="W110" s="39"/>
      <c r="X110" s="39"/>
      <c r="Y110" s="39"/>
      <c r="Z110" s="39"/>
      <c r="AA110" s="39"/>
      <c r="AB110" s="39"/>
    </row>
    <row r="111">
      <c r="C111" s="39"/>
      <c r="J111" s="39"/>
      <c r="K111" s="39"/>
      <c r="O111" s="39"/>
      <c r="Q111" s="39"/>
      <c r="R111" s="39"/>
      <c r="S111" s="39"/>
      <c r="U111" s="39"/>
      <c r="V111" s="39"/>
      <c r="W111" s="39"/>
      <c r="X111" s="39"/>
      <c r="Y111" s="39"/>
      <c r="Z111" s="39"/>
      <c r="AA111" s="39"/>
      <c r="AB111" s="39"/>
    </row>
    <row r="112">
      <c r="C112" s="39"/>
      <c r="J112" s="39"/>
      <c r="K112" s="39"/>
      <c r="O112" s="39"/>
      <c r="Q112" s="39"/>
      <c r="R112" s="39"/>
      <c r="S112" s="39"/>
      <c r="U112" s="39"/>
      <c r="V112" s="39"/>
      <c r="W112" s="39"/>
      <c r="X112" s="39"/>
      <c r="Y112" s="39"/>
      <c r="Z112" s="39"/>
      <c r="AA112" s="39"/>
      <c r="AB112" s="39"/>
    </row>
    <row r="113">
      <c r="C113" s="39"/>
      <c r="J113" s="39"/>
      <c r="K113" s="39"/>
      <c r="O113" s="39"/>
      <c r="Q113" s="39"/>
      <c r="R113" s="39"/>
      <c r="S113" s="39"/>
      <c r="U113" s="39"/>
      <c r="V113" s="39"/>
      <c r="W113" s="39"/>
      <c r="X113" s="39"/>
      <c r="Y113" s="39"/>
      <c r="Z113" s="39"/>
      <c r="AA113" s="39"/>
      <c r="AB113" s="39"/>
    </row>
    <row r="114">
      <c r="C114" s="39"/>
      <c r="J114" s="39"/>
      <c r="K114" s="39"/>
      <c r="O114" s="39"/>
      <c r="Q114" s="39"/>
      <c r="R114" s="39"/>
      <c r="S114" s="39"/>
      <c r="U114" s="39"/>
      <c r="V114" s="39"/>
      <c r="W114" s="39"/>
      <c r="X114" s="39"/>
      <c r="Y114" s="39"/>
      <c r="Z114" s="39"/>
      <c r="AA114" s="39"/>
      <c r="AB114" s="39"/>
    </row>
    <row r="115">
      <c r="C115" s="39"/>
      <c r="J115" s="39"/>
      <c r="K115" s="39"/>
      <c r="O115" s="39"/>
      <c r="Q115" s="39"/>
      <c r="R115" s="39"/>
      <c r="S115" s="39"/>
      <c r="U115" s="39"/>
      <c r="V115" s="39"/>
      <c r="W115" s="39"/>
      <c r="X115" s="39"/>
      <c r="Y115" s="39"/>
      <c r="Z115" s="39"/>
      <c r="AA115" s="39"/>
      <c r="AB115" s="39"/>
    </row>
    <row r="116">
      <c r="C116" s="39"/>
      <c r="J116" s="39"/>
      <c r="K116" s="39"/>
      <c r="O116" s="39"/>
      <c r="Q116" s="39"/>
      <c r="R116" s="39"/>
      <c r="S116" s="39"/>
      <c r="U116" s="39"/>
      <c r="V116" s="39"/>
      <c r="W116" s="39"/>
      <c r="X116" s="39"/>
      <c r="Y116" s="39"/>
      <c r="Z116" s="39"/>
      <c r="AA116" s="39"/>
      <c r="AB116" s="39"/>
    </row>
    <row r="117">
      <c r="C117" s="39"/>
      <c r="J117" s="39"/>
      <c r="K117" s="39"/>
      <c r="O117" s="39"/>
      <c r="Q117" s="39"/>
      <c r="R117" s="39"/>
      <c r="S117" s="39"/>
      <c r="U117" s="39"/>
      <c r="V117" s="39"/>
      <c r="W117" s="39"/>
      <c r="X117" s="39"/>
      <c r="Y117" s="39"/>
      <c r="Z117" s="39"/>
      <c r="AA117" s="39"/>
      <c r="AB117" s="39"/>
    </row>
    <row r="118">
      <c r="C118" s="39"/>
      <c r="J118" s="39"/>
      <c r="K118" s="39"/>
      <c r="O118" s="39"/>
      <c r="Q118" s="39"/>
      <c r="R118" s="39"/>
      <c r="S118" s="39"/>
      <c r="U118" s="39"/>
      <c r="V118" s="39"/>
      <c r="W118" s="39"/>
      <c r="X118" s="39"/>
      <c r="Y118" s="39"/>
      <c r="Z118" s="39"/>
      <c r="AA118" s="39"/>
      <c r="AB118" s="39"/>
    </row>
    <row r="119">
      <c r="C119" s="39"/>
      <c r="J119" s="39"/>
      <c r="K119" s="39"/>
      <c r="O119" s="39"/>
      <c r="Q119" s="39"/>
      <c r="R119" s="39"/>
      <c r="S119" s="39"/>
      <c r="U119" s="39"/>
      <c r="V119" s="39"/>
      <c r="W119" s="39"/>
      <c r="X119" s="39"/>
      <c r="Y119" s="39"/>
      <c r="Z119" s="39"/>
      <c r="AA119" s="39"/>
      <c r="AB119" s="39"/>
    </row>
    <row r="120">
      <c r="C120" s="39"/>
      <c r="J120" s="39"/>
      <c r="K120" s="39"/>
      <c r="O120" s="39"/>
      <c r="Q120" s="39"/>
      <c r="R120" s="39"/>
      <c r="S120" s="39"/>
      <c r="U120" s="39"/>
      <c r="V120" s="39"/>
      <c r="W120" s="39"/>
      <c r="X120" s="39"/>
      <c r="Y120" s="39"/>
      <c r="Z120" s="39"/>
      <c r="AA120" s="39"/>
      <c r="AB120" s="39"/>
    </row>
    <row r="121">
      <c r="C121" s="39"/>
      <c r="J121" s="39"/>
      <c r="K121" s="39"/>
      <c r="O121" s="39"/>
      <c r="Q121" s="39"/>
      <c r="R121" s="39"/>
      <c r="S121" s="39"/>
      <c r="U121" s="39"/>
      <c r="V121" s="39"/>
      <c r="W121" s="39"/>
      <c r="X121" s="39"/>
      <c r="Y121" s="39"/>
      <c r="Z121" s="39"/>
      <c r="AA121" s="39"/>
      <c r="AB121" s="39"/>
    </row>
    <row r="122">
      <c r="C122" s="39"/>
      <c r="J122" s="39"/>
      <c r="K122" s="39"/>
      <c r="O122" s="39"/>
      <c r="Q122" s="39"/>
      <c r="R122" s="39"/>
      <c r="S122" s="39"/>
      <c r="U122" s="39"/>
      <c r="V122" s="39"/>
      <c r="W122" s="39"/>
      <c r="X122" s="39"/>
      <c r="Y122" s="39"/>
      <c r="Z122" s="39"/>
      <c r="AA122" s="39"/>
      <c r="AB122" s="39"/>
    </row>
    <row r="123">
      <c r="C123" s="39"/>
      <c r="J123" s="39"/>
      <c r="K123" s="39"/>
      <c r="O123" s="39"/>
      <c r="Q123" s="39"/>
      <c r="R123" s="39"/>
      <c r="S123" s="39"/>
      <c r="U123" s="39"/>
      <c r="V123" s="39"/>
      <c r="W123" s="39"/>
      <c r="X123" s="39"/>
      <c r="Y123" s="39"/>
      <c r="Z123" s="39"/>
      <c r="AA123" s="39"/>
      <c r="AB123" s="39"/>
    </row>
    <row r="124">
      <c r="C124" s="39"/>
      <c r="J124" s="39"/>
      <c r="K124" s="39"/>
      <c r="O124" s="39"/>
      <c r="Q124" s="39"/>
      <c r="R124" s="39"/>
      <c r="S124" s="39"/>
      <c r="U124" s="39"/>
      <c r="V124" s="39"/>
      <c r="W124" s="39"/>
      <c r="X124" s="39"/>
      <c r="Y124" s="39"/>
      <c r="Z124" s="39"/>
      <c r="AA124" s="39"/>
      <c r="AB124" s="39"/>
    </row>
    <row r="125">
      <c r="C125" s="39"/>
      <c r="J125" s="39"/>
      <c r="K125" s="39"/>
      <c r="O125" s="39"/>
      <c r="Q125" s="39"/>
      <c r="R125" s="39"/>
      <c r="S125" s="39"/>
      <c r="U125" s="39"/>
      <c r="V125" s="39"/>
      <c r="W125" s="39"/>
      <c r="X125" s="39"/>
      <c r="Y125" s="39"/>
      <c r="Z125" s="39"/>
      <c r="AA125" s="39"/>
      <c r="AB125" s="39"/>
    </row>
    <row r="126">
      <c r="C126" s="39"/>
      <c r="J126" s="39"/>
      <c r="K126" s="39"/>
      <c r="O126" s="39"/>
      <c r="Q126" s="39"/>
      <c r="R126" s="39"/>
      <c r="S126" s="39"/>
      <c r="U126" s="39"/>
      <c r="V126" s="39"/>
      <c r="W126" s="39"/>
      <c r="X126" s="39"/>
      <c r="Y126" s="39"/>
      <c r="Z126" s="39"/>
      <c r="AA126" s="39"/>
      <c r="AB126" s="39"/>
    </row>
    <row r="127">
      <c r="C127" s="39"/>
      <c r="J127" s="39"/>
      <c r="K127" s="39"/>
      <c r="O127" s="39"/>
      <c r="Q127" s="39"/>
      <c r="R127" s="39"/>
      <c r="S127" s="39"/>
      <c r="U127" s="39"/>
      <c r="V127" s="39"/>
      <c r="W127" s="39"/>
      <c r="X127" s="39"/>
      <c r="Y127" s="39"/>
      <c r="Z127" s="39"/>
      <c r="AA127" s="39"/>
      <c r="AB127" s="39"/>
    </row>
    <row r="128">
      <c r="C128" s="39"/>
      <c r="J128" s="39"/>
      <c r="K128" s="39"/>
      <c r="O128" s="39"/>
      <c r="Q128" s="39"/>
      <c r="R128" s="39"/>
      <c r="S128" s="39"/>
      <c r="U128" s="39"/>
      <c r="V128" s="39"/>
      <c r="W128" s="39"/>
      <c r="X128" s="39"/>
      <c r="Y128" s="39"/>
      <c r="Z128" s="39"/>
      <c r="AA128" s="39"/>
      <c r="AB128" s="39"/>
    </row>
    <row r="129">
      <c r="C129" s="39"/>
      <c r="J129" s="39"/>
      <c r="K129" s="39"/>
      <c r="O129" s="39"/>
      <c r="Q129" s="39"/>
      <c r="R129" s="39"/>
      <c r="S129" s="39"/>
      <c r="U129" s="39"/>
      <c r="V129" s="39"/>
      <c r="W129" s="39"/>
      <c r="X129" s="39"/>
      <c r="Y129" s="39"/>
      <c r="Z129" s="39"/>
      <c r="AA129" s="39"/>
      <c r="AB129" s="39"/>
    </row>
    <row r="130">
      <c r="C130" s="39"/>
      <c r="J130" s="39"/>
      <c r="K130" s="39"/>
      <c r="O130" s="39"/>
      <c r="Q130" s="39"/>
      <c r="R130" s="39"/>
      <c r="S130" s="39"/>
      <c r="U130" s="39"/>
      <c r="V130" s="39"/>
      <c r="W130" s="39"/>
      <c r="X130" s="39"/>
      <c r="Y130" s="39"/>
      <c r="Z130" s="39"/>
      <c r="AA130" s="39"/>
      <c r="AB130" s="39"/>
    </row>
    <row r="131">
      <c r="C131" s="39"/>
      <c r="J131" s="39"/>
      <c r="K131" s="39"/>
      <c r="O131" s="39"/>
      <c r="Q131" s="39"/>
      <c r="R131" s="39"/>
      <c r="S131" s="39"/>
      <c r="U131" s="39"/>
      <c r="V131" s="39"/>
      <c r="W131" s="39"/>
      <c r="X131" s="39"/>
      <c r="Y131" s="39"/>
      <c r="Z131" s="39"/>
      <c r="AA131" s="39"/>
      <c r="AB131" s="39"/>
    </row>
    <row r="132">
      <c r="C132" s="39"/>
      <c r="J132" s="39"/>
      <c r="K132" s="39"/>
      <c r="O132" s="39"/>
      <c r="Q132" s="39"/>
      <c r="R132" s="39"/>
      <c r="S132" s="39"/>
      <c r="U132" s="39"/>
      <c r="V132" s="39"/>
      <c r="W132" s="39"/>
      <c r="X132" s="39"/>
      <c r="Y132" s="39"/>
      <c r="Z132" s="39"/>
      <c r="AA132" s="39"/>
      <c r="AB132" s="39"/>
    </row>
    <row r="133">
      <c r="C133" s="39"/>
      <c r="J133" s="39"/>
      <c r="K133" s="39"/>
      <c r="O133" s="39"/>
      <c r="Q133" s="39"/>
      <c r="R133" s="39"/>
      <c r="S133" s="39"/>
      <c r="U133" s="39"/>
      <c r="V133" s="39"/>
      <c r="W133" s="39"/>
      <c r="X133" s="39"/>
      <c r="Y133" s="39"/>
      <c r="Z133" s="39"/>
      <c r="AA133" s="39"/>
      <c r="AB133" s="39"/>
    </row>
    <row r="134">
      <c r="C134" s="39"/>
      <c r="J134" s="39"/>
      <c r="K134" s="39"/>
      <c r="O134" s="39"/>
      <c r="Q134" s="39"/>
      <c r="R134" s="39"/>
      <c r="S134" s="39"/>
      <c r="U134" s="39"/>
      <c r="V134" s="39"/>
      <c r="W134" s="39"/>
      <c r="X134" s="39"/>
      <c r="Y134" s="39"/>
      <c r="Z134" s="39"/>
      <c r="AA134" s="39"/>
      <c r="AB134" s="39"/>
    </row>
    <row r="135">
      <c r="C135" s="39"/>
      <c r="J135" s="39"/>
      <c r="K135" s="39"/>
      <c r="O135" s="39"/>
      <c r="Q135" s="39"/>
      <c r="R135" s="39"/>
      <c r="S135" s="39"/>
      <c r="U135" s="39"/>
      <c r="V135" s="39"/>
      <c r="W135" s="39"/>
      <c r="X135" s="39"/>
      <c r="Y135" s="39"/>
      <c r="Z135" s="39"/>
      <c r="AA135" s="39"/>
      <c r="AB135" s="39"/>
    </row>
    <row r="136">
      <c r="C136" s="39"/>
      <c r="J136" s="39"/>
      <c r="K136" s="39"/>
      <c r="O136" s="39"/>
      <c r="Q136" s="39"/>
      <c r="R136" s="39"/>
      <c r="S136" s="39"/>
      <c r="U136" s="39"/>
      <c r="V136" s="39"/>
      <c r="W136" s="39"/>
      <c r="X136" s="39"/>
      <c r="Y136" s="39"/>
      <c r="Z136" s="39"/>
      <c r="AA136" s="39"/>
      <c r="AB136" s="39"/>
    </row>
    <row r="137">
      <c r="C137" s="39"/>
      <c r="J137" s="39"/>
      <c r="K137" s="39"/>
      <c r="O137" s="39"/>
      <c r="Q137" s="39"/>
      <c r="R137" s="39"/>
      <c r="S137" s="39"/>
      <c r="U137" s="39"/>
      <c r="V137" s="39"/>
      <c r="W137" s="39"/>
      <c r="X137" s="39"/>
      <c r="Y137" s="39"/>
      <c r="Z137" s="39"/>
      <c r="AA137" s="39"/>
      <c r="AB137" s="39"/>
    </row>
    <row r="138">
      <c r="C138" s="39"/>
      <c r="J138" s="39"/>
      <c r="K138" s="39"/>
      <c r="O138" s="39"/>
      <c r="Q138" s="39"/>
      <c r="R138" s="39"/>
      <c r="S138" s="39"/>
      <c r="U138" s="39"/>
      <c r="V138" s="39"/>
      <c r="W138" s="39"/>
      <c r="X138" s="39"/>
      <c r="Y138" s="39"/>
      <c r="Z138" s="39"/>
      <c r="AA138" s="39"/>
      <c r="AB138" s="39"/>
    </row>
    <row r="139">
      <c r="C139" s="39"/>
      <c r="J139" s="39"/>
      <c r="K139" s="39"/>
      <c r="O139" s="39"/>
      <c r="Q139" s="39"/>
      <c r="R139" s="39"/>
      <c r="S139" s="39"/>
      <c r="U139" s="39"/>
      <c r="V139" s="39"/>
      <c r="W139" s="39"/>
      <c r="X139" s="39"/>
      <c r="Y139" s="39"/>
      <c r="Z139" s="39"/>
      <c r="AA139" s="39"/>
      <c r="AB139" s="39"/>
    </row>
    <row r="140">
      <c r="C140" s="39"/>
      <c r="J140" s="39"/>
      <c r="K140" s="39"/>
      <c r="O140" s="39"/>
      <c r="Q140" s="39"/>
      <c r="R140" s="39"/>
      <c r="S140" s="39"/>
      <c r="U140" s="39"/>
      <c r="V140" s="39"/>
      <c r="W140" s="39"/>
      <c r="X140" s="39"/>
      <c r="Y140" s="39"/>
      <c r="Z140" s="39"/>
      <c r="AA140" s="39"/>
      <c r="AB140" s="39"/>
    </row>
    <row r="141">
      <c r="C141" s="39"/>
      <c r="J141" s="39"/>
      <c r="K141" s="39"/>
      <c r="O141" s="39"/>
      <c r="Q141" s="39"/>
      <c r="R141" s="39"/>
      <c r="S141" s="39"/>
      <c r="U141" s="39"/>
      <c r="V141" s="39"/>
      <c r="W141" s="39"/>
      <c r="X141" s="39"/>
      <c r="Y141" s="39"/>
      <c r="Z141" s="39"/>
      <c r="AA141" s="39"/>
      <c r="AB141" s="39"/>
    </row>
    <row r="142">
      <c r="C142" s="39"/>
      <c r="J142" s="39"/>
      <c r="K142" s="39"/>
      <c r="O142" s="39"/>
      <c r="Q142" s="39"/>
      <c r="R142" s="39"/>
      <c r="S142" s="39"/>
      <c r="U142" s="39"/>
      <c r="V142" s="39"/>
      <c r="W142" s="39"/>
      <c r="X142" s="39"/>
      <c r="Y142" s="39"/>
      <c r="Z142" s="39"/>
      <c r="AA142" s="39"/>
      <c r="AB142" s="39"/>
    </row>
    <row r="143">
      <c r="C143" s="39"/>
      <c r="J143" s="39"/>
      <c r="K143" s="39"/>
      <c r="O143" s="39"/>
      <c r="Q143" s="39"/>
      <c r="R143" s="39"/>
      <c r="S143" s="39"/>
      <c r="U143" s="39"/>
      <c r="V143" s="39"/>
      <c r="W143" s="39"/>
      <c r="X143" s="39"/>
      <c r="Y143" s="39"/>
      <c r="Z143" s="39"/>
      <c r="AA143" s="39"/>
      <c r="AB143" s="39"/>
    </row>
    <row r="144">
      <c r="C144" s="39"/>
      <c r="J144" s="39"/>
      <c r="K144" s="39"/>
      <c r="O144" s="39"/>
      <c r="Q144" s="39"/>
      <c r="R144" s="39"/>
      <c r="S144" s="39"/>
      <c r="U144" s="39"/>
      <c r="V144" s="39"/>
      <c r="W144" s="39"/>
      <c r="X144" s="39"/>
      <c r="Y144" s="39"/>
      <c r="Z144" s="39"/>
      <c r="AA144" s="39"/>
      <c r="AB144" s="39"/>
    </row>
    <row r="145">
      <c r="C145" s="39"/>
      <c r="J145" s="39"/>
      <c r="K145" s="39"/>
      <c r="O145" s="39"/>
      <c r="Q145" s="39"/>
      <c r="R145" s="39"/>
      <c r="S145" s="39"/>
      <c r="U145" s="39"/>
      <c r="V145" s="39"/>
      <c r="W145" s="39"/>
      <c r="X145" s="39"/>
      <c r="Y145" s="39"/>
      <c r="Z145" s="39"/>
      <c r="AA145" s="39"/>
      <c r="AB145" s="39"/>
    </row>
    <row r="146">
      <c r="C146" s="39"/>
      <c r="J146" s="39"/>
      <c r="K146" s="39"/>
      <c r="O146" s="39"/>
      <c r="Q146" s="39"/>
      <c r="R146" s="39"/>
      <c r="S146" s="39"/>
      <c r="U146" s="39"/>
      <c r="V146" s="39"/>
      <c r="W146" s="39"/>
      <c r="X146" s="39"/>
      <c r="Y146" s="39"/>
      <c r="Z146" s="39"/>
      <c r="AA146" s="39"/>
      <c r="AB146" s="39"/>
    </row>
    <row r="147">
      <c r="C147" s="39"/>
      <c r="J147" s="39"/>
      <c r="K147" s="39"/>
      <c r="O147" s="39"/>
      <c r="Q147" s="39"/>
      <c r="R147" s="39"/>
      <c r="S147" s="39"/>
      <c r="U147" s="39"/>
      <c r="V147" s="39"/>
      <c r="W147" s="39"/>
      <c r="X147" s="39"/>
      <c r="Y147" s="39"/>
      <c r="Z147" s="39"/>
      <c r="AA147" s="39"/>
      <c r="AB147" s="39"/>
    </row>
    <row r="148">
      <c r="C148" s="39"/>
      <c r="J148" s="39"/>
      <c r="K148" s="39"/>
      <c r="O148" s="39"/>
      <c r="Q148" s="39"/>
      <c r="R148" s="39"/>
      <c r="S148" s="39"/>
      <c r="U148" s="39"/>
      <c r="V148" s="39"/>
      <c r="W148" s="39"/>
      <c r="X148" s="39"/>
      <c r="Y148" s="39"/>
      <c r="Z148" s="39"/>
      <c r="AA148" s="39"/>
      <c r="AB148" s="39"/>
    </row>
    <row r="149">
      <c r="C149" s="39"/>
      <c r="J149" s="39"/>
      <c r="K149" s="39"/>
      <c r="O149" s="39"/>
      <c r="Q149" s="39"/>
      <c r="R149" s="39"/>
      <c r="S149" s="39"/>
      <c r="U149" s="39"/>
      <c r="V149" s="39"/>
      <c r="W149" s="39"/>
      <c r="X149" s="39"/>
      <c r="Y149" s="39"/>
      <c r="Z149" s="39"/>
      <c r="AA149" s="39"/>
      <c r="AB149" s="39"/>
    </row>
    <row r="150">
      <c r="C150" s="39"/>
      <c r="J150" s="39"/>
      <c r="K150" s="39"/>
      <c r="O150" s="39"/>
      <c r="Q150" s="39"/>
      <c r="R150" s="39"/>
      <c r="S150" s="39"/>
      <c r="U150" s="39"/>
      <c r="V150" s="39"/>
      <c r="W150" s="39"/>
      <c r="X150" s="39"/>
      <c r="Y150" s="39"/>
      <c r="Z150" s="39"/>
      <c r="AA150" s="39"/>
      <c r="AB150" s="39"/>
    </row>
    <row r="151">
      <c r="C151" s="39"/>
      <c r="J151" s="39"/>
      <c r="K151" s="39"/>
      <c r="O151" s="39"/>
      <c r="Q151" s="39"/>
      <c r="R151" s="39"/>
      <c r="S151" s="39"/>
      <c r="U151" s="39"/>
      <c r="V151" s="39"/>
      <c r="W151" s="39"/>
      <c r="X151" s="39"/>
      <c r="Y151" s="39"/>
      <c r="Z151" s="39"/>
      <c r="AA151" s="39"/>
      <c r="AB151" s="39"/>
    </row>
    <row r="152">
      <c r="C152" s="39"/>
      <c r="J152" s="39"/>
      <c r="K152" s="39"/>
      <c r="O152" s="39"/>
      <c r="Q152" s="39"/>
      <c r="R152" s="39"/>
      <c r="S152" s="39"/>
      <c r="U152" s="39"/>
      <c r="V152" s="39"/>
      <c r="W152" s="39"/>
      <c r="X152" s="39"/>
      <c r="Y152" s="39"/>
      <c r="Z152" s="39"/>
      <c r="AA152" s="39"/>
      <c r="AB152" s="39"/>
    </row>
    <row r="153">
      <c r="C153" s="39"/>
      <c r="J153" s="39"/>
      <c r="K153" s="39"/>
      <c r="O153" s="39"/>
      <c r="Q153" s="39"/>
      <c r="R153" s="39"/>
      <c r="S153" s="39"/>
      <c r="U153" s="39"/>
      <c r="V153" s="39"/>
      <c r="W153" s="39"/>
      <c r="X153" s="39"/>
      <c r="Y153" s="39"/>
      <c r="Z153" s="39"/>
      <c r="AA153" s="39"/>
      <c r="AB153" s="39"/>
    </row>
    <row r="154">
      <c r="C154" s="39"/>
      <c r="J154" s="39"/>
      <c r="K154" s="39"/>
      <c r="O154" s="39"/>
      <c r="Q154" s="39"/>
      <c r="R154" s="39"/>
      <c r="S154" s="39"/>
      <c r="U154" s="39"/>
      <c r="V154" s="39"/>
      <c r="W154" s="39"/>
      <c r="X154" s="39"/>
      <c r="Y154" s="39"/>
      <c r="Z154" s="39"/>
      <c r="AA154" s="39"/>
      <c r="AB154" s="39"/>
    </row>
    <row r="155">
      <c r="C155" s="39"/>
      <c r="J155" s="39"/>
      <c r="K155" s="39"/>
      <c r="O155" s="39"/>
      <c r="Q155" s="39"/>
      <c r="R155" s="39"/>
      <c r="S155" s="39"/>
      <c r="U155" s="39"/>
      <c r="V155" s="39"/>
      <c r="W155" s="39"/>
      <c r="X155" s="39"/>
      <c r="Y155" s="39"/>
      <c r="Z155" s="39"/>
      <c r="AA155" s="39"/>
      <c r="AB155" s="39"/>
    </row>
    <row r="156">
      <c r="C156" s="39"/>
      <c r="J156" s="39"/>
      <c r="K156" s="39"/>
      <c r="O156" s="39"/>
      <c r="Q156" s="39"/>
      <c r="R156" s="39"/>
      <c r="S156" s="39"/>
      <c r="U156" s="39"/>
      <c r="V156" s="39"/>
      <c r="W156" s="39"/>
      <c r="X156" s="39"/>
      <c r="Y156" s="39"/>
      <c r="Z156" s="39"/>
      <c r="AA156" s="39"/>
      <c r="AB156" s="39"/>
    </row>
    <row r="157">
      <c r="C157" s="39"/>
      <c r="J157" s="39"/>
      <c r="K157" s="39"/>
      <c r="O157" s="39"/>
      <c r="Q157" s="39"/>
      <c r="R157" s="39"/>
      <c r="S157" s="39"/>
      <c r="U157" s="39"/>
      <c r="V157" s="39"/>
      <c r="W157" s="39"/>
      <c r="X157" s="39"/>
      <c r="Y157" s="39"/>
      <c r="Z157" s="39"/>
      <c r="AA157" s="39"/>
      <c r="AB157" s="39"/>
    </row>
    <row r="158">
      <c r="C158" s="39"/>
      <c r="J158" s="39"/>
      <c r="K158" s="39"/>
      <c r="O158" s="39"/>
      <c r="Q158" s="39"/>
      <c r="R158" s="39"/>
      <c r="S158" s="39"/>
      <c r="U158" s="39"/>
      <c r="V158" s="39"/>
      <c r="W158" s="39"/>
      <c r="X158" s="39"/>
      <c r="Y158" s="39"/>
      <c r="Z158" s="39"/>
      <c r="AA158" s="39"/>
      <c r="AB158" s="39"/>
    </row>
    <row r="159">
      <c r="C159" s="39"/>
      <c r="J159" s="39"/>
      <c r="K159" s="39"/>
      <c r="O159" s="39"/>
      <c r="Q159" s="39"/>
      <c r="R159" s="39"/>
      <c r="S159" s="39"/>
      <c r="U159" s="39"/>
      <c r="V159" s="39"/>
      <c r="W159" s="39"/>
      <c r="X159" s="39"/>
      <c r="Y159" s="39"/>
      <c r="Z159" s="39"/>
      <c r="AA159" s="39"/>
      <c r="AB159" s="39"/>
    </row>
    <row r="160">
      <c r="C160" s="39"/>
      <c r="J160" s="39"/>
      <c r="K160" s="39"/>
      <c r="O160" s="39"/>
      <c r="Q160" s="39"/>
      <c r="R160" s="39"/>
      <c r="S160" s="39"/>
      <c r="U160" s="39"/>
      <c r="V160" s="39"/>
      <c r="W160" s="39"/>
      <c r="X160" s="39"/>
      <c r="Y160" s="39"/>
      <c r="Z160" s="39"/>
      <c r="AA160" s="39"/>
      <c r="AB160" s="39"/>
    </row>
    <row r="161">
      <c r="C161" s="39"/>
      <c r="J161" s="39"/>
      <c r="K161" s="39"/>
      <c r="O161" s="39"/>
      <c r="Q161" s="39"/>
      <c r="R161" s="39"/>
      <c r="S161" s="39"/>
      <c r="U161" s="39"/>
      <c r="V161" s="39"/>
      <c r="W161" s="39"/>
      <c r="X161" s="39"/>
      <c r="Y161" s="39"/>
      <c r="Z161" s="39"/>
      <c r="AA161" s="39"/>
      <c r="AB161" s="39"/>
    </row>
    <row r="162">
      <c r="C162" s="39"/>
      <c r="J162" s="39"/>
      <c r="K162" s="39"/>
      <c r="O162" s="39"/>
      <c r="Q162" s="39"/>
      <c r="R162" s="39"/>
      <c r="S162" s="39"/>
      <c r="U162" s="39"/>
      <c r="V162" s="39"/>
      <c r="W162" s="39"/>
      <c r="X162" s="39"/>
      <c r="Y162" s="39"/>
      <c r="Z162" s="39"/>
      <c r="AA162" s="39"/>
      <c r="AB162" s="39"/>
    </row>
    <row r="163">
      <c r="C163" s="39"/>
      <c r="J163" s="39"/>
      <c r="K163" s="39"/>
      <c r="O163" s="39"/>
      <c r="Q163" s="39"/>
      <c r="R163" s="39"/>
      <c r="S163" s="39"/>
      <c r="U163" s="39"/>
      <c r="V163" s="39"/>
      <c r="W163" s="39"/>
      <c r="X163" s="39"/>
      <c r="Y163" s="39"/>
      <c r="Z163" s="39"/>
      <c r="AA163" s="39"/>
      <c r="AB163" s="39"/>
    </row>
    <row r="164">
      <c r="C164" s="39"/>
      <c r="J164" s="39"/>
      <c r="K164" s="39"/>
      <c r="O164" s="39"/>
      <c r="Q164" s="39"/>
      <c r="R164" s="39"/>
      <c r="S164" s="39"/>
      <c r="U164" s="39"/>
      <c r="V164" s="39"/>
      <c r="W164" s="39"/>
      <c r="X164" s="39"/>
      <c r="Y164" s="39"/>
      <c r="Z164" s="39"/>
      <c r="AA164" s="39"/>
      <c r="AB164" s="39"/>
    </row>
    <row r="165">
      <c r="C165" s="39"/>
      <c r="J165" s="39"/>
      <c r="K165" s="39"/>
      <c r="O165" s="39"/>
      <c r="Q165" s="39"/>
      <c r="R165" s="39"/>
      <c r="S165" s="39"/>
      <c r="U165" s="39"/>
      <c r="V165" s="39"/>
      <c r="W165" s="39"/>
      <c r="X165" s="39"/>
      <c r="Y165" s="39"/>
      <c r="Z165" s="39"/>
      <c r="AA165" s="39"/>
      <c r="AB165" s="39"/>
    </row>
    <row r="166">
      <c r="C166" s="39"/>
      <c r="J166" s="39"/>
      <c r="K166" s="39"/>
      <c r="O166" s="39"/>
      <c r="Q166" s="39"/>
      <c r="R166" s="39"/>
      <c r="S166" s="39"/>
      <c r="U166" s="39"/>
      <c r="V166" s="39"/>
      <c r="W166" s="39"/>
      <c r="X166" s="39"/>
      <c r="Y166" s="39"/>
      <c r="Z166" s="39"/>
      <c r="AA166" s="39"/>
      <c r="AB166" s="39"/>
    </row>
    <row r="167">
      <c r="C167" s="39"/>
      <c r="J167" s="39"/>
      <c r="K167" s="39"/>
      <c r="O167" s="39"/>
      <c r="Q167" s="39"/>
      <c r="R167" s="39"/>
      <c r="S167" s="39"/>
      <c r="U167" s="39"/>
      <c r="V167" s="39"/>
      <c r="W167" s="39"/>
      <c r="X167" s="39"/>
      <c r="Y167" s="39"/>
      <c r="Z167" s="39"/>
      <c r="AA167" s="39"/>
      <c r="AB167" s="39"/>
    </row>
    <row r="168">
      <c r="C168" s="39"/>
      <c r="J168" s="39"/>
      <c r="K168" s="39"/>
      <c r="O168" s="39"/>
      <c r="Q168" s="39"/>
      <c r="R168" s="39"/>
      <c r="S168" s="39"/>
      <c r="U168" s="39"/>
      <c r="V168" s="39"/>
      <c r="W168" s="39"/>
      <c r="X168" s="39"/>
      <c r="Y168" s="39"/>
      <c r="Z168" s="39"/>
      <c r="AA168" s="39"/>
      <c r="AB168" s="39"/>
    </row>
    <row r="169">
      <c r="C169" s="39"/>
      <c r="J169" s="39"/>
      <c r="K169" s="39"/>
      <c r="O169" s="39"/>
      <c r="Q169" s="39"/>
      <c r="R169" s="39"/>
      <c r="S169" s="39"/>
      <c r="U169" s="39"/>
      <c r="V169" s="39"/>
      <c r="W169" s="39"/>
      <c r="X169" s="39"/>
      <c r="Y169" s="39"/>
      <c r="Z169" s="39"/>
      <c r="AA169" s="39"/>
      <c r="AB169" s="39"/>
    </row>
    <row r="170">
      <c r="C170" s="39"/>
      <c r="J170" s="39"/>
      <c r="K170" s="39"/>
      <c r="O170" s="39"/>
      <c r="Q170" s="39"/>
      <c r="R170" s="39"/>
      <c r="S170" s="39"/>
      <c r="U170" s="39"/>
      <c r="V170" s="39"/>
      <c r="W170" s="39"/>
      <c r="X170" s="39"/>
      <c r="Y170" s="39"/>
      <c r="Z170" s="39"/>
      <c r="AA170" s="39"/>
      <c r="AB170" s="39"/>
    </row>
    <row r="171">
      <c r="C171" s="39"/>
      <c r="J171" s="39"/>
      <c r="K171" s="39"/>
      <c r="O171" s="39"/>
      <c r="Q171" s="39"/>
      <c r="R171" s="39"/>
      <c r="S171" s="39"/>
      <c r="U171" s="39"/>
      <c r="V171" s="39"/>
      <c r="W171" s="39"/>
      <c r="X171" s="39"/>
      <c r="Y171" s="39"/>
      <c r="Z171" s="39"/>
      <c r="AA171" s="39"/>
      <c r="AB171" s="39"/>
    </row>
    <row r="172">
      <c r="C172" s="39"/>
      <c r="J172" s="39"/>
      <c r="K172" s="39"/>
      <c r="O172" s="39"/>
      <c r="Q172" s="39"/>
      <c r="R172" s="39"/>
      <c r="S172" s="39"/>
      <c r="U172" s="39"/>
      <c r="V172" s="39"/>
      <c r="W172" s="39"/>
      <c r="X172" s="39"/>
      <c r="Y172" s="39"/>
      <c r="Z172" s="39"/>
      <c r="AA172" s="39"/>
      <c r="AB172" s="39"/>
    </row>
    <row r="173">
      <c r="C173" s="39"/>
      <c r="J173" s="39"/>
      <c r="K173" s="39"/>
      <c r="O173" s="39"/>
      <c r="Q173" s="39"/>
      <c r="R173" s="39"/>
      <c r="S173" s="39"/>
      <c r="U173" s="39"/>
      <c r="V173" s="39"/>
      <c r="W173" s="39"/>
      <c r="X173" s="39"/>
      <c r="Y173" s="39"/>
      <c r="Z173" s="39"/>
      <c r="AA173" s="39"/>
      <c r="AB173" s="39"/>
    </row>
    <row r="174">
      <c r="C174" s="39"/>
      <c r="J174" s="39"/>
      <c r="K174" s="39"/>
      <c r="O174" s="39"/>
      <c r="Q174" s="39"/>
      <c r="R174" s="39"/>
      <c r="S174" s="39"/>
      <c r="U174" s="39"/>
      <c r="V174" s="39"/>
      <c r="W174" s="39"/>
      <c r="X174" s="39"/>
      <c r="Y174" s="39"/>
      <c r="Z174" s="39"/>
      <c r="AA174" s="39"/>
      <c r="AB174" s="39"/>
    </row>
    <row r="175">
      <c r="C175" s="39"/>
      <c r="J175" s="39"/>
      <c r="K175" s="39"/>
      <c r="O175" s="39"/>
      <c r="Q175" s="39"/>
      <c r="R175" s="39"/>
      <c r="S175" s="39"/>
      <c r="U175" s="39"/>
      <c r="V175" s="39"/>
      <c r="W175" s="39"/>
      <c r="X175" s="39"/>
      <c r="Y175" s="39"/>
      <c r="Z175" s="39"/>
      <c r="AA175" s="39"/>
      <c r="AB175" s="39"/>
    </row>
    <row r="176">
      <c r="C176" s="39"/>
      <c r="J176" s="39"/>
      <c r="K176" s="39"/>
      <c r="O176" s="39"/>
      <c r="Q176" s="39"/>
      <c r="R176" s="39"/>
      <c r="S176" s="39"/>
      <c r="U176" s="39"/>
      <c r="V176" s="39"/>
      <c r="W176" s="39"/>
      <c r="X176" s="39"/>
      <c r="Y176" s="39"/>
      <c r="Z176" s="39"/>
      <c r="AA176" s="39"/>
      <c r="AB176" s="39"/>
    </row>
    <row r="177">
      <c r="C177" s="39"/>
      <c r="J177" s="39"/>
      <c r="K177" s="39"/>
      <c r="O177" s="39"/>
      <c r="Q177" s="39"/>
      <c r="R177" s="39"/>
      <c r="S177" s="39"/>
      <c r="U177" s="39"/>
      <c r="V177" s="39"/>
      <c r="W177" s="39"/>
      <c r="X177" s="39"/>
      <c r="Y177" s="39"/>
      <c r="Z177" s="39"/>
      <c r="AA177" s="39"/>
      <c r="AB177" s="39"/>
    </row>
    <row r="178">
      <c r="C178" s="39"/>
      <c r="J178" s="39"/>
      <c r="K178" s="39"/>
      <c r="O178" s="39"/>
      <c r="Q178" s="39"/>
      <c r="R178" s="39"/>
      <c r="S178" s="39"/>
      <c r="U178" s="39"/>
      <c r="V178" s="39"/>
      <c r="W178" s="39"/>
      <c r="X178" s="39"/>
      <c r="Y178" s="39"/>
      <c r="Z178" s="39"/>
      <c r="AA178" s="39"/>
      <c r="AB178" s="39"/>
    </row>
    <row r="179">
      <c r="C179" s="39"/>
      <c r="J179" s="39"/>
      <c r="K179" s="39"/>
      <c r="O179" s="39"/>
      <c r="Q179" s="39"/>
      <c r="R179" s="39"/>
      <c r="S179" s="39"/>
      <c r="U179" s="39"/>
      <c r="V179" s="39"/>
      <c r="W179" s="39"/>
      <c r="X179" s="39"/>
      <c r="Y179" s="39"/>
      <c r="Z179" s="39"/>
      <c r="AA179" s="39"/>
      <c r="AB179" s="39"/>
    </row>
    <row r="180">
      <c r="C180" s="39"/>
      <c r="J180" s="39"/>
      <c r="K180" s="39"/>
      <c r="O180" s="39"/>
      <c r="Q180" s="39"/>
      <c r="R180" s="39"/>
      <c r="S180" s="39"/>
      <c r="U180" s="39"/>
      <c r="V180" s="39"/>
      <c r="W180" s="39"/>
      <c r="X180" s="39"/>
      <c r="Y180" s="39"/>
      <c r="Z180" s="39"/>
      <c r="AA180" s="39"/>
      <c r="AB180" s="39"/>
    </row>
    <row r="181">
      <c r="C181" s="39"/>
      <c r="J181" s="39"/>
      <c r="K181" s="39"/>
      <c r="O181" s="39"/>
      <c r="Q181" s="39"/>
      <c r="R181" s="39"/>
      <c r="S181" s="39"/>
      <c r="U181" s="39"/>
      <c r="V181" s="39"/>
      <c r="W181" s="39"/>
      <c r="X181" s="39"/>
      <c r="Y181" s="39"/>
      <c r="Z181" s="39"/>
      <c r="AA181" s="39"/>
      <c r="AB181" s="39"/>
    </row>
    <row r="182">
      <c r="C182" s="39"/>
      <c r="J182" s="39"/>
      <c r="K182" s="39"/>
      <c r="O182" s="39"/>
      <c r="Q182" s="39"/>
      <c r="R182" s="39"/>
      <c r="S182" s="39"/>
      <c r="U182" s="39"/>
      <c r="V182" s="39"/>
      <c r="W182" s="39"/>
      <c r="X182" s="39"/>
      <c r="Y182" s="39"/>
      <c r="Z182" s="39"/>
      <c r="AA182" s="39"/>
      <c r="AB182" s="39"/>
    </row>
    <row r="183">
      <c r="C183" s="39"/>
      <c r="J183" s="39"/>
      <c r="K183" s="39"/>
      <c r="O183" s="39"/>
      <c r="Q183" s="39"/>
      <c r="R183" s="39"/>
      <c r="S183" s="39"/>
      <c r="U183" s="39"/>
      <c r="V183" s="39"/>
      <c r="W183" s="39"/>
      <c r="X183" s="39"/>
      <c r="Y183" s="39"/>
      <c r="Z183" s="39"/>
      <c r="AA183" s="39"/>
      <c r="AB183" s="39"/>
    </row>
    <row r="184">
      <c r="C184" s="39"/>
      <c r="J184" s="39"/>
      <c r="K184" s="39"/>
      <c r="O184" s="39"/>
      <c r="Q184" s="39"/>
      <c r="R184" s="39"/>
      <c r="S184" s="39"/>
      <c r="U184" s="39"/>
      <c r="V184" s="39"/>
      <c r="W184" s="39"/>
      <c r="X184" s="39"/>
      <c r="Y184" s="39"/>
      <c r="Z184" s="39"/>
      <c r="AA184" s="39"/>
      <c r="AB184" s="39"/>
    </row>
    <row r="185">
      <c r="C185" s="39"/>
      <c r="J185" s="39"/>
      <c r="K185" s="39"/>
      <c r="O185" s="39"/>
      <c r="Q185" s="39"/>
      <c r="R185" s="39"/>
      <c r="S185" s="39"/>
      <c r="U185" s="39"/>
      <c r="V185" s="39"/>
      <c r="W185" s="39"/>
      <c r="X185" s="39"/>
      <c r="Y185" s="39"/>
      <c r="Z185" s="39"/>
      <c r="AA185" s="39"/>
      <c r="AB185" s="39"/>
    </row>
    <row r="186">
      <c r="C186" s="39"/>
      <c r="J186" s="39"/>
      <c r="K186" s="39"/>
      <c r="O186" s="39"/>
      <c r="Q186" s="39"/>
      <c r="R186" s="39"/>
      <c r="S186" s="39"/>
      <c r="U186" s="39"/>
      <c r="V186" s="39"/>
      <c r="W186" s="39"/>
      <c r="X186" s="39"/>
      <c r="Y186" s="39"/>
      <c r="Z186" s="39"/>
      <c r="AA186" s="39"/>
      <c r="AB186" s="39"/>
    </row>
    <row r="187">
      <c r="C187" s="39"/>
      <c r="J187" s="39"/>
      <c r="K187" s="39"/>
      <c r="O187" s="39"/>
      <c r="Q187" s="39"/>
      <c r="R187" s="39"/>
      <c r="S187" s="39"/>
      <c r="U187" s="39"/>
      <c r="V187" s="39"/>
      <c r="W187" s="39"/>
      <c r="X187" s="39"/>
      <c r="Y187" s="39"/>
      <c r="Z187" s="39"/>
      <c r="AA187" s="39"/>
      <c r="AB187" s="39"/>
    </row>
    <row r="188">
      <c r="C188" s="39"/>
      <c r="J188" s="39"/>
      <c r="K188" s="39"/>
      <c r="O188" s="39"/>
      <c r="Q188" s="39"/>
      <c r="R188" s="39"/>
      <c r="S188" s="39"/>
      <c r="U188" s="39"/>
      <c r="V188" s="39"/>
      <c r="W188" s="39"/>
      <c r="X188" s="39"/>
      <c r="Y188" s="39"/>
      <c r="Z188" s="39"/>
      <c r="AA188" s="39"/>
      <c r="AB188" s="39"/>
    </row>
    <row r="189">
      <c r="C189" s="39"/>
      <c r="J189" s="39"/>
      <c r="K189" s="39"/>
      <c r="O189" s="39"/>
      <c r="Q189" s="39"/>
      <c r="R189" s="39"/>
      <c r="S189" s="39"/>
      <c r="U189" s="39"/>
      <c r="V189" s="39"/>
      <c r="W189" s="39"/>
      <c r="X189" s="39"/>
      <c r="Y189" s="39"/>
      <c r="Z189" s="39"/>
      <c r="AA189" s="39"/>
      <c r="AB189" s="39"/>
    </row>
    <row r="190">
      <c r="C190" s="39"/>
      <c r="J190" s="39"/>
      <c r="K190" s="39"/>
      <c r="O190" s="39"/>
      <c r="Q190" s="39"/>
      <c r="R190" s="39"/>
      <c r="S190" s="39"/>
      <c r="U190" s="39"/>
      <c r="V190" s="39"/>
      <c r="W190" s="39"/>
      <c r="X190" s="39"/>
      <c r="Y190" s="39"/>
      <c r="Z190" s="39"/>
      <c r="AA190" s="39"/>
      <c r="AB190" s="39"/>
    </row>
    <row r="191">
      <c r="C191" s="39"/>
      <c r="J191" s="39"/>
      <c r="K191" s="39"/>
      <c r="O191" s="39"/>
      <c r="Q191" s="39"/>
      <c r="R191" s="39"/>
      <c r="S191" s="39"/>
      <c r="U191" s="39"/>
      <c r="V191" s="39"/>
      <c r="W191" s="39"/>
      <c r="X191" s="39"/>
      <c r="Y191" s="39"/>
      <c r="Z191" s="39"/>
      <c r="AA191" s="39"/>
      <c r="AB191" s="39"/>
    </row>
    <row r="192">
      <c r="C192" s="39"/>
      <c r="J192" s="39"/>
      <c r="K192" s="39"/>
      <c r="O192" s="39"/>
      <c r="Q192" s="39"/>
      <c r="R192" s="39"/>
      <c r="S192" s="39"/>
      <c r="U192" s="39"/>
      <c r="V192" s="39"/>
      <c r="W192" s="39"/>
      <c r="X192" s="39"/>
      <c r="Y192" s="39"/>
      <c r="Z192" s="39"/>
      <c r="AA192" s="39"/>
      <c r="AB192" s="39"/>
    </row>
    <row r="193">
      <c r="C193" s="39"/>
      <c r="J193" s="39"/>
      <c r="K193" s="39"/>
      <c r="O193" s="39"/>
      <c r="Q193" s="39"/>
      <c r="R193" s="39"/>
      <c r="S193" s="39"/>
      <c r="U193" s="39"/>
      <c r="V193" s="39"/>
      <c r="W193" s="39"/>
      <c r="X193" s="39"/>
      <c r="Y193" s="39"/>
      <c r="Z193" s="39"/>
      <c r="AA193" s="39"/>
      <c r="AB193" s="39"/>
    </row>
    <row r="194">
      <c r="C194" s="39"/>
      <c r="J194" s="39"/>
      <c r="K194" s="39"/>
      <c r="O194" s="39"/>
      <c r="Q194" s="39"/>
      <c r="R194" s="39"/>
      <c r="S194" s="39"/>
      <c r="U194" s="39"/>
      <c r="V194" s="39"/>
      <c r="W194" s="39"/>
      <c r="X194" s="39"/>
      <c r="Y194" s="39"/>
      <c r="Z194" s="39"/>
      <c r="AA194" s="39"/>
      <c r="AB194" s="39"/>
    </row>
    <row r="195">
      <c r="C195" s="39"/>
      <c r="J195" s="39"/>
      <c r="K195" s="39"/>
      <c r="O195" s="39"/>
      <c r="Q195" s="39"/>
      <c r="R195" s="39"/>
      <c r="S195" s="39"/>
      <c r="U195" s="39"/>
      <c r="V195" s="39"/>
      <c r="W195" s="39"/>
      <c r="X195" s="39"/>
      <c r="Y195" s="39"/>
      <c r="Z195" s="39"/>
      <c r="AA195" s="39"/>
      <c r="AB195" s="39"/>
    </row>
    <row r="196">
      <c r="C196" s="39"/>
      <c r="J196" s="39"/>
      <c r="K196" s="39"/>
      <c r="O196" s="39"/>
      <c r="Q196" s="39"/>
      <c r="R196" s="39"/>
      <c r="S196" s="39"/>
      <c r="U196" s="39"/>
      <c r="V196" s="39"/>
      <c r="W196" s="39"/>
      <c r="X196" s="39"/>
      <c r="Y196" s="39"/>
      <c r="Z196" s="39"/>
      <c r="AA196" s="39"/>
      <c r="AB196" s="39"/>
    </row>
    <row r="197">
      <c r="C197" s="39"/>
      <c r="J197" s="39"/>
      <c r="K197" s="39"/>
      <c r="O197" s="39"/>
      <c r="Q197" s="39"/>
      <c r="R197" s="39"/>
      <c r="S197" s="39"/>
      <c r="U197" s="39"/>
      <c r="V197" s="39"/>
      <c r="W197" s="39"/>
      <c r="X197" s="39"/>
      <c r="Y197" s="39"/>
      <c r="Z197" s="39"/>
      <c r="AA197" s="39"/>
      <c r="AB197" s="39"/>
    </row>
    <row r="198">
      <c r="C198" s="39"/>
      <c r="J198" s="39"/>
      <c r="K198" s="39"/>
      <c r="O198" s="39"/>
      <c r="Q198" s="39"/>
      <c r="R198" s="39"/>
      <c r="S198" s="39"/>
      <c r="U198" s="39"/>
      <c r="V198" s="39"/>
      <c r="W198" s="39"/>
      <c r="X198" s="39"/>
      <c r="Y198" s="39"/>
      <c r="Z198" s="39"/>
      <c r="AA198" s="39"/>
      <c r="AB198" s="39"/>
    </row>
    <row r="199">
      <c r="C199" s="39"/>
      <c r="J199" s="39"/>
      <c r="K199" s="39"/>
      <c r="O199" s="39"/>
      <c r="Q199" s="39"/>
      <c r="R199" s="39"/>
      <c r="S199" s="39"/>
      <c r="U199" s="39"/>
      <c r="V199" s="39"/>
      <c r="W199" s="39"/>
      <c r="X199" s="39"/>
      <c r="Y199" s="39"/>
      <c r="Z199" s="39"/>
      <c r="AA199" s="39"/>
      <c r="AB199" s="39"/>
    </row>
    <row r="200">
      <c r="C200" s="39"/>
      <c r="J200" s="39"/>
      <c r="K200" s="39"/>
      <c r="O200" s="39"/>
      <c r="Q200" s="39"/>
      <c r="R200" s="39"/>
      <c r="S200" s="39"/>
      <c r="U200" s="39"/>
      <c r="V200" s="39"/>
      <c r="W200" s="39"/>
      <c r="X200" s="39"/>
      <c r="Y200" s="39"/>
      <c r="Z200" s="39"/>
      <c r="AA200" s="39"/>
      <c r="AB200" s="39"/>
    </row>
    <row r="201">
      <c r="C201" s="39"/>
      <c r="J201" s="39"/>
      <c r="K201" s="39"/>
      <c r="O201" s="39"/>
      <c r="Q201" s="39"/>
      <c r="R201" s="39"/>
      <c r="S201" s="39"/>
      <c r="U201" s="39"/>
      <c r="V201" s="39"/>
      <c r="W201" s="39"/>
      <c r="X201" s="39"/>
      <c r="Y201" s="39"/>
      <c r="Z201" s="39"/>
      <c r="AA201" s="39"/>
      <c r="AB201" s="39"/>
    </row>
    <row r="202">
      <c r="C202" s="39"/>
      <c r="J202" s="39"/>
      <c r="K202" s="39"/>
      <c r="O202" s="39"/>
      <c r="Q202" s="39"/>
      <c r="R202" s="39"/>
      <c r="S202" s="39"/>
      <c r="U202" s="39"/>
      <c r="V202" s="39"/>
      <c r="W202" s="39"/>
      <c r="X202" s="39"/>
      <c r="Y202" s="39"/>
      <c r="Z202" s="39"/>
      <c r="AA202" s="39"/>
      <c r="AB202" s="39"/>
    </row>
    <row r="203">
      <c r="C203" s="39"/>
      <c r="J203" s="39"/>
      <c r="K203" s="39"/>
      <c r="O203" s="39"/>
      <c r="Q203" s="39"/>
      <c r="R203" s="39"/>
      <c r="S203" s="39"/>
      <c r="U203" s="39"/>
      <c r="V203" s="39"/>
      <c r="W203" s="39"/>
      <c r="X203" s="39"/>
      <c r="Y203" s="39"/>
      <c r="Z203" s="39"/>
      <c r="AA203" s="39"/>
      <c r="AB203" s="39"/>
    </row>
    <row r="204">
      <c r="C204" s="39"/>
      <c r="J204" s="39"/>
      <c r="K204" s="39"/>
      <c r="O204" s="39"/>
      <c r="Q204" s="39"/>
      <c r="R204" s="39"/>
      <c r="S204" s="39"/>
      <c r="U204" s="39"/>
      <c r="V204" s="39"/>
      <c r="W204" s="39"/>
      <c r="X204" s="39"/>
      <c r="Y204" s="39"/>
      <c r="Z204" s="39"/>
      <c r="AA204" s="39"/>
      <c r="AB204" s="39"/>
    </row>
    <row r="205">
      <c r="C205" s="39"/>
      <c r="J205" s="39"/>
      <c r="K205" s="39"/>
      <c r="O205" s="39"/>
      <c r="Q205" s="39"/>
      <c r="R205" s="39"/>
      <c r="S205" s="39"/>
      <c r="U205" s="39"/>
      <c r="V205" s="39"/>
      <c r="W205" s="39"/>
      <c r="X205" s="39"/>
      <c r="Y205" s="39"/>
      <c r="Z205" s="39"/>
      <c r="AA205" s="39"/>
      <c r="AB205" s="39"/>
    </row>
    <row r="206">
      <c r="C206" s="39"/>
      <c r="J206" s="39"/>
      <c r="K206" s="39"/>
      <c r="O206" s="39"/>
      <c r="Q206" s="39"/>
      <c r="R206" s="39"/>
      <c r="S206" s="39"/>
      <c r="U206" s="39"/>
      <c r="V206" s="39"/>
      <c r="W206" s="39"/>
      <c r="X206" s="39"/>
      <c r="Y206" s="39"/>
      <c r="Z206" s="39"/>
      <c r="AA206" s="39"/>
      <c r="AB206" s="39"/>
    </row>
    <row r="207">
      <c r="C207" s="39"/>
      <c r="J207" s="39"/>
      <c r="K207" s="39"/>
      <c r="O207" s="39"/>
      <c r="Q207" s="39"/>
      <c r="R207" s="39"/>
      <c r="S207" s="39"/>
      <c r="U207" s="39"/>
      <c r="V207" s="39"/>
      <c r="W207" s="39"/>
      <c r="X207" s="39"/>
      <c r="Y207" s="39"/>
      <c r="Z207" s="39"/>
      <c r="AA207" s="39"/>
      <c r="AB207" s="39"/>
    </row>
    <row r="208">
      <c r="C208" s="39"/>
      <c r="J208" s="39"/>
      <c r="K208" s="39"/>
      <c r="O208" s="39"/>
      <c r="Q208" s="39"/>
      <c r="R208" s="39"/>
      <c r="S208" s="39"/>
      <c r="U208" s="39"/>
      <c r="V208" s="39"/>
      <c r="W208" s="39"/>
      <c r="X208" s="39"/>
      <c r="Y208" s="39"/>
      <c r="Z208" s="39"/>
      <c r="AA208" s="39"/>
      <c r="AB208" s="39"/>
    </row>
    <row r="209">
      <c r="C209" s="39"/>
      <c r="J209" s="39"/>
      <c r="K209" s="39"/>
      <c r="O209" s="39"/>
      <c r="Q209" s="39"/>
      <c r="R209" s="39"/>
      <c r="S209" s="39"/>
      <c r="U209" s="39"/>
      <c r="V209" s="39"/>
      <c r="W209" s="39"/>
      <c r="X209" s="39"/>
      <c r="Y209" s="39"/>
      <c r="Z209" s="39"/>
      <c r="AA209" s="39"/>
      <c r="AB209" s="39"/>
    </row>
    <row r="210">
      <c r="C210" s="39"/>
      <c r="J210" s="39"/>
      <c r="K210" s="39"/>
      <c r="O210" s="39"/>
      <c r="Q210" s="39"/>
      <c r="R210" s="39"/>
      <c r="S210" s="39"/>
      <c r="U210" s="39"/>
      <c r="V210" s="39"/>
      <c r="W210" s="39"/>
      <c r="X210" s="39"/>
      <c r="Y210" s="39"/>
      <c r="Z210" s="39"/>
      <c r="AA210" s="39"/>
      <c r="AB210" s="39"/>
    </row>
    <row r="211">
      <c r="C211" s="39"/>
      <c r="J211" s="39"/>
      <c r="K211" s="39"/>
      <c r="O211" s="39"/>
      <c r="Q211" s="39"/>
      <c r="R211" s="39"/>
      <c r="S211" s="39"/>
      <c r="U211" s="39"/>
      <c r="V211" s="39"/>
      <c r="W211" s="39"/>
      <c r="X211" s="39"/>
      <c r="Y211" s="39"/>
      <c r="Z211" s="39"/>
      <c r="AA211" s="39"/>
      <c r="AB211" s="39"/>
    </row>
    <row r="212">
      <c r="C212" s="39"/>
      <c r="J212" s="39"/>
      <c r="K212" s="39"/>
      <c r="O212" s="39"/>
      <c r="Q212" s="39"/>
      <c r="R212" s="39"/>
      <c r="S212" s="39"/>
      <c r="U212" s="39"/>
      <c r="V212" s="39"/>
      <c r="W212" s="39"/>
      <c r="X212" s="39"/>
      <c r="Y212" s="39"/>
      <c r="Z212" s="39"/>
      <c r="AA212" s="39"/>
      <c r="AB212" s="39"/>
    </row>
    <row r="213">
      <c r="C213" s="39"/>
      <c r="J213" s="39"/>
      <c r="K213" s="39"/>
      <c r="O213" s="39"/>
      <c r="Q213" s="39"/>
      <c r="R213" s="39"/>
      <c r="S213" s="39"/>
      <c r="U213" s="39"/>
      <c r="V213" s="39"/>
      <c r="W213" s="39"/>
      <c r="X213" s="39"/>
      <c r="Y213" s="39"/>
      <c r="Z213" s="39"/>
      <c r="AA213" s="39"/>
      <c r="AB213" s="39"/>
    </row>
    <row r="214">
      <c r="C214" s="39"/>
      <c r="J214" s="39"/>
      <c r="K214" s="39"/>
      <c r="O214" s="39"/>
      <c r="Q214" s="39"/>
      <c r="R214" s="39"/>
      <c r="S214" s="39"/>
      <c r="U214" s="39"/>
      <c r="V214" s="39"/>
      <c r="W214" s="39"/>
      <c r="X214" s="39"/>
      <c r="Y214" s="39"/>
      <c r="Z214" s="39"/>
      <c r="AA214" s="39"/>
      <c r="AB214" s="39"/>
    </row>
    <row r="215">
      <c r="C215" s="39"/>
      <c r="J215" s="39"/>
      <c r="K215" s="39"/>
      <c r="O215" s="39"/>
      <c r="Q215" s="39"/>
      <c r="R215" s="39"/>
      <c r="S215" s="39"/>
      <c r="U215" s="39"/>
      <c r="V215" s="39"/>
      <c r="W215" s="39"/>
      <c r="X215" s="39"/>
      <c r="Y215" s="39"/>
      <c r="Z215" s="39"/>
      <c r="AA215" s="39"/>
      <c r="AB215" s="39"/>
    </row>
    <row r="216">
      <c r="C216" s="39"/>
      <c r="J216" s="39"/>
      <c r="K216" s="39"/>
      <c r="O216" s="39"/>
      <c r="Q216" s="39"/>
      <c r="R216" s="39"/>
      <c r="S216" s="39"/>
      <c r="U216" s="39"/>
      <c r="V216" s="39"/>
      <c r="W216" s="39"/>
      <c r="X216" s="39"/>
      <c r="Y216" s="39"/>
      <c r="Z216" s="39"/>
      <c r="AA216" s="39"/>
      <c r="AB216" s="39"/>
    </row>
    <row r="217">
      <c r="C217" s="39"/>
      <c r="J217" s="39"/>
      <c r="K217" s="39"/>
      <c r="O217" s="39"/>
      <c r="Q217" s="39"/>
      <c r="R217" s="39"/>
      <c r="S217" s="39"/>
      <c r="U217" s="39"/>
      <c r="V217" s="39"/>
      <c r="W217" s="39"/>
      <c r="X217" s="39"/>
      <c r="Y217" s="39"/>
      <c r="Z217" s="39"/>
      <c r="AA217" s="39"/>
      <c r="AB217" s="39"/>
    </row>
    <row r="218">
      <c r="C218" s="39"/>
      <c r="J218" s="39"/>
      <c r="K218" s="39"/>
      <c r="O218" s="39"/>
      <c r="Q218" s="39"/>
      <c r="R218" s="39"/>
      <c r="S218" s="39"/>
      <c r="U218" s="39"/>
      <c r="V218" s="39"/>
      <c r="W218" s="39"/>
      <c r="X218" s="39"/>
      <c r="Y218" s="39"/>
      <c r="Z218" s="39"/>
      <c r="AA218" s="39"/>
      <c r="AB218" s="39"/>
    </row>
    <row r="219">
      <c r="C219" s="39"/>
      <c r="J219" s="39"/>
      <c r="K219" s="39"/>
      <c r="O219" s="39"/>
      <c r="Q219" s="39"/>
      <c r="R219" s="39"/>
      <c r="S219" s="39"/>
      <c r="U219" s="39"/>
      <c r="V219" s="39"/>
      <c r="W219" s="39"/>
      <c r="X219" s="39"/>
      <c r="Y219" s="39"/>
      <c r="Z219" s="39"/>
      <c r="AA219" s="39"/>
      <c r="AB219" s="39"/>
    </row>
    <row r="220">
      <c r="C220" s="39"/>
      <c r="J220" s="39"/>
      <c r="K220" s="39"/>
      <c r="O220" s="39"/>
      <c r="Q220" s="39"/>
      <c r="R220" s="39"/>
      <c r="S220" s="39"/>
      <c r="U220" s="39"/>
      <c r="V220" s="39"/>
      <c r="W220" s="39"/>
      <c r="X220" s="39"/>
      <c r="Y220" s="39"/>
      <c r="Z220" s="39"/>
      <c r="AA220" s="39"/>
      <c r="AB220" s="39"/>
    </row>
    <row r="221">
      <c r="C221" s="39"/>
      <c r="J221" s="39"/>
      <c r="K221" s="39"/>
      <c r="O221" s="39"/>
      <c r="Q221" s="39"/>
      <c r="R221" s="39"/>
      <c r="S221" s="39"/>
      <c r="U221" s="39"/>
      <c r="V221" s="39"/>
      <c r="W221" s="39"/>
      <c r="X221" s="39"/>
      <c r="Y221" s="39"/>
      <c r="Z221" s="39"/>
      <c r="AA221" s="39"/>
      <c r="AB221" s="39"/>
    </row>
    <row r="222">
      <c r="C222" s="39"/>
      <c r="J222" s="39"/>
      <c r="K222" s="39"/>
      <c r="O222" s="39"/>
      <c r="Q222" s="39"/>
      <c r="R222" s="39"/>
      <c r="S222" s="39"/>
      <c r="U222" s="39"/>
      <c r="V222" s="39"/>
      <c r="W222" s="39"/>
      <c r="X222" s="39"/>
      <c r="Y222" s="39"/>
      <c r="Z222" s="39"/>
      <c r="AA222" s="39"/>
      <c r="AB222" s="39"/>
    </row>
    <row r="223">
      <c r="C223" s="39"/>
      <c r="J223" s="39"/>
      <c r="K223" s="39"/>
      <c r="O223" s="39"/>
      <c r="Q223" s="39"/>
      <c r="R223" s="39"/>
      <c r="S223" s="39"/>
      <c r="U223" s="39"/>
      <c r="V223" s="39"/>
      <c r="W223" s="39"/>
      <c r="X223" s="39"/>
      <c r="Y223" s="39"/>
      <c r="Z223" s="39"/>
      <c r="AA223" s="39"/>
      <c r="AB223" s="39"/>
    </row>
    <row r="224">
      <c r="C224" s="39"/>
      <c r="J224" s="39"/>
      <c r="K224" s="39"/>
      <c r="O224" s="39"/>
      <c r="Q224" s="39"/>
      <c r="R224" s="39"/>
      <c r="S224" s="39"/>
      <c r="U224" s="39"/>
      <c r="V224" s="39"/>
      <c r="W224" s="39"/>
      <c r="X224" s="39"/>
      <c r="Y224" s="39"/>
      <c r="Z224" s="39"/>
      <c r="AA224" s="39"/>
      <c r="AB224" s="39"/>
    </row>
    <row r="225">
      <c r="C225" s="39"/>
      <c r="J225" s="39"/>
      <c r="K225" s="39"/>
      <c r="O225" s="39"/>
      <c r="Q225" s="39"/>
      <c r="R225" s="39"/>
      <c r="S225" s="39"/>
      <c r="U225" s="39"/>
      <c r="V225" s="39"/>
      <c r="W225" s="39"/>
      <c r="X225" s="39"/>
      <c r="Y225" s="39"/>
      <c r="Z225" s="39"/>
      <c r="AA225" s="39"/>
      <c r="AB225" s="39"/>
    </row>
    <row r="226">
      <c r="C226" s="39"/>
      <c r="J226" s="39"/>
      <c r="K226" s="39"/>
      <c r="O226" s="39"/>
      <c r="Q226" s="39"/>
      <c r="R226" s="39"/>
      <c r="S226" s="39"/>
      <c r="U226" s="39"/>
      <c r="V226" s="39"/>
      <c r="W226" s="39"/>
      <c r="X226" s="39"/>
      <c r="Y226" s="39"/>
      <c r="Z226" s="39"/>
      <c r="AA226" s="39"/>
      <c r="AB226" s="39"/>
    </row>
    <row r="227">
      <c r="C227" s="39"/>
      <c r="J227" s="39"/>
      <c r="K227" s="39"/>
      <c r="O227" s="39"/>
      <c r="Q227" s="39"/>
      <c r="R227" s="39"/>
      <c r="S227" s="39"/>
      <c r="U227" s="39"/>
      <c r="V227" s="39"/>
      <c r="W227" s="39"/>
      <c r="X227" s="39"/>
      <c r="Y227" s="39"/>
      <c r="Z227" s="39"/>
      <c r="AA227" s="39"/>
      <c r="AB227" s="39"/>
    </row>
    <row r="228">
      <c r="C228" s="39"/>
      <c r="J228" s="39"/>
      <c r="K228" s="39"/>
      <c r="O228" s="39"/>
      <c r="Q228" s="39"/>
      <c r="R228" s="39"/>
      <c r="S228" s="39"/>
      <c r="U228" s="39"/>
      <c r="V228" s="39"/>
      <c r="W228" s="39"/>
      <c r="X228" s="39"/>
      <c r="Y228" s="39"/>
      <c r="Z228" s="39"/>
      <c r="AA228" s="39"/>
      <c r="AB228" s="39"/>
    </row>
    <row r="229">
      <c r="C229" s="39"/>
      <c r="J229" s="39"/>
      <c r="K229" s="39"/>
      <c r="O229" s="39"/>
      <c r="Q229" s="39"/>
      <c r="R229" s="39"/>
      <c r="S229" s="39"/>
      <c r="U229" s="39"/>
      <c r="V229" s="39"/>
      <c r="W229" s="39"/>
      <c r="X229" s="39"/>
      <c r="Y229" s="39"/>
      <c r="Z229" s="39"/>
      <c r="AA229" s="39"/>
      <c r="AB229" s="39"/>
    </row>
    <row r="230">
      <c r="C230" s="39"/>
      <c r="J230" s="39"/>
      <c r="K230" s="39"/>
      <c r="O230" s="39"/>
      <c r="Q230" s="39"/>
      <c r="R230" s="39"/>
      <c r="S230" s="39"/>
      <c r="U230" s="39"/>
      <c r="V230" s="39"/>
      <c r="W230" s="39"/>
      <c r="X230" s="39"/>
      <c r="Y230" s="39"/>
      <c r="Z230" s="39"/>
      <c r="AA230" s="39"/>
      <c r="AB230" s="39"/>
    </row>
    <row r="231">
      <c r="C231" s="39"/>
      <c r="J231" s="39"/>
      <c r="K231" s="39"/>
      <c r="O231" s="39"/>
      <c r="Q231" s="39"/>
      <c r="R231" s="39"/>
      <c r="S231" s="39"/>
      <c r="U231" s="39"/>
      <c r="V231" s="39"/>
      <c r="W231" s="39"/>
      <c r="X231" s="39"/>
      <c r="Y231" s="39"/>
      <c r="Z231" s="39"/>
      <c r="AA231" s="39"/>
      <c r="AB231" s="39"/>
    </row>
    <row r="232">
      <c r="C232" s="39"/>
      <c r="J232" s="39"/>
      <c r="K232" s="39"/>
      <c r="O232" s="39"/>
      <c r="Q232" s="39"/>
      <c r="R232" s="39"/>
      <c r="S232" s="39"/>
      <c r="U232" s="39"/>
      <c r="V232" s="39"/>
      <c r="W232" s="39"/>
      <c r="X232" s="39"/>
      <c r="Y232" s="39"/>
      <c r="Z232" s="39"/>
      <c r="AA232" s="39"/>
      <c r="AB232" s="39"/>
    </row>
    <row r="233">
      <c r="C233" s="39"/>
      <c r="J233" s="39"/>
      <c r="K233" s="39"/>
      <c r="O233" s="39"/>
      <c r="Q233" s="39"/>
      <c r="R233" s="39"/>
      <c r="S233" s="39"/>
      <c r="U233" s="39"/>
      <c r="V233" s="39"/>
      <c r="W233" s="39"/>
      <c r="X233" s="39"/>
      <c r="Y233" s="39"/>
      <c r="Z233" s="39"/>
      <c r="AA233" s="39"/>
      <c r="AB233" s="39"/>
    </row>
    <row r="234">
      <c r="C234" s="39"/>
      <c r="J234" s="39"/>
      <c r="K234" s="39"/>
      <c r="O234" s="39"/>
      <c r="Q234" s="39"/>
      <c r="R234" s="39"/>
      <c r="S234" s="39"/>
      <c r="U234" s="39"/>
      <c r="V234" s="39"/>
      <c r="W234" s="39"/>
      <c r="X234" s="39"/>
      <c r="Y234" s="39"/>
      <c r="Z234" s="39"/>
      <c r="AA234" s="39"/>
      <c r="AB234" s="39"/>
    </row>
    <row r="235">
      <c r="C235" s="39"/>
      <c r="J235" s="39"/>
      <c r="K235" s="39"/>
      <c r="O235" s="39"/>
      <c r="Q235" s="39"/>
      <c r="R235" s="39"/>
      <c r="S235" s="39"/>
      <c r="U235" s="39"/>
      <c r="V235" s="39"/>
      <c r="W235" s="39"/>
      <c r="X235" s="39"/>
      <c r="Y235" s="39"/>
      <c r="Z235" s="39"/>
      <c r="AA235" s="39"/>
      <c r="AB235" s="39"/>
    </row>
    <row r="236">
      <c r="C236" s="39"/>
      <c r="J236" s="39"/>
      <c r="K236" s="39"/>
      <c r="O236" s="39"/>
      <c r="Q236" s="39"/>
      <c r="R236" s="39"/>
      <c r="S236" s="39"/>
      <c r="U236" s="39"/>
      <c r="V236" s="39"/>
      <c r="W236" s="39"/>
      <c r="X236" s="39"/>
      <c r="Y236" s="39"/>
      <c r="Z236" s="39"/>
      <c r="AA236" s="39"/>
      <c r="AB236" s="39"/>
    </row>
    <row r="237">
      <c r="C237" s="39"/>
      <c r="J237" s="39"/>
      <c r="K237" s="39"/>
      <c r="O237" s="39"/>
      <c r="Q237" s="39"/>
      <c r="R237" s="39"/>
      <c r="S237" s="39"/>
      <c r="U237" s="39"/>
      <c r="V237" s="39"/>
      <c r="W237" s="39"/>
      <c r="X237" s="39"/>
      <c r="Y237" s="39"/>
      <c r="Z237" s="39"/>
      <c r="AA237" s="39"/>
      <c r="AB237" s="39"/>
    </row>
    <row r="238">
      <c r="C238" s="39"/>
      <c r="J238" s="39"/>
      <c r="K238" s="39"/>
      <c r="O238" s="39"/>
      <c r="Q238" s="39"/>
      <c r="R238" s="39"/>
      <c r="S238" s="39"/>
      <c r="U238" s="39"/>
      <c r="V238" s="39"/>
      <c r="W238" s="39"/>
      <c r="X238" s="39"/>
      <c r="Y238" s="39"/>
      <c r="Z238" s="39"/>
      <c r="AA238" s="39"/>
      <c r="AB238" s="39"/>
    </row>
    <row r="239">
      <c r="C239" s="39"/>
      <c r="J239" s="39"/>
      <c r="K239" s="39"/>
      <c r="O239" s="39"/>
      <c r="Q239" s="39"/>
      <c r="R239" s="39"/>
      <c r="S239" s="39"/>
      <c r="U239" s="39"/>
      <c r="V239" s="39"/>
      <c r="W239" s="39"/>
      <c r="X239" s="39"/>
      <c r="Y239" s="39"/>
      <c r="Z239" s="39"/>
      <c r="AA239" s="39"/>
      <c r="AB239" s="39"/>
    </row>
    <row r="240">
      <c r="C240" s="39"/>
      <c r="J240" s="39"/>
      <c r="K240" s="39"/>
      <c r="O240" s="39"/>
      <c r="Q240" s="39"/>
      <c r="R240" s="39"/>
      <c r="S240" s="39"/>
      <c r="U240" s="39"/>
      <c r="V240" s="39"/>
      <c r="W240" s="39"/>
      <c r="X240" s="39"/>
      <c r="Y240" s="39"/>
      <c r="Z240" s="39"/>
      <c r="AA240" s="39"/>
      <c r="AB240" s="39"/>
    </row>
    <row r="241">
      <c r="C241" s="39"/>
      <c r="J241" s="39"/>
      <c r="K241" s="39"/>
      <c r="O241" s="39"/>
      <c r="Q241" s="39"/>
      <c r="R241" s="39"/>
      <c r="S241" s="39"/>
      <c r="U241" s="39"/>
      <c r="V241" s="39"/>
      <c r="W241" s="39"/>
      <c r="X241" s="39"/>
      <c r="Y241" s="39"/>
      <c r="Z241" s="39"/>
      <c r="AA241" s="39"/>
      <c r="AB241" s="39"/>
    </row>
    <row r="242">
      <c r="C242" s="39"/>
      <c r="J242" s="39"/>
      <c r="K242" s="39"/>
      <c r="O242" s="39"/>
      <c r="Q242" s="39"/>
      <c r="R242" s="39"/>
      <c r="S242" s="39"/>
      <c r="U242" s="39"/>
      <c r="V242" s="39"/>
      <c r="W242" s="39"/>
      <c r="X242" s="39"/>
      <c r="Y242" s="39"/>
      <c r="Z242" s="39"/>
      <c r="AA242" s="39"/>
      <c r="AB242" s="39"/>
    </row>
    <row r="243">
      <c r="C243" s="39"/>
      <c r="J243" s="39"/>
      <c r="K243" s="39"/>
      <c r="O243" s="39"/>
      <c r="Q243" s="39"/>
      <c r="R243" s="39"/>
      <c r="S243" s="39"/>
      <c r="U243" s="39"/>
      <c r="V243" s="39"/>
      <c r="W243" s="39"/>
      <c r="X243" s="39"/>
      <c r="Y243" s="39"/>
      <c r="Z243" s="39"/>
      <c r="AA243" s="39"/>
      <c r="AB243" s="39"/>
    </row>
    <row r="244">
      <c r="C244" s="39"/>
      <c r="J244" s="39"/>
      <c r="K244" s="39"/>
      <c r="O244" s="39"/>
      <c r="Q244" s="39"/>
      <c r="R244" s="39"/>
      <c r="S244" s="39"/>
      <c r="U244" s="39"/>
      <c r="V244" s="39"/>
      <c r="W244" s="39"/>
      <c r="X244" s="39"/>
      <c r="Y244" s="39"/>
      <c r="Z244" s="39"/>
      <c r="AA244" s="39"/>
      <c r="AB244" s="39"/>
    </row>
    <row r="245">
      <c r="C245" s="39"/>
      <c r="J245" s="39"/>
      <c r="K245" s="39"/>
      <c r="O245" s="39"/>
      <c r="Q245" s="39"/>
      <c r="R245" s="39"/>
      <c r="S245" s="39"/>
      <c r="U245" s="39"/>
      <c r="V245" s="39"/>
      <c r="W245" s="39"/>
      <c r="X245" s="39"/>
      <c r="Y245" s="39"/>
      <c r="Z245" s="39"/>
      <c r="AA245" s="39"/>
      <c r="AB245" s="39"/>
    </row>
    <row r="246">
      <c r="C246" s="39"/>
      <c r="J246" s="39"/>
      <c r="K246" s="39"/>
      <c r="O246" s="39"/>
      <c r="Q246" s="39"/>
      <c r="R246" s="39"/>
      <c r="S246" s="39"/>
      <c r="U246" s="39"/>
      <c r="V246" s="39"/>
      <c r="W246" s="39"/>
      <c r="X246" s="39"/>
      <c r="Y246" s="39"/>
      <c r="Z246" s="39"/>
      <c r="AA246" s="39"/>
      <c r="AB246" s="39"/>
    </row>
    <row r="247">
      <c r="C247" s="39"/>
      <c r="J247" s="39"/>
      <c r="K247" s="39"/>
      <c r="O247" s="39"/>
      <c r="Q247" s="39"/>
      <c r="R247" s="39"/>
      <c r="S247" s="39"/>
      <c r="U247" s="39"/>
      <c r="V247" s="39"/>
      <c r="W247" s="39"/>
      <c r="X247" s="39"/>
      <c r="Y247" s="39"/>
      <c r="Z247" s="39"/>
      <c r="AA247" s="39"/>
      <c r="AB247" s="39"/>
    </row>
    <row r="248">
      <c r="C248" s="39"/>
      <c r="J248" s="39"/>
      <c r="K248" s="39"/>
      <c r="O248" s="39"/>
      <c r="Q248" s="39"/>
      <c r="R248" s="39"/>
      <c r="S248" s="39"/>
      <c r="U248" s="39"/>
      <c r="V248" s="39"/>
      <c r="W248" s="39"/>
      <c r="X248" s="39"/>
      <c r="Y248" s="39"/>
      <c r="Z248" s="39"/>
      <c r="AA248" s="39"/>
      <c r="AB248" s="39"/>
    </row>
    <row r="249">
      <c r="C249" s="39"/>
      <c r="J249" s="39"/>
      <c r="K249" s="39"/>
      <c r="O249" s="39"/>
      <c r="Q249" s="39"/>
      <c r="R249" s="39"/>
      <c r="S249" s="39"/>
      <c r="U249" s="39"/>
      <c r="V249" s="39"/>
      <c r="W249" s="39"/>
      <c r="X249" s="39"/>
      <c r="Y249" s="39"/>
      <c r="Z249" s="39"/>
      <c r="AA249" s="39"/>
      <c r="AB249" s="39"/>
    </row>
    <row r="250">
      <c r="C250" s="39"/>
      <c r="J250" s="39"/>
      <c r="K250" s="39"/>
      <c r="O250" s="39"/>
      <c r="Q250" s="39"/>
      <c r="R250" s="39"/>
      <c r="S250" s="39"/>
      <c r="U250" s="39"/>
      <c r="V250" s="39"/>
      <c r="W250" s="39"/>
      <c r="X250" s="39"/>
      <c r="Y250" s="39"/>
      <c r="Z250" s="39"/>
      <c r="AA250" s="39"/>
      <c r="AB250" s="39"/>
    </row>
    <row r="251">
      <c r="C251" s="39"/>
      <c r="J251" s="39"/>
      <c r="K251" s="39"/>
      <c r="O251" s="39"/>
      <c r="Q251" s="39"/>
      <c r="R251" s="39"/>
      <c r="S251" s="39"/>
      <c r="U251" s="39"/>
      <c r="V251" s="39"/>
      <c r="W251" s="39"/>
      <c r="X251" s="39"/>
      <c r="Y251" s="39"/>
      <c r="Z251" s="39"/>
      <c r="AA251" s="39"/>
      <c r="AB251" s="39"/>
    </row>
    <row r="252">
      <c r="C252" s="39"/>
      <c r="J252" s="39"/>
      <c r="K252" s="39"/>
      <c r="O252" s="39"/>
      <c r="Q252" s="39"/>
      <c r="R252" s="39"/>
      <c r="S252" s="39"/>
      <c r="U252" s="39"/>
      <c r="V252" s="39"/>
      <c r="W252" s="39"/>
      <c r="X252" s="39"/>
      <c r="Y252" s="39"/>
      <c r="Z252" s="39"/>
      <c r="AA252" s="39"/>
      <c r="AB252" s="39"/>
    </row>
    <row r="253">
      <c r="C253" s="39"/>
      <c r="J253" s="39"/>
      <c r="K253" s="39"/>
      <c r="O253" s="39"/>
      <c r="Q253" s="39"/>
      <c r="R253" s="39"/>
      <c r="S253" s="39"/>
      <c r="U253" s="39"/>
      <c r="V253" s="39"/>
      <c r="W253" s="39"/>
      <c r="X253" s="39"/>
      <c r="Y253" s="39"/>
      <c r="Z253" s="39"/>
      <c r="AA253" s="39"/>
      <c r="AB253" s="39"/>
    </row>
    <row r="254">
      <c r="C254" s="39"/>
      <c r="J254" s="39"/>
      <c r="K254" s="39"/>
      <c r="O254" s="39"/>
      <c r="Q254" s="39"/>
      <c r="R254" s="39"/>
      <c r="S254" s="39"/>
      <c r="U254" s="39"/>
      <c r="V254" s="39"/>
      <c r="W254" s="39"/>
      <c r="X254" s="39"/>
      <c r="Y254" s="39"/>
      <c r="Z254" s="39"/>
      <c r="AA254" s="39"/>
      <c r="AB254" s="39"/>
    </row>
    <row r="255">
      <c r="C255" s="39"/>
      <c r="J255" s="39"/>
      <c r="K255" s="39"/>
      <c r="O255" s="39"/>
      <c r="Q255" s="39"/>
      <c r="R255" s="39"/>
      <c r="S255" s="39"/>
      <c r="U255" s="39"/>
      <c r="V255" s="39"/>
      <c r="W255" s="39"/>
      <c r="X255" s="39"/>
      <c r="Y255" s="39"/>
      <c r="Z255" s="39"/>
      <c r="AA255" s="39"/>
      <c r="AB255" s="39"/>
    </row>
    <row r="256">
      <c r="C256" s="39"/>
      <c r="J256" s="39"/>
      <c r="K256" s="39"/>
      <c r="O256" s="39"/>
      <c r="Q256" s="39"/>
      <c r="R256" s="39"/>
      <c r="S256" s="39"/>
      <c r="U256" s="39"/>
      <c r="V256" s="39"/>
      <c r="W256" s="39"/>
      <c r="X256" s="39"/>
      <c r="Y256" s="39"/>
      <c r="Z256" s="39"/>
      <c r="AA256" s="39"/>
      <c r="AB256" s="39"/>
    </row>
    <row r="257">
      <c r="C257" s="39"/>
      <c r="J257" s="39"/>
      <c r="K257" s="39"/>
      <c r="O257" s="39"/>
      <c r="Q257" s="39"/>
      <c r="R257" s="39"/>
      <c r="S257" s="39"/>
      <c r="U257" s="39"/>
      <c r="V257" s="39"/>
      <c r="W257" s="39"/>
      <c r="X257" s="39"/>
      <c r="Y257" s="39"/>
      <c r="Z257" s="39"/>
      <c r="AA257" s="39"/>
      <c r="AB257" s="39"/>
    </row>
    <row r="258">
      <c r="C258" s="39"/>
      <c r="J258" s="39"/>
      <c r="K258" s="39"/>
      <c r="O258" s="39"/>
      <c r="Q258" s="39"/>
      <c r="R258" s="39"/>
      <c r="S258" s="39"/>
      <c r="U258" s="39"/>
      <c r="V258" s="39"/>
      <c r="W258" s="39"/>
      <c r="X258" s="39"/>
      <c r="Y258" s="39"/>
      <c r="Z258" s="39"/>
      <c r="AA258" s="39"/>
      <c r="AB258" s="39"/>
    </row>
    <row r="259">
      <c r="C259" s="39"/>
      <c r="J259" s="39"/>
      <c r="K259" s="39"/>
      <c r="O259" s="39"/>
      <c r="Q259" s="39"/>
      <c r="R259" s="39"/>
      <c r="S259" s="39"/>
      <c r="U259" s="39"/>
      <c r="V259" s="39"/>
      <c r="W259" s="39"/>
      <c r="X259" s="39"/>
      <c r="Y259" s="39"/>
      <c r="Z259" s="39"/>
      <c r="AA259" s="39"/>
      <c r="AB259" s="39"/>
    </row>
    <row r="260">
      <c r="C260" s="39"/>
      <c r="J260" s="39"/>
      <c r="K260" s="39"/>
      <c r="O260" s="39"/>
      <c r="Q260" s="39"/>
      <c r="R260" s="39"/>
      <c r="S260" s="39"/>
      <c r="U260" s="39"/>
      <c r="V260" s="39"/>
      <c r="W260" s="39"/>
      <c r="X260" s="39"/>
      <c r="Y260" s="39"/>
      <c r="Z260" s="39"/>
      <c r="AA260" s="39"/>
      <c r="AB260" s="39"/>
    </row>
    <row r="261">
      <c r="C261" s="39"/>
      <c r="J261" s="39"/>
      <c r="K261" s="39"/>
      <c r="O261" s="39"/>
      <c r="Q261" s="39"/>
      <c r="R261" s="39"/>
      <c r="S261" s="39"/>
      <c r="U261" s="39"/>
      <c r="V261" s="39"/>
      <c r="W261" s="39"/>
      <c r="X261" s="39"/>
      <c r="Y261" s="39"/>
      <c r="Z261" s="39"/>
      <c r="AA261" s="39"/>
      <c r="AB261" s="39"/>
    </row>
    <row r="262">
      <c r="C262" s="39"/>
      <c r="J262" s="39"/>
      <c r="K262" s="39"/>
      <c r="O262" s="39"/>
      <c r="Q262" s="39"/>
      <c r="R262" s="39"/>
      <c r="S262" s="39"/>
      <c r="U262" s="39"/>
      <c r="V262" s="39"/>
      <c r="W262" s="39"/>
      <c r="X262" s="39"/>
      <c r="Y262" s="39"/>
      <c r="Z262" s="39"/>
      <c r="AA262" s="39"/>
      <c r="AB262" s="39"/>
    </row>
    <row r="263">
      <c r="C263" s="39"/>
      <c r="J263" s="39"/>
      <c r="K263" s="39"/>
      <c r="O263" s="39"/>
      <c r="Q263" s="39"/>
      <c r="R263" s="39"/>
      <c r="S263" s="39"/>
      <c r="U263" s="39"/>
      <c r="V263" s="39"/>
      <c r="W263" s="39"/>
      <c r="X263" s="39"/>
      <c r="Y263" s="39"/>
      <c r="Z263" s="39"/>
      <c r="AA263" s="39"/>
      <c r="AB263" s="39"/>
    </row>
    <row r="264">
      <c r="C264" s="39"/>
      <c r="J264" s="39"/>
      <c r="K264" s="39"/>
      <c r="O264" s="39"/>
      <c r="Q264" s="39"/>
      <c r="R264" s="39"/>
      <c r="S264" s="39"/>
      <c r="U264" s="39"/>
      <c r="V264" s="39"/>
      <c r="W264" s="39"/>
      <c r="X264" s="39"/>
      <c r="Y264" s="39"/>
      <c r="Z264" s="39"/>
      <c r="AA264" s="39"/>
      <c r="AB264" s="39"/>
    </row>
    <row r="265">
      <c r="C265" s="39"/>
      <c r="J265" s="39"/>
      <c r="K265" s="39"/>
      <c r="O265" s="39"/>
      <c r="Q265" s="39"/>
      <c r="R265" s="39"/>
      <c r="S265" s="39"/>
      <c r="U265" s="39"/>
      <c r="V265" s="39"/>
      <c r="W265" s="39"/>
      <c r="X265" s="39"/>
      <c r="Y265" s="39"/>
      <c r="Z265" s="39"/>
      <c r="AA265" s="39"/>
      <c r="AB265" s="39"/>
    </row>
    <row r="266">
      <c r="C266" s="39"/>
      <c r="J266" s="39"/>
      <c r="K266" s="39"/>
      <c r="O266" s="39"/>
      <c r="Q266" s="39"/>
      <c r="R266" s="39"/>
      <c r="S266" s="39"/>
      <c r="U266" s="39"/>
      <c r="V266" s="39"/>
      <c r="W266" s="39"/>
      <c r="X266" s="39"/>
      <c r="Y266" s="39"/>
      <c r="Z266" s="39"/>
      <c r="AA266" s="39"/>
      <c r="AB266" s="39"/>
    </row>
    <row r="267">
      <c r="C267" s="39"/>
      <c r="J267" s="39"/>
      <c r="K267" s="39"/>
      <c r="O267" s="39"/>
      <c r="Q267" s="39"/>
      <c r="R267" s="39"/>
      <c r="S267" s="39"/>
      <c r="U267" s="39"/>
      <c r="V267" s="39"/>
      <c r="W267" s="39"/>
      <c r="X267" s="39"/>
      <c r="Y267" s="39"/>
      <c r="Z267" s="39"/>
      <c r="AA267" s="39"/>
      <c r="AB267" s="39"/>
    </row>
    <row r="268">
      <c r="C268" s="39"/>
      <c r="J268" s="39"/>
      <c r="K268" s="39"/>
      <c r="O268" s="39"/>
      <c r="Q268" s="39"/>
      <c r="R268" s="39"/>
      <c r="S268" s="39"/>
      <c r="U268" s="39"/>
      <c r="V268" s="39"/>
      <c r="W268" s="39"/>
      <c r="X268" s="39"/>
      <c r="Y268" s="39"/>
      <c r="Z268" s="39"/>
      <c r="AA268" s="39"/>
      <c r="AB268" s="39"/>
    </row>
    <row r="269">
      <c r="C269" s="39"/>
      <c r="J269" s="39"/>
      <c r="K269" s="39"/>
      <c r="O269" s="39"/>
      <c r="Q269" s="39"/>
      <c r="R269" s="39"/>
      <c r="S269" s="39"/>
      <c r="U269" s="39"/>
      <c r="V269" s="39"/>
      <c r="W269" s="39"/>
      <c r="X269" s="39"/>
      <c r="Y269" s="39"/>
      <c r="Z269" s="39"/>
      <c r="AA269" s="39"/>
      <c r="AB269" s="39"/>
    </row>
    <row r="270">
      <c r="C270" s="39"/>
      <c r="J270" s="39"/>
      <c r="K270" s="39"/>
      <c r="O270" s="39"/>
      <c r="Q270" s="39"/>
      <c r="R270" s="39"/>
      <c r="S270" s="39"/>
      <c r="U270" s="39"/>
      <c r="V270" s="39"/>
      <c r="W270" s="39"/>
      <c r="X270" s="39"/>
      <c r="Y270" s="39"/>
      <c r="Z270" s="39"/>
      <c r="AA270" s="39"/>
      <c r="AB270" s="39"/>
    </row>
    <row r="271">
      <c r="C271" s="39"/>
      <c r="J271" s="39"/>
      <c r="K271" s="39"/>
      <c r="O271" s="39"/>
      <c r="Q271" s="39"/>
      <c r="R271" s="39"/>
      <c r="S271" s="39"/>
      <c r="U271" s="39"/>
      <c r="V271" s="39"/>
      <c r="W271" s="39"/>
      <c r="X271" s="39"/>
      <c r="Y271" s="39"/>
      <c r="Z271" s="39"/>
      <c r="AA271" s="39"/>
      <c r="AB271" s="39"/>
    </row>
    <row r="272">
      <c r="C272" s="39"/>
      <c r="J272" s="39"/>
      <c r="K272" s="39"/>
      <c r="O272" s="39"/>
      <c r="Q272" s="39"/>
      <c r="R272" s="39"/>
      <c r="S272" s="39"/>
      <c r="U272" s="39"/>
      <c r="V272" s="39"/>
      <c r="W272" s="39"/>
      <c r="X272" s="39"/>
      <c r="Y272" s="39"/>
      <c r="Z272" s="39"/>
      <c r="AA272" s="39"/>
      <c r="AB272" s="39"/>
    </row>
    <row r="273">
      <c r="C273" s="39"/>
      <c r="J273" s="39"/>
      <c r="K273" s="39"/>
      <c r="O273" s="39"/>
      <c r="Q273" s="39"/>
      <c r="R273" s="39"/>
      <c r="S273" s="39"/>
      <c r="U273" s="39"/>
      <c r="V273" s="39"/>
      <c r="W273" s="39"/>
      <c r="X273" s="39"/>
      <c r="Y273" s="39"/>
      <c r="Z273" s="39"/>
      <c r="AA273" s="39"/>
      <c r="AB273" s="39"/>
    </row>
    <row r="274">
      <c r="C274" s="39"/>
      <c r="J274" s="39"/>
      <c r="K274" s="39"/>
      <c r="O274" s="39"/>
      <c r="Q274" s="39"/>
      <c r="R274" s="39"/>
      <c r="S274" s="39"/>
      <c r="U274" s="39"/>
      <c r="V274" s="39"/>
      <c r="W274" s="39"/>
      <c r="X274" s="39"/>
      <c r="Y274" s="39"/>
      <c r="Z274" s="39"/>
      <c r="AA274" s="39"/>
      <c r="AB274" s="39"/>
    </row>
    <row r="275">
      <c r="C275" s="39"/>
      <c r="J275" s="39"/>
      <c r="K275" s="39"/>
      <c r="O275" s="39"/>
      <c r="Q275" s="39"/>
      <c r="R275" s="39"/>
      <c r="S275" s="39"/>
      <c r="U275" s="39"/>
      <c r="V275" s="39"/>
      <c r="W275" s="39"/>
      <c r="X275" s="39"/>
      <c r="Y275" s="39"/>
      <c r="Z275" s="39"/>
      <c r="AA275" s="39"/>
      <c r="AB275" s="39"/>
    </row>
    <row r="276">
      <c r="C276" s="39"/>
      <c r="J276" s="39"/>
      <c r="K276" s="39"/>
      <c r="O276" s="39"/>
      <c r="Q276" s="39"/>
      <c r="R276" s="39"/>
      <c r="S276" s="39"/>
      <c r="U276" s="39"/>
      <c r="V276" s="39"/>
      <c r="W276" s="39"/>
      <c r="X276" s="39"/>
      <c r="Y276" s="39"/>
      <c r="Z276" s="39"/>
      <c r="AA276" s="39"/>
      <c r="AB276" s="39"/>
    </row>
    <row r="277">
      <c r="C277" s="39"/>
      <c r="J277" s="39"/>
      <c r="K277" s="39"/>
      <c r="O277" s="39"/>
      <c r="Q277" s="39"/>
      <c r="R277" s="39"/>
      <c r="S277" s="39"/>
      <c r="U277" s="39"/>
      <c r="V277" s="39"/>
      <c r="W277" s="39"/>
      <c r="X277" s="39"/>
      <c r="Y277" s="39"/>
      <c r="Z277" s="39"/>
      <c r="AA277" s="39"/>
      <c r="AB277" s="39"/>
    </row>
    <row r="278">
      <c r="C278" s="39"/>
      <c r="J278" s="39"/>
      <c r="K278" s="39"/>
      <c r="O278" s="39"/>
      <c r="Q278" s="39"/>
      <c r="R278" s="39"/>
      <c r="S278" s="39"/>
      <c r="U278" s="39"/>
      <c r="V278" s="39"/>
      <c r="W278" s="39"/>
      <c r="X278" s="39"/>
      <c r="Y278" s="39"/>
      <c r="Z278" s="39"/>
      <c r="AA278" s="39"/>
      <c r="AB278" s="39"/>
    </row>
    <row r="279">
      <c r="C279" s="39"/>
      <c r="J279" s="39"/>
      <c r="K279" s="39"/>
      <c r="O279" s="39"/>
      <c r="Q279" s="39"/>
      <c r="R279" s="39"/>
      <c r="S279" s="39"/>
      <c r="U279" s="39"/>
      <c r="V279" s="39"/>
      <c r="W279" s="39"/>
      <c r="X279" s="39"/>
      <c r="Y279" s="39"/>
      <c r="Z279" s="39"/>
      <c r="AA279" s="39"/>
      <c r="AB279" s="39"/>
    </row>
    <row r="280">
      <c r="C280" s="39"/>
      <c r="J280" s="39"/>
      <c r="K280" s="39"/>
      <c r="O280" s="39"/>
      <c r="Q280" s="39"/>
      <c r="R280" s="39"/>
      <c r="S280" s="39"/>
      <c r="U280" s="39"/>
      <c r="V280" s="39"/>
      <c r="W280" s="39"/>
      <c r="X280" s="39"/>
      <c r="Y280" s="39"/>
      <c r="Z280" s="39"/>
      <c r="AA280" s="39"/>
      <c r="AB280" s="39"/>
    </row>
    <row r="281">
      <c r="C281" s="39"/>
      <c r="J281" s="39"/>
      <c r="K281" s="39"/>
      <c r="O281" s="39"/>
      <c r="Q281" s="39"/>
      <c r="R281" s="39"/>
      <c r="S281" s="39"/>
      <c r="U281" s="39"/>
      <c r="V281" s="39"/>
      <c r="W281" s="39"/>
      <c r="X281" s="39"/>
      <c r="Y281" s="39"/>
      <c r="Z281" s="39"/>
      <c r="AA281" s="39"/>
      <c r="AB281" s="39"/>
    </row>
    <row r="282">
      <c r="C282" s="39"/>
      <c r="J282" s="39"/>
      <c r="K282" s="39"/>
      <c r="O282" s="39"/>
      <c r="Q282" s="39"/>
      <c r="R282" s="39"/>
      <c r="S282" s="39"/>
      <c r="U282" s="39"/>
      <c r="V282" s="39"/>
      <c r="W282" s="39"/>
      <c r="X282" s="39"/>
      <c r="Y282" s="39"/>
      <c r="Z282" s="39"/>
      <c r="AA282" s="39"/>
      <c r="AB282" s="39"/>
    </row>
    <row r="283">
      <c r="C283" s="39"/>
      <c r="J283" s="39"/>
      <c r="K283" s="39"/>
      <c r="O283" s="39"/>
      <c r="Q283" s="39"/>
      <c r="R283" s="39"/>
      <c r="S283" s="39"/>
      <c r="U283" s="39"/>
      <c r="V283" s="39"/>
      <c r="W283" s="39"/>
      <c r="X283" s="39"/>
      <c r="Y283" s="39"/>
      <c r="Z283" s="39"/>
      <c r="AA283" s="39"/>
      <c r="AB283" s="39"/>
    </row>
    <row r="284">
      <c r="C284" s="39"/>
      <c r="J284" s="39"/>
      <c r="K284" s="39"/>
      <c r="O284" s="39"/>
      <c r="Q284" s="39"/>
      <c r="R284" s="39"/>
      <c r="S284" s="39"/>
      <c r="U284" s="39"/>
      <c r="V284" s="39"/>
      <c r="W284" s="39"/>
      <c r="X284" s="39"/>
      <c r="Y284" s="39"/>
      <c r="Z284" s="39"/>
      <c r="AA284" s="39"/>
      <c r="AB284" s="39"/>
    </row>
    <row r="285">
      <c r="C285" s="39"/>
      <c r="J285" s="39"/>
      <c r="K285" s="39"/>
      <c r="O285" s="39"/>
      <c r="Q285" s="39"/>
      <c r="R285" s="39"/>
      <c r="S285" s="39"/>
      <c r="U285" s="39"/>
      <c r="V285" s="39"/>
      <c r="W285" s="39"/>
      <c r="X285" s="39"/>
      <c r="Y285" s="39"/>
      <c r="Z285" s="39"/>
      <c r="AA285" s="39"/>
      <c r="AB285" s="39"/>
    </row>
    <row r="286">
      <c r="C286" s="39"/>
      <c r="J286" s="39"/>
      <c r="K286" s="39"/>
      <c r="O286" s="39"/>
      <c r="Q286" s="39"/>
      <c r="R286" s="39"/>
      <c r="S286" s="39"/>
      <c r="U286" s="39"/>
      <c r="V286" s="39"/>
      <c r="W286" s="39"/>
      <c r="X286" s="39"/>
      <c r="Y286" s="39"/>
      <c r="Z286" s="39"/>
      <c r="AA286" s="39"/>
      <c r="AB286" s="39"/>
    </row>
    <row r="287">
      <c r="C287" s="39"/>
      <c r="J287" s="39"/>
      <c r="K287" s="39"/>
      <c r="O287" s="39"/>
      <c r="Q287" s="39"/>
      <c r="R287" s="39"/>
      <c r="S287" s="39"/>
      <c r="U287" s="39"/>
      <c r="V287" s="39"/>
      <c r="W287" s="39"/>
      <c r="X287" s="39"/>
      <c r="Y287" s="39"/>
      <c r="Z287" s="39"/>
      <c r="AA287" s="39"/>
      <c r="AB287" s="39"/>
    </row>
    <row r="288">
      <c r="C288" s="39"/>
      <c r="J288" s="39"/>
      <c r="K288" s="39"/>
      <c r="O288" s="39"/>
      <c r="Q288" s="39"/>
      <c r="R288" s="39"/>
      <c r="S288" s="39"/>
      <c r="U288" s="39"/>
      <c r="V288" s="39"/>
      <c r="W288" s="39"/>
      <c r="X288" s="39"/>
      <c r="Y288" s="39"/>
      <c r="Z288" s="39"/>
      <c r="AA288" s="39"/>
      <c r="AB288" s="39"/>
    </row>
    <row r="289">
      <c r="C289" s="39"/>
      <c r="J289" s="39"/>
      <c r="K289" s="39"/>
      <c r="O289" s="39"/>
      <c r="Q289" s="39"/>
      <c r="R289" s="39"/>
      <c r="S289" s="39"/>
      <c r="U289" s="39"/>
      <c r="V289" s="39"/>
      <c r="W289" s="39"/>
      <c r="X289" s="39"/>
      <c r="Y289" s="39"/>
      <c r="Z289" s="39"/>
      <c r="AA289" s="39"/>
      <c r="AB289" s="39"/>
    </row>
    <row r="290">
      <c r="C290" s="39"/>
      <c r="J290" s="39"/>
      <c r="K290" s="39"/>
      <c r="O290" s="39"/>
      <c r="Q290" s="39"/>
      <c r="R290" s="39"/>
      <c r="S290" s="39"/>
      <c r="U290" s="39"/>
      <c r="V290" s="39"/>
      <c r="W290" s="39"/>
      <c r="X290" s="39"/>
      <c r="Y290" s="39"/>
      <c r="Z290" s="39"/>
      <c r="AA290" s="39"/>
      <c r="AB290" s="39"/>
    </row>
    <row r="291">
      <c r="C291" s="39"/>
      <c r="J291" s="39"/>
      <c r="K291" s="39"/>
      <c r="O291" s="39"/>
      <c r="Q291" s="39"/>
      <c r="R291" s="39"/>
      <c r="S291" s="39"/>
      <c r="U291" s="39"/>
      <c r="V291" s="39"/>
      <c r="W291" s="39"/>
      <c r="X291" s="39"/>
      <c r="Y291" s="39"/>
      <c r="Z291" s="39"/>
      <c r="AA291" s="39"/>
      <c r="AB291" s="39"/>
    </row>
    <row r="292">
      <c r="C292" s="39"/>
      <c r="J292" s="39"/>
      <c r="K292" s="39"/>
      <c r="O292" s="39"/>
      <c r="Q292" s="39"/>
      <c r="R292" s="39"/>
      <c r="S292" s="39"/>
      <c r="U292" s="39"/>
      <c r="V292" s="39"/>
      <c r="W292" s="39"/>
      <c r="X292" s="39"/>
      <c r="Y292" s="39"/>
      <c r="Z292" s="39"/>
      <c r="AA292" s="39"/>
      <c r="AB292" s="39"/>
    </row>
    <row r="293">
      <c r="C293" s="39"/>
      <c r="J293" s="39"/>
      <c r="K293" s="39"/>
      <c r="O293" s="39"/>
      <c r="Q293" s="39"/>
      <c r="R293" s="39"/>
      <c r="S293" s="39"/>
      <c r="U293" s="39"/>
      <c r="V293" s="39"/>
      <c r="W293" s="39"/>
      <c r="X293" s="39"/>
      <c r="Y293" s="39"/>
      <c r="Z293" s="39"/>
      <c r="AA293" s="39"/>
      <c r="AB293" s="39"/>
    </row>
    <row r="294">
      <c r="C294" s="39"/>
      <c r="J294" s="39"/>
      <c r="K294" s="39"/>
      <c r="O294" s="39"/>
      <c r="Q294" s="39"/>
      <c r="R294" s="39"/>
      <c r="S294" s="39"/>
      <c r="U294" s="39"/>
      <c r="V294" s="39"/>
      <c r="W294" s="39"/>
      <c r="X294" s="39"/>
      <c r="Y294" s="39"/>
      <c r="Z294" s="39"/>
      <c r="AA294" s="39"/>
      <c r="AB294" s="39"/>
    </row>
    <row r="295">
      <c r="C295" s="39"/>
      <c r="J295" s="39"/>
      <c r="K295" s="39"/>
      <c r="O295" s="39"/>
      <c r="Q295" s="39"/>
      <c r="R295" s="39"/>
      <c r="S295" s="39"/>
      <c r="U295" s="39"/>
      <c r="V295" s="39"/>
      <c r="W295" s="39"/>
      <c r="X295" s="39"/>
      <c r="Y295" s="39"/>
      <c r="Z295" s="39"/>
      <c r="AA295" s="39"/>
      <c r="AB295" s="39"/>
    </row>
    <row r="296">
      <c r="C296" s="39"/>
      <c r="J296" s="39"/>
      <c r="K296" s="39"/>
      <c r="O296" s="39"/>
      <c r="Q296" s="39"/>
      <c r="R296" s="39"/>
      <c r="S296" s="39"/>
      <c r="U296" s="39"/>
      <c r="V296" s="39"/>
      <c r="W296" s="39"/>
      <c r="X296" s="39"/>
      <c r="Y296" s="39"/>
      <c r="Z296" s="39"/>
      <c r="AA296" s="39"/>
      <c r="AB296" s="39"/>
    </row>
    <row r="297">
      <c r="C297" s="39"/>
      <c r="J297" s="39"/>
      <c r="K297" s="39"/>
      <c r="O297" s="39"/>
      <c r="Q297" s="39"/>
      <c r="R297" s="39"/>
      <c r="S297" s="39"/>
      <c r="U297" s="39"/>
      <c r="V297" s="39"/>
      <c r="W297" s="39"/>
      <c r="X297" s="39"/>
      <c r="Y297" s="39"/>
      <c r="Z297" s="39"/>
      <c r="AA297" s="39"/>
      <c r="AB297" s="39"/>
    </row>
    <row r="298">
      <c r="C298" s="39"/>
      <c r="J298" s="39"/>
      <c r="K298" s="39"/>
      <c r="O298" s="39"/>
      <c r="Q298" s="39"/>
      <c r="R298" s="39"/>
      <c r="S298" s="39"/>
      <c r="U298" s="39"/>
      <c r="V298" s="39"/>
      <c r="W298" s="39"/>
      <c r="X298" s="39"/>
      <c r="Y298" s="39"/>
      <c r="Z298" s="39"/>
      <c r="AA298" s="39"/>
      <c r="AB298" s="39"/>
    </row>
    <row r="299">
      <c r="C299" s="39"/>
      <c r="J299" s="39"/>
      <c r="K299" s="39"/>
      <c r="O299" s="39"/>
      <c r="Q299" s="39"/>
      <c r="R299" s="39"/>
      <c r="S299" s="39"/>
      <c r="U299" s="39"/>
      <c r="V299" s="39"/>
      <c r="W299" s="39"/>
      <c r="X299" s="39"/>
      <c r="Y299" s="39"/>
      <c r="Z299" s="39"/>
      <c r="AA299" s="39"/>
      <c r="AB299" s="39"/>
    </row>
    <row r="300">
      <c r="C300" s="39"/>
      <c r="J300" s="39"/>
      <c r="K300" s="39"/>
      <c r="O300" s="39"/>
      <c r="Q300" s="39"/>
      <c r="R300" s="39"/>
      <c r="S300" s="39"/>
      <c r="U300" s="39"/>
      <c r="V300" s="39"/>
      <c r="W300" s="39"/>
      <c r="X300" s="39"/>
      <c r="Y300" s="39"/>
      <c r="Z300" s="39"/>
      <c r="AA300" s="39"/>
      <c r="AB300" s="39"/>
    </row>
    <row r="301">
      <c r="C301" s="39"/>
      <c r="J301" s="39"/>
      <c r="K301" s="39"/>
      <c r="O301" s="39"/>
      <c r="Q301" s="39"/>
      <c r="R301" s="39"/>
      <c r="S301" s="39"/>
      <c r="U301" s="39"/>
      <c r="V301" s="39"/>
      <c r="W301" s="39"/>
      <c r="X301" s="39"/>
      <c r="Y301" s="39"/>
      <c r="Z301" s="39"/>
      <c r="AA301" s="39"/>
      <c r="AB301" s="39"/>
    </row>
    <row r="302">
      <c r="C302" s="39"/>
      <c r="J302" s="39"/>
      <c r="K302" s="39"/>
      <c r="O302" s="39"/>
      <c r="Q302" s="39"/>
      <c r="R302" s="39"/>
      <c r="S302" s="39"/>
      <c r="U302" s="39"/>
      <c r="V302" s="39"/>
      <c r="W302" s="39"/>
      <c r="X302" s="39"/>
      <c r="Y302" s="39"/>
      <c r="Z302" s="39"/>
      <c r="AA302" s="39"/>
      <c r="AB302" s="39"/>
    </row>
    <row r="303">
      <c r="C303" s="39"/>
      <c r="J303" s="39"/>
      <c r="K303" s="39"/>
      <c r="O303" s="39"/>
      <c r="Q303" s="39"/>
      <c r="R303" s="39"/>
      <c r="S303" s="39"/>
      <c r="U303" s="39"/>
      <c r="V303" s="39"/>
      <c r="W303" s="39"/>
      <c r="X303" s="39"/>
      <c r="Y303" s="39"/>
      <c r="Z303" s="39"/>
      <c r="AA303" s="39"/>
      <c r="AB303" s="39"/>
    </row>
    <row r="304">
      <c r="C304" s="39"/>
      <c r="J304" s="39"/>
      <c r="K304" s="39"/>
      <c r="O304" s="39"/>
      <c r="Q304" s="39"/>
      <c r="R304" s="39"/>
      <c r="S304" s="39"/>
      <c r="U304" s="39"/>
      <c r="V304" s="39"/>
      <c r="W304" s="39"/>
      <c r="X304" s="39"/>
      <c r="Y304" s="39"/>
      <c r="Z304" s="39"/>
      <c r="AA304" s="39"/>
      <c r="AB304" s="39"/>
    </row>
    <row r="305">
      <c r="C305" s="39"/>
      <c r="J305" s="39"/>
      <c r="K305" s="39"/>
      <c r="O305" s="39"/>
      <c r="Q305" s="39"/>
      <c r="R305" s="39"/>
      <c r="S305" s="39"/>
      <c r="U305" s="39"/>
      <c r="V305" s="39"/>
      <c r="W305" s="39"/>
      <c r="X305" s="39"/>
      <c r="Y305" s="39"/>
      <c r="Z305" s="39"/>
      <c r="AA305" s="39"/>
      <c r="AB305" s="39"/>
    </row>
    <row r="306">
      <c r="C306" s="39"/>
      <c r="J306" s="39"/>
      <c r="K306" s="39"/>
      <c r="O306" s="39"/>
      <c r="Q306" s="39"/>
      <c r="R306" s="39"/>
      <c r="S306" s="39"/>
      <c r="U306" s="39"/>
      <c r="V306" s="39"/>
      <c r="W306" s="39"/>
      <c r="X306" s="39"/>
      <c r="Y306" s="39"/>
      <c r="Z306" s="39"/>
      <c r="AA306" s="39"/>
      <c r="AB306" s="39"/>
    </row>
    <row r="307">
      <c r="C307" s="39"/>
      <c r="J307" s="39"/>
      <c r="K307" s="39"/>
      <c r="O307" s="39"/>
      <c r="Q307" s="39"/>
      <c r="R307" s="39"/>
      <c r="S307" s="39"/>
      <c r="U307" s="39"/>
      <c r="V307" s="39"/>
      <c r="W307" s="39"/>
      <c r="X307" s="39"/>
      <c r="Y307" s="39"/>
      <c r="Z307" s="39"/>
      <c r="AA307" s="39"/>
      <c r="AB307" s="39"/>
    </row>
    <row r="308">
      <c r="C308" s="39"/>
      <c r="J308" s="39"/>
      <c r="K308" s="39"/>
      <c r="O308" s="39"/>
      <c r="Q308" s="39"/>
      <c r="R308" s="39"/>
      <c r="S308" s="39"/>
      <c r="U308" s="39"/>
      <c r="V308" s="39"/>
      <c r="W308" s="39"/>
      <c r="X308" s="39"/>
      <c r="Y308" s="39"/>
      <c r="Z308" s="39"/>
      <c r="AA308" s="39"/>
      <c r="AB308" s="39"/>
    </row>
    <row r="309">
      <c r="C309" s="39"/>
      <c r="J309" s="39"/>
      <c r="K309" s="39"/>
      <c r="O309" s="39"/>
      <c r="Q309" s="39"/>
      <c r="R309" s="39"/>
      <c r="S309" s="39"/>
      <c r="U309" s="39"/>
      <c r="V309" s="39"/>
      <c r="W309" s="39"/>
      <c r="X309" s="39"/>
      <c r="Y309" s="39"/>
      <c r="Z309" s="39"/>
      <c r="AA309" s="39"/>
      <c r="AB309" s="39"/>
    </row>
    <row r="310">
      <c r="C310" s="39"/>
      <c r="J310" s="39"/>
      <c r="K310" s="39"/>
      <c r="O310" s="39"/>
      <c r="Q310" s="39"/>
      <c r="R310" s="39"/>
      <c r="S310" s="39"/>
      <c r="U310" s="39"/>
      <c r="V310" s="39"/>
      <c r="W310" s="39"/>
      <c r="X310" s="39"/>
      <c r="Y310" s="39"/>
      <c r="Z310" s="39"/>
      <c r="AA310" s="39"/>
      <c r="AB310" s="39"/>
    </row>
    <row r="311">
      <c r="C311" s="39"/>
      <c r="J311" s="39"/>
      <c r="K311" s="39"/>
      <c r="O311" s="39"/>
      <c r="Q311" s="39"/>
      <c r="R311" s="39"/>
      <c r="S311" s="39"/>
      <c r="U311" s="39"/>
      <c r="V311" s="39"/>
      <c r="W311" s="39"/>
      <c r="X311" s="39"/>
      <c r="Y311" s="39"/>
      <c r="Z311" s="39"/>
      <c r="AA311" s="39"/>
      <c r="AB311" s="39"/>
    </row>
    <row r="312">
      <c r="C312" s="39"/>
      <c r="J312" s="39"/>
      <c r="K312" s="39"/>
      <c r="O312" s="39"/>
      <c r="Q312" s="39"/>
      <c r="R312" s="39"/>
      <c r="S312" s="39"/>
      <c r="U312" s="39"/>
      <c r="V312" s="39"/>
      <c r="W312" s="39"/>
      <c r="X312" s="39"/>
      <c r="Y312" s="39"/>
      <c r="Z312" s="39"/>
      <c r="AA312" s="39"/>
      <c r="AB312" s="39"/>
    </row>
    <row r="313">
      <c r="C313" s="39"/>
      <c r="J313" s="39"/>
      <c r="K313" s="39"/>
      <c r="O313" s="39"/>
      <c r="Q313" s="39"/>
      <c r="R313" s="39"/>
      <c r="S313" s="39"/>
      <c r="U313" s="39"/>
      <c r="V313" s="39"/>
      <c r="W313" s="39"/>
      <c r="X313" s="39"/>
      <c r="Y313" s="39"/>
      <c r="Z313" s="39"/>
      <c r="AA313" s="39"/>
      <c r="AB313" s="39"/>
    </row>
    <row r="314">
      <c r="C314" s="39"/>
      <c r="J314" s="39"/>
      <c r="K314" s="39"/>
      <c r="O314" s="39"/>
      <c r="Q314" s="39"/>
      <c r="R314" s="39"/>
      <c r="S314" s="39"/>
      <c r="U314" s="39"/>
      <c r="V314" s="39"/>
      <c r="W314" s="39"/>
      <c r="X314" s="39"/>
      <c r="Y314" s="39"/>
      <c r="Z314" s="39"/>
      <c r="AA314" s="39"/>
      <c r="AB314" s="39"/>
    </row>
    <row r="315">
      <c r="C315" s="39"/>
      <c r="J315" s="39"/>
      <c r="K315" s="39"/>
      <c r="O315" s="39"/>
      <c r="Q315" s="39"/>
      <c r="R315" s="39"/>
      <c r="S315" s="39"/>
      <c r="U315" s="39"/>
      <c r="V315" s="39"/>
      <c r="W315" s="39"/>
      <c r="X315" s="39"/>
      <c r="Y315" s="39"/>
      <c r="Z315" s="39"/>
      <c r="AA315" s="39"/>
      <c r="AB315" s="39"/>
    </row>
    <row r="316">
      <c r="C316" s="39"/>
      <c r="J316" s="39"/>
      <c r="K316" s="39"/>
      <c r="O316" s="39"/>
      <c r="Q316" s="39"/>
      <c r="R316" s="39"/>
      <c r="S316" s="39"/>
      <c r="U316" s="39"/>
      <c r="V316" s="39"/>
      <c r="W316" s="39"/>
      <c r="X316" s="39"/>
      <c r="Y316" s="39"/>
      <c r="Z316" s="39"/>
      <c r="AA316" s="39"/>
      <c r="AB316" s="39"/>
    </row>
    <row r="317">
      <c r="C317" s="39"/>
      <c r="J317" s="39"/>
      <c r="K317" s="39"/>
      <c r="O317" s="39"/>
      <c r="Q317" s="39"/>
      <c r="R317" s="39"/>
      <c r="S317" s="39"/>
      <c r="U317" s="39"/>
      <c r="V317" s="39"/>
      <c r="W317" s="39"/>
      <c r="X317" s="39"/>
      <c r="Y317" s="39"/>
      <c r="Z317" s="39"/>
      <c r="AA317" s="39"/>
      <c r="AB317" s="39"/>
    </row>
    <row r="318">
      <c r="C318" s="39"/>
      <c r="J318" s="39"/>
      <c r="K318" s="39"/>
      <c r="O318" s="39"/>
      <c r="Q318" s="39"/>
      <c r="R318" s="39"/>
      <c r="S318" s="39"/>
      <c r="U318" s="39"/>
      <c r="V318" s="39"/>
      <c r="W318" s="39"/>
      <c r="X318" s="39"/>
      <c r="Y318" s="39"/>
      <c r="Z318" s="39"/>
      <c r="AA318" s="39"/>
      <c r="AB318" s="39"/>
    </row>
    <row r="319">
      <c r="C319" s="39"/>
      <c r="J319" s="39"/>
      <c r="K319" s="39"/>
      <c r="O319" s="39"/>
      <c r="Q319" s="39"/>
      <c r="R319" s="39"/>
      <c r="S319" s="39"/>
      <c r="U319" s="39"/>
      <c r="V319" s="39"/>
      <c r="W319" s="39"/>
      <c r="X319" s="39"/>
      <c r="Y319" s="39"/>
      <c r="Z319" s="39"/>
      <c r="AA319" s="39"/>
      <c r="AB319" s="39"/>
    </row>
    <row r="320">
      <c r="C320" s="39"/>
      <c r="J320" s="39"/>
      <c r="K320" s="39"/>
      <c r="O320" s="39"/>
      <c r="Q320" s="39"/>
      <c r="R320" s="39"/>
      <c r="S320" s="39"/>
      <c r="U320" s="39"/>
      <c r="V320" s="39"/>
      <c r="W320" s="39"/>
      <c r="X320" s="39"/>
      <c r="Y320" s="39"/>
      <c r="Z320" s="39"/>
      <c r="AA320" s="39"/>
      <c r="AB320" s="39"/>
    </row>
    <row r="321">
      <c r="C321" s="39"/>
      <c r="J321" s="39"/>
      <c r="K321" s="39"/>
      <c r="O321" s="39"/>
      <c r="Q321" s="39"/>
      <c r="R321" s="39"/>
      <c r="S321" s="39"/>
      <c r="U321" s="39"/>
      <c r="V321" s="39"/>
      <c r="W321" s="39"/>
      <c r="X321" s="39"/>
      <c r="Y321" s="39"/>
      <c r="Z321" s="39"/>
      <c r="AA321" s="39"/>
      <c r="AB321" s="39"/>
    </row>
    <row r="322">
      <c r="C322" s="39"/>
      <c r="J322" s="39"/>
      <c r="K322" s="39"/>
      <c r="O322" s="39"/>
      <c r="Q322" s="39"/>
      <c r="R322" s="39"/>
      <c r="S322" s="39"/>
      <c r="U322" s="39"/>
      <c r="V322" s="39"/>
      <c r="W322" s="39"/>
      <c r="X322" s="39"/>
      <c r="Y322" s="39"/>
      <c r="Z322" s="39"/>
      <c r="AA322" s="39"/>
      <c r="AB322" s="39"/>
    </row>
    <row r="323">
      <c r="C323" s="39"/>
      <c r="J323" s="39"/>
      <c r="K323" s="39"/>
      <c r="O323" s="39"/>
      <c r="Q323" s="39"/>
      <c r="R323" s="39"/>
      <c r="S323" s="39"/>
      <c r="U323" s="39"/>
      <c r="V323" s="39"/>
      <c r="W323" s="39"/>
      <c r="X323" s="39"/>
      <c r="Y323" s="39"/>
      <c r="Z323" s="39"/>
      <c r="AA323" s="39"/>
      <c r="AB323" s="39"/>
    </row>
    <row r="324">
      <c r="C324" s="39"/>
      <c r="J324" s="39"/>
      <c r="K324" s="39"/>
      <c r="O324" s="39"/>
      <c r="Q324" s="39"/>
      <c r="R324" s="39"/>
      <c r="S324" s="39"/>
      <c r="U324" s="39"/>
      <c r="V324" s="39"/>
      <c r="W324" s="39"/>
      <c r="X324" s="39"/>
      <c r="Y324" s="39"/>
      <c r="Z324" s="39"/>
      <c r="AA324" s="39"/>
      <c r="AB324" s="39"/>
    </row>
    <row r="325">
      <c r="C325" s="39"/>
      <c r="J325" s="39"/>
      <c r="K325" s="39"/>
      <c r="O325" s="39"/>
      <c r="Q325" s="39"/>
      <c r="R325" s="39"/>
      <c r="S325" s="39"/>
      <c r="U325" s="39"/>
      <c r="V325" s="39"/>
      <c r="W325" s="39"/>
      <c r="X325" s="39"/>
      <c r="Y325" s="39"/>
      <c r="Z325" s="39"/>
      <c r="AA325" s="39"/>
      <c r="AB325" s="39"/>
    </row>
    <row r="326">
      <c r="C326" s="39"/>
      <c r="J326" s="39"/>
      <c r="K326" s="39"/>
      <c r="O326" s="39"/>
      <c r="Q326" s="39"/>
      <c r="R326" s="39"/>
      <c r="S326" s="39"/>
      <c r="U326" s="39"/>
      <c r="V326" s="39"/>
      <c r="W326" s="39"/>
      <c r="X326" s="39"/>
      <c r="Y326" s="39"/>
      <c r="Z326" s="39"/>
      <c r="AA326" s="39"/>
      <c r="AB326" s="39"/>
    </row>
    <row r="327">
      <c r="C327" s="39"/>
      <c r="J327" s="39"/>
      <c r="K327" s="39"/>
      <c r="O327" s="39"/>
      <c r="Q327" s="39"/>
      <c r="R327" s="39"/>
      <c r="S327" s="39"/>
      <c r="U327" s="39"/>
      <c r="V327" s="39"/>
      <c r="W327" s="39"/>
      <c r="X327" s="39"/>
      <c r="Y327" s="39"/>
      <c r="Z327" s="39"/>
      <c r="AA327" s="39"/>
      <c r="AB327" s="39"/>
    </row>
    <row r="328">
      <c r="C328" s="39"/>
      <c r="J328" s="39"/>
      <c r="K328" s="39"/>
      <c r="O328" s="39"/>
      <c r="Q328" s="39"/>
      <c r="R328" s="39"/>
      <c r="S328" s="39"/>
      <c r="U328" s="39"/>
      <c r="V328" s="39"/>
      <c r="W328" s="39"/>
      <c r="X328" s="39"/>
      <c r="Y328" s="39"/>
      <c r="Z328" s="39"/>
      <c r="AA328" s="39"/>
      <c r="AB328" s="39"/>
    </row>
    <row r="329">
      <c r="C329" s="39"/>
      <c r="J329" s="39"/>
      <c r="K329" s="39"/>
      <c r="O329" s="39"/>
      <c r="Q329" s="39"/>
      <c r="R329" s="39"/>
      <c r="S329" s="39"/>
      <c r="U329" s="39"/>
      <c r="V329" s="39"/>
      <c r="W329" s="39"/>
      <c r="X329" s="39"/>
      <c r="Y329" s="39"/>
      <c r="Z329" s="39"/>
      <c r="AA329" s="39"/>
      <c r="AB329" s="39"/>
    </row>
    <row r="330">
      <c r="C330" s="39"/>
      <c r="J330" s="39"/>
      <c r="K330" s="39"/>
      <c r="O330" s="39"/>
      <c r="Q330" s="39"/>
      <c r="R330" s="39"/>
      <c r="S330" s="39"/>
      <c r="U330" s="39"/>
      <c r="V330" s="39"/>
      <c r="W330" s="39"/>
      <c r="X330" s="39"/>
      <c r="Y330" s="39"/>
      <c r="Z330" s="39"/>
      <c r="AA330" s="39"/>
      <c r="AB330" s="39"/>
    </row>
    <row r="331">
      <c r="C331" s="39"/>
      <c r="J331" s="39"/>
      <c r="K331" s="39"/>
      <c r="O331" s="39"/>
      <c r="Q331" s="39"/>
      <c r="R331" s="39"/>
      <c r="S331" s="39"/>
      <c r="U331" s="39"/>
      <c r="V331" s="39"/>
      <c r="W331" s="39"/>
      <c r="X331" s="39"/>
      <c r="Y331" s="39"/>
      <c r="Z331" s="39"/>
      <c r="AA331" s="39"/>
      <c r="AB331" s="39"/>
    </row>
    <row r="332">
      <c r="C332" s="39"/>
      <c r="J332" s="39"/>
      <c r="K332" s="39"/>
      <c r="O332" s="39"/>
      <c r="Q332" s="39"/>
      <c r="R332" s="39"/>
      <c r="S332" s="39"/>
      <c r="U332" s="39"/>
      <c r="V332" s="39"/>
      <c r="W332" s="39"/>
      <c r="X332" s="39"/>
      <c r="Y332" s="39"/>
      <c r="Z332" s="39"/>
      <c r="AA332" s="39"/>
      <c r="AB332" s="39"/>
    </row>
    <row r="333">
      <c r="C333" s="39"/>
      <c r="J333" s="39"/>
      <c r="K333" s="39"/>
      <c r="O333" s="39"/>
      <c r="Q333" s="39"/>
      <c r="R333" s="39"/>
      <c r="S333" s="39"/>
      <c r="U333" s="39"/>
      <c r="V333" s="39"/>
      <c r="W333" s="39"/>
      <c r="X333" s="39"/>
      <c r="Y333" s="39"/>
      <c r="Z333" s="39"/>
      <c r="AA333" s="39"/>
      <c r="AB333" s="39"/>
    </row>
    <row r="334">
      <c r="C334" s="39"/>
      <c r="J334" s="39"/>
      <c r="K334" s="39"/>
      <c r="O334" s="39"/>
      <c r="Q334" s="39"/>
      <c r="R334" s="39"/>
      <c r="S334" s="39"/>
      <c r="U334" s="39"/>
      <c r="V334" s="39"/>
      <c r="W334" s="39"/>
      <c r="X334" s="39"/>
      <c r="Y334" s="39"/>
      <c r="Z334" s="39"/>
      <c r="AA334" s="39"/>
      <c r="AB334" s="39"/>
    </row>
    <row r="335">
      <c r="C335" s="39"/>
      <c r="J335" s="39"/>
      <c r="K335" s="39"/>
      <c r="O335" s="39"/>
      <c r="Q335" s="39"/>
      <c r="R335" s="39"/>
      <c r="S335" s="39"/>
      <c r="U335" s="39"/>
      <c r="V335" s="39"/>
      <c r="W335" s="39"/>
      <c r="X335" s="39"/>
      <c r="Y335" s="39"/>
      <c r="Z335" s="39"/>
      <c r="AA335" s="39"/>
      <c r="AB335" s="39"/>
    </row>
    <row r="336">
      <c r="C336" s="39"/>
      <c r="J336" s="39"/>
      <c r="K336" s="39"/>
      <c r="O336" s="39"/>
      <c r="Q336" s="39"/>
      <c r="R336" s="39"/>
      <c r="S336" s="39"/>
      <c r="U336" s="39"/>
      <c r="V336" s="39"/>
      <c r="W336" s="39"/>
      <c r="X336" s="39"/>
      <c r="Y336" s="39"/>
      <c r="Z336" s="39"/>
      <c r="AA336" s="39"/>
      <c r="AB336" s="39"/>
    </row>
    <row r="337">
      <c r="C337" s="39"/>
      <c r="J337" s="39"/>
      <c r="K337" s="39"/>
      <c r="O337" s="39"/>
      <c r="Q337" s="39"/>
      <c r="R337" s="39"/>
      <c r="S337" s="39"/>
      <c r="U337" s="39"/>
      <c r="V337" s="39"/>
      <c r="W337" s="39"/>
      <c r="X337" s="39"/>
      <c r="Y337" s="39"/>
      <c r="Z337" s="39"/>
      <c r="AA337" s="39"/>
      <c r="AB337" s="39"/>
    </row>
    <row r="338">
      <c r="C338" s="39"/>
      <c r="J338" s="39"/>
      <c r="K338" s="39"/>
      <c r="O338" s="39"/>
      <c r="Q338" s="39"/>
      <c r="R338" s="39"/>
      <c r="S338" s="39"/>
      <c r="U338" s="39"/>
      <c r="V338" s="39"/>
      <c r="W338" s="39"/>
      <c r="X338" s="39"/>
      <c r="Y338" s="39"/>
      <c r="Z338" s="39"/>
      <c r="AA338" s="39"/>
      <c r="AB338" s="39"/>
    </row>
    <row r="339">
      <c r="C339" s="39"/>
      <c r="J339" s="39"/>
      <c r="K339" s="39"/>
      <c r="O339" s="39"/>
      <c r="Q339" s="39"/>
      <c r="R339" s="39"/>
      <c r="S339" s="39"/>
      <c r="U339" s="39"/>
      <c r="V339" s="39"/>
      <c r="W339" s="39"/>
      <c r="X339" s="39"/>
      <c r="Y339" s="39"/>
      <c r="Z339" s="39"/>
      <c r="AA339" s="39"/>
      <c r="AB339" s="39"/>
    </row>
    <row r="340">
      <c r="C340" s="39"/>
      <c r="J340" s="39"/>
      <c r="K340" s="39"/>
      <c r="O340" s="39"/>
      <c r="Q340" s="39"/>
      <c r="R340" s="39"/>
      <c r="S340" s="39"/>
      <c r="U340" s="39"/>
      <c r="V340" s="39"/>
      <c r="W340" s="39"/>
      <c r="X340" s="39"/>
      <c r="Y340" s="39"/>
      <c r="Z340" s="39"/>
      <c r="AA340" s="39"/>
      <c r="AB340" s="39"/>
    </row>
    <row r="341">
      <c r="C341" s="39"/>
      <c r="J341" s="39"/>
      <c r="K341" s="39"/>
      <c r="O341" s="39"/>
      <c r="Q341" s="39"/>
      <c r="R341" s="39"/>
      <c r="S341" s="39"/>
      <c r="U341" s="39"/>
      <c r="V341" s="39"/>
      <c r="W341" s="39"/>
      <c r="X341" s="39"/>
      <c r="Y341" s="39"/>
      <c r="Z341" s="39"/>
      <c r="AA341" s="39"/>
      <c r="AB341" s="39"/>
    </row>
    <row r="342">
      <c r="C342" s="39"/>
      <c r="J342" s="39"/>
      <c r="K342" s="39"/>
      <c r="O342" s="39"/>
      <c r="Q342" s="39"/>
      <c r="R342" s="39"/>
      <c r="S342" s="39"/>
      <c r="U342" s="39"/>
      <c r="V342" s="39"/>
      <c r="W342" s="39"/>
      <c r="X342" s="39"/>
      <c r="Y342" s="39"/>
      <c r="Z342" s="39"/>
      <c r="AA342" s="39"/>
      <c r="AB342" s="39"/>
    </row>
    <row r="343">
      <c r="C343" s="39"/>
      <c r="J343" s="39"/>
      <c r="K343" s="39"/>
      <c r="O343" s="39"/>
      <c r="Q343" s="39"/>
      <c r="R343" s="39"/>
      <c r="S343" s="39"/>
      <c r="U343" s="39"/>
      <c r="V343" s="39"/>
      <c r="W343" s="39"/>
      <c r="X343" s="39"/>
      <c r="Y343" s="39"/>
      <c r="Z343" s="39"/>
      <c r="AA343" s="39"/>
      <c r="AB343" s="39"/>
    </row>
    <row r="344">
      <c r="C344" s="39"/>
      <c r="J344" s="39"/>
      <c r="K344" s="39"/>
      <c r="O344" s="39"/>
      <c r="Q344" s="39"/>
      <c r="R344" s="39"/>
      <c r="S344" s="39"/>
      <c r="U344" s="39"/>
      <c r="V344" s="39"/>
      <c r="W344" s="39"/>
      <c r="X344" s="39"/>
      <c r="Y344" s="39"/>
      <c r="Z344" s="39"/>
      <c r="AA344" s="39"/>
      <c r="AB344" s="39"/>
    </row>
    <row r="345">
      <c r="C345" s="39"/>
      <c r="J345" s="39"/>
      <c r="K345" s="39"/>
      <c r="O345" s="39"/>
      <c r="Q345" s="39"/>
      <c r="R345" s="39"/>
      <c r="S345" s="39"/>
      <c r="U345" s="39"/>
      <c r="V345" s="39"/>
      <c r="W345" s="39"/>
      <c r="X345" s="39"/>
      <c r="Y345" s="39"/>
      <c r="Z345" s="39"/>
      <c r="AA345" s="39"/>
      <c r="AB345" s="39"/>
    </row>
    <row r="346">
      <c r="C346" s="39"/>
      <c r="J346" s="39"/>
      <c r="K346" s="39"/>
      <c r="O346" s="39"/>
      <c r="Q346" s="39"/>
      <c r="R346" s="39"/>
      <c r="S346" s="39"/>
      <c r="U346" s="39"/>
      <c r="V346" s="39"/>
      <c r="W346" s="39"/>
      <c r="X346" s="39"/>
      <c r="Y346" s="39"/>
      <c r="Z346" s="39"/>
      <c r="AA346" s="39"/>
      <c r="AB346" s="39"/>
    </row>
    <row r="347">
      <c r="C347" s="39"/>
      <c r="J347" s="39"/>
      <c r="K347" s="39"/>
      <c r="O347" s="39"/>
      <c r="Q347" s="39"/>
      <c r="R347" s="39"/>
      <c r="S347" s="39"/>
      <c r="U347" s="39"/>
      <c r="V347" s="39"/>
      <c r="W347" s="39"/>
      <c r="X347" s="39"/>
      <c r="Y347" s="39"/>
      <c r="Z347" s="39"/>
      <c r="AA347" s="39"/>
      <c r="AB347" s="39"/>
    </row>
    <row r="348">
      <c r="C348" s="39"/>
      <c r="J348" s="39"/>
      <c r="K348" s="39"/>
      <c r="O348" s="39"/>
      <c r="Q348" s="39"/>
      <c r="R348" s="39"/>
      <c r="S348" s="39"/>
      <c r="U348" s="39"/>
      <c r="V348" s="39"/>
      <c r="W348" s="39"/>
      <c r="X348" s="39"/>
      <c r="Y348" s="39"/>
      <c r="Z348" s="39"/>
      <c r="AA348" s="39"/>
      <c r="AB348" s="39"/>
    </row>
    <row r="349">
      <c r="C349" s="39"/>
      <c r="J349" s="39"/>
      <c r="K349" s="39"/>
      <c r="O349" s="39"/>
      <c r="Q349" s="39"/>
      <c r="R349" s="39"/>
      <c r="S349" s="39"/>
      <c r="U349" s="39"/>
      <c r="V349" s="39"/>
      <c r="W349" s="39"/>
      <c r="X349" s="39"/>
      <c r="Y349" s="39"/>
      <c r="Z349" s="39"/>
      <c r="AA349" s="39"/>
      <c r="AB349" s="39"/>
    </row>
    <row r="350">
      <c r="C350" s="39"/>
      <c r="J350" s="39"/>
      <c r="K350" s="39"/>
      <c r="O350" s="39"/>
      <c r="Q350" s="39"/>
      <c r="R350" s="39"/>
      <c r="S350" s="39"/>
      <c r="U350" s="39"/>
      <c r="V350" s="39"/>
      <c r="W350" s="39"/>
      <c r="X350" s="39"/>
      <c r="Y350" s="39"/>
      <c r="Z350" s="39"/>
      <c r="AA350" s="39"/>
      <c r="AB350" s="39"/>
    </row>
    <row r="351">
      <c r="C351" s="39"/>
      <c r="J351" s="39"/>
      <c r="K351" s="39"/>
      <c r="O351" s="39"/>
      <c r="Q351" s="39"/>
      <c r="R351" s="39"/>
      <c r="S351" s="39"/>
      <c r="U351" s="39"/>
      <c r="V351" s="39"/>
      <c r="W351" s="39"/>
      <c r="X351" s="39"/>
      <c r="Y351" s="39"/>
      <c r="Z351" s="39"/>
      <c r="AA351" s="39"/>
      <c r="AB351" s="39"/>
    </row>
    <row r="352">
      <c r="C352" s="39"/>
      <c r="J352" s="39"/>
      <c r="K352" s="39"/>
      <c r="O352" s="39"/>
      <c r="Q352" s="39"/>
      <c r="R352" s="39"/>
      <c r="S352" s="39"/>
      <c r="U352" s="39"/>
      <c r="V352" s="39"/>
      <c r="W352" s="39"/>
      <c r="X352" s="39"/>
      <c r="Y352" s="39"/>
      <c r="Z352" s="39"/>
      <c r="AA352" s="39"/>
      <c r="AB352" s="39"/>
    </row>
    <row r="353">
      <c r="C353" s="39"/>
      <c r="J353" s="39"/>
      <c r="K353" s="39"/>
      <c r="O353" s="39"/>
      <c r="Q353" s="39"/>
      <c r="R353" s="39"/>
      <c r="S353" s="39"/>
      <c r="U353" s="39"/>
      <c r="V353" s="39"/>
      <c r="W353" s="39"/>
      <c r="X353" s="39"/>
      <c r="Y353" s="39"/>
      <c r="Z353" s="39"/>
      <c r="AA353" s="39"/>
      <c r="AB353" s="39"/>
    </row>
    <row r="354">
      <c r="C354" s="39"/>
      <c r="J354" s="39"/>
      <c r="K354" s="39"/>
      <c r="O354" s="39"/>
      <c r="Q354" s="39"/>
      <c r="R354" s="39"/>
      <c r="S354" s="39"/>
      <c r="U354" s="39"/>
      <c r="V354" s="39"/>
      <c r="W354" s="39"/>
      <c r="X354" s="39"/>
      <c r="Y354" s="39"/>
      <c r="Z354" s="39"/>
      <c r="AA354" s="39"/>
      <c r="AB354" s="39"/>
    </row>
    <row r="355">
      <c r="C355" s="39"/>
      <c r="J355" s="39"/>
      <c r="K355" s="39"/>
      <c r="O355" s="39"/>
      <c r="Q355" s="39"/>
      <c r="R355" s="39"/>
      <c r="S355" s="39"/>
      <c r="U355" s="39"/>
      <c r="V355" s="39"/>
      <c r="W355" s="39"/>
      <c r="X355" s="39"/>
      <c r="Y355" s="39"/>
      <c r="Z355" s="39"/>
      <c r="AA355" s="39"/>
      <c r="AB355" s="39"/>
    </row>
    <row r="356">
      <c r="C356" s="39"/>
      <c r="J356" s="39"/>
      <c r="K356" s="39"/>
      <c r="O356" s="39"/>
      <c r="Q356" s="39"/>
      <c r="R356" s="39"/>
      <c r="S356" s="39"/>
      <c r="U356" s="39"/>
      <c r="V356" s="39"/>
      <c r="W356" s="39"/>
      <c r="X356" s="39"/>
      <c r="Y356" s="39"/>
      <c r="Z356" s="39"/>
      <c r="AA356" s="39"/>
      <c r="AB356" s="39"/>
    </row>
    <row r="357">
      <c r="C357" s="39"/>
      <c r="J357" s="39"/>
      <c r="K357" s="39"/>
      <c r="O357" s="39"/>
      <c r="Q357" s="39"/>
      <c r="R357" s="39"/>
      <c r="S357" s="39"/>
      <c r="U357" s="39"/>
      <c r="V357" s="39"/>
      <c r="W357" s="39"/>
      <c r="X357" s="39"/>
      <c r="Y357" s="39"/>
      <c r="Z357" s="39"/>
      <c r="AA357" s="39"/>
      <c r="AB357" s="39"/>
    </row>
    <row r="358">
      <c r="C358" s="39"/>
      <c r="J358" s="39"/>
      <c r="K358" s="39"/>
      <c r="O358" s="39"/>
      <c r="Q358" s="39"/>
      <c r="R358" s="39"/>
      <c r="S358" s="39"/>
      <c r="U358" s="39"/>
      <c r="V358" s="39"/>
      <c r="W358" s="39"/>
      <c r="X358" s="39"/>
      <c r="Y358" s="39"/>
      <c r="Z358" s="39"/>
      <c r="AA358" s="39"/>
      <c r="AB358" s="39"/>
    </row>
    <row r="359">
      <c r="C359" s="39"/>
      <c r="J359" s="39"/>
      <c r="K359" s="39"/>
      <c r="O359" s="39"/>
      <c r="Q359" s="39"/>
      <c r="R359" s="39"/>
      <c r="S359" s="39"/>
      <c r="U359" s="39"/>
      <c r="V359" s="39"/>
      <c r="W359" s="39"/>
      <c r="X359" s="39"/>
      <c r="Y359" s="39"/>
      <c r="Z359" s="39"/>
      <c r="AA359" s="39"/>
      <c r="AB359" s="39"/>
    </row>
    <row r="360">
      <c r="C360" s="39"/>
      <c r="J360" s="39"/>
      <c r="K360" s="39"/>
      <c r="O360" s="39"/>
      <c r="Q360" s="39"/>
      <c r="R360" s="39"/>
      <c r="S360" s="39"/>
      <c r="U360" s="39"/>
      <c r="V360" s="39"/>
      <c r="W360" s="39"/>
      <c r="X360" s="39"/>
      <c r="Y360" s="39"/>
      <c r="Z360" s="39"/>
      <c r="AA360" s="39"/>
      <c r="AB360" s="39"/>
    </row>
    <row r="361">
      <c r="C361" s="39"/>
      <c r="J361" s="39"/>
      <c r="K361" s="39"/>
      <c r="O361" s="39"/>
      <c r="Q361" s="39"/>
      <c r="R361" s="39"/>
      <c r="S361" s="39"/>
      <c r="U361" s="39"/>
      <c r="V361" s="39"/>
      <c r="W361" s="39"/>
      <c r="X361" s="39"/>
      <c r="Y361" s="39"/>
      <c r="Z361" s="39"/>
      <c r="AA361" s="39"/>
      <c r="AB361" s="39"/>
    </row>
    <row r="362">
      <c r="C362" s="39"/>
      <c r="J362" s="39"/>
      <c r="K362" s="39"/>
      <c r="O362" s="39"/>
      <c r="Q362" s="39"/>
      <c r="R362" s="39"/>
      <c r="S362" s="39"/>
      <c r="U362" s="39"/>
      <c r="V362" s="39"/>
      <c r="W362" s="39"/>
      <c r="X362" s="39"/>
      <c r="Y362" s="39"/>
      <c r="Z362" s="39"/>
      <c r="AA362" s="39"/>
      <c r="AB362" s="39"/>
    </row>
    <row r="363">
      <c r="C363" s="39"/>
      <c r="J363" s="39"/>
      <c r="K363" s="39"/>
      <c r="O363" s="39"/>
      <c r="Q363" s="39"/>
      <c r="R363" s="39"/>
      <c r="S363" s="39"/>
      <c r="U363" s="39"/>
      <c r="V363" s="39"/>
      <c r="W363" s="39"/>
      <c r="X363" s="39"/>
      <c r="Y363" s="39"/>
      <c r="Z363" s="39"/>
      <c r="AA363" s="39"/>
      <c r="AB363" s="39"/>
    </row>
    <row r="364">
      <c r="C364" s="39"/>
      <c r="J364" s="39"/>
      <c r="K364" s="39"/>
      <c r="O364" s="39"/>
      <c r="Q364" s="39"/>
      <c r="R364" s="39"/>
      <c r="S364" s="39"/>
      <c r="U364" s="39"/>
      <c r="V364" s="39"/>
      <c r="W364" s="39"/>
      <c r="X364" s="39"/>
      <c r="Y364" s="39"/>
      <c r="Z364" s="39"/>
      <c r="AA364" s="39"/>
      <c r="AB364" s="39"/>
    </row>
    <row r="365">
      <c r="C365" s="39"/>
      <c r="J365" s="39"/>
      <c r="K365" s="39"/>
      <c r="O365" s="39"/>
      <c r="Q365" s="39"/>
      <c r="R365" s="39"/>
      <c r="S365" s="39"/>
      <c r="U365" s="39"/>
      <c r="V365" s="39"/>
      <c r="W365" s="39"/>
      <c r="X365" s="39"/>
      <c r="Y365" s="39"/>
      <c r="Z365" s="39"/>
      <c r="AA365" s="39"/>
      <c r="AB365" s="39"/>
    </row>
    <row r="366">
      <c r="C366" s="39"/>
      <c r="J366" s="39"/>
      <c r="K366" s="39"/>
      <c r="O366" s="39"/>
      <c r="Q366" s="39"/>
      <c r="R366" s="39"/>
      <c r="S366" s="39"/>
      <c r="U366" s="39"/>
      <c r="V366" s="39"/>
      <c r="W366" s="39"/>
      <c r="X366" s="39"/>
      <c r="Y366" s="39"/>
      <c r="Z366" s="39"/>
      <c r="AA366" s="39"/>
      <c r="AB366" s="39"/>
    </row>
    <row r="367">
      <c r="C367" s="39"/>
      <c r="J367" s="39"/>
      <c r="K367" s="39"/>
      <c r="O367" s="39"/>
      <c r="Q367" s="39"/>
      <c r="R367" s="39"/>
      <c r="S367" s="39"/>
      <c r="U367" s="39"/>
      <c r="V367" s="39"/>
      <c r="W367" s="39"/>
      <c r="X367" s="39"/>
      <c r="Y367" s="39"/>
      <c r="Z367" s="39"/>
      <c r="AA367" s="39"/>
      <c r="AB367" s="39"/>
    </row>
    <row r="368">
      <c r="C368" s="39"/>
      <c r="J368" s="39"/>
      <c r="K368" s="39"/>
      <c r="O368" s="39"/>
      <c r="Q368" s="39"/>
      <c r="R368" s="39"/>
      <c r="S368" s="39"/>
      <c r="U368" s="39"/>
      <c r="V368" s="39"/>
      <c r="W368" s="39"/>
      <c r="X368" s="39"/>
      <c r="Y368" s="39"/>
      <c r="Z368" s="39"/>
      <c r="AA368" s="39"/>
      <c r="AB368" s="39"/>
    </row>
    <row r="369">
      <c r="C369" s="39"/>
      <c r="J369" s="39"/>
      <c r="K369" s="39"/>
      <c r="O369" s="39"/>
      <c r="Q369" s="39"/>
      <c r="R369" s="39"/>
      <c r="S369" s="39"/>
      <c r="U369" s="39"/>
      <c r="V369" s="39"/>
      <c r="W369" s="39"/>
      <c r="X369" s="39"/>
      <c r="Y369" s="39"/>
      <c r="Z369" s="39"/>
      <c r="AA369" s="39"/>
      <c r="AB369" s="39"/>
    </row>
    <row r="370">
      <c r="C370" s="39"/>
      <c r="J370" s="39"/>
      <c r="K370" s="39"/>
      <c r="O370" s="39"/>
      <c r="Q370" s="39"/>
      <c r="R370" s="39"/>
      <c r="S370" s="39"/>
      <c r="U370" s="39"/>
      <c r="V370" s="39"/>
      <c r="W370" s="39"/>
      <c r="X370" s="39"/>
      <c r="Y370" s="39"/>
      <c r="Z370" s="39"/>
      <c r="AA370" s="39"/>
      <c r="AB370" s="39"/>
    </row>
    <row r="371">
      <c r="C371" s="39"/>
      <c r="J371" s="39"/>
      <c r="K371" s="39"/>
      <c r="O371" s="39"/>
      <c r="Q371" s="39"/>
      <c r="R371" s="39"/>
      <c r="S371" s="39"/>
      <c r="U371" s="39"/>
      <c r="V371" s="39"/>
      <c r="W371" s="39"/>
      <c r="X371" s="39"/>
      <c r="Y371" s="39"/>
      <c r="Z371" s="39"/>
      <c r="AA371" s="39"/>
      <c r="AB371" s="39"/>
    </row>
    <row r="372">
      <c r="C372" s="39"/>
      <c r="J372" s="39"/>
      <c r="K372" s="39"/>
      <c r="O372" s="39"/>
      <c r="Q372" s="39"/>
      <c r="R372" s="39"/>
      <c r="S372" s="39"/>
      <c r="U372" s="39"/>
      <c r="V372" s="39"/>
      <c r="W372" s="39"/>
      <c r="X372" s="39"/>
      <c r="Y372" s="39"/>
      <c r="Z372" s="39"/>
      <c r="AA372" s="39"/>
      <c r="AB372" s="39"/>
    </row>
    <row r="373">
      <c r="C373" s="39"/>
      <c r="J373" s="39"/>
      <c r="K373" s="39"/>
      <c r="O373" s="39"/>
      <c r="Q373" s="39"/>
      <c r="R373" s="39"/>
      <c r="S373" s="39"/>
      <c r="U373" s="39"/>
      <c r="V373" s="39"/>
      <c r="W373" s="39"/>
      <c r="X373" s="39"/>
      <c r="Y373" s="39"/>
      <c r="Z373" s="39"/>
      <c r="AA373" s="39"/>
      <c r="AB373" s="39"/>
    </row>
    <row r="374">
      <c r="C374" s="39"/>
      <c r="J374" s="39"/>
      <c r="K374" s="39"/>
      <c r="O374" s="39"/>
      <c r="Q374" s="39"/>
      <c r="R374" s="39"/>
      <c r="S374" s="39"/>
      <c r="U374" s="39"/>
      <c r="V374" s="39"/>
      <c r="W374" s="39"/>
      <c r="X374" s="39"/>
      <c r="Y374" s="39"/>
      <c r="Z374" s="39"/>
      <c r="AA374" s="39"/>
      <c r="AB374" s="39"/>
    </row>
    <row r="375">
      <c r="C375" s="39"/>
      <c r="J375" s="39"/>
      <c r="K375" s="39"/>
      <c r="O375" s="39"/>
      <c r="Q375" s="39"/>
      <c r="R375" s="39"/>
      <c r="S375" s="39"/>
      <c r="U375" s="39"/>
      <c r="V375" s="39"/>
      <c r="W375" s="39"/>
      <c r="X375" s="39"/>
      <c r="Y375" s="39"/>
      <c r="Z375" s="39"/>
      <c r="AA375" s="39"/>
      <c r="AB375" s="39"/>
    </row>
    <row r="376">
      <c r="C376" s="39"/>
      <c r="J376" s="39"/>
      <c r="K376" s="39"/>
      <c r="O376" s="39"/>
      <c r="Q376" s="39"/>
      <c r="R376" s="39"/>
      <c r="S376" s="39"/>
      <c r="U376" s="39"/>
      <c r="V376" s="39"/>
      <c r="W376" s="39"/>
      <c r="X376" s="39"/>
      <c r="Y376" s="39"/>
      <c r="Z376" s="39"/>
      <c r="AA376" s="39"/>
      <c r="AB376" s="39"/>
    </row>
    <row r="377">
      <c r="C377" s="39"/>
      <c r="J377" s="39"/>
      <c r="K377" s="39"/>
      <c r="O377" s="39"/>
      <c r="Q377" s="39"/>
      <c r="R377" s="39"/>
      <c r="S377" s="39"/>
      <c r="U377" s="39"/>
      <c r="V377" s="39"/>
      <c r="W377" s="39"/>
      <c r="X377" s="39"/>
      <c r="Y377" s="39"/>
      <c r="Z377" s="39"/>
      <c r="AA377" s="39"/>
      <c r="AB377" s="39"/>
    </row>
    <row r="378">
      <c r="C378" s="39"/>
      <c r="J378" s="39"/>
      <c r="K378" s="39"/>
      <c r="O378" s="39"/>
      <c r="Q378" s="39"/>
      <c r="R378" s="39"/>
      <c r="S378" s="39"/>
      <c r="U378" s="39"/>
      <c r="V378" s="39"/>
      <c r="W378" s="39"/>
      <c r="X378" s="39"/>
      <c r="Y378" s="39"/>
      <c r="Z378" s="39"/>
      <c r="AA378" s="39"/>
      <c r="AB378" s="39"/>
    </row>
    <row r="379">
      <c r="C379" s="39"/>
      <c r="J379" s="39"/>
      <c r="K379" s="39"/>
      <c r="O379" s="39"/>
      <c r="Q379" s="39"/>
      <c r="R379" s="39"/>
      <c r="S379" s="39"/>
      <c r="U379" s="39"/>
      <c r="V379" s="39"/>
      <c r="W379" s="39"/>
      <c r="X379" s="39"/>
      <c r="Y379" s="39"/>
      <c r="Z379" s="39"/>
      <c r="AA379" s="39"/>
      <c r="AB379" s="39"/>
    </row>
    <row r="380">
      <c r="C380" s="39"/>
      <c r="J380" s="39"/>
      <c r="K380" s="39"/>
      <c r="O380" s="39"/>
      <c r="Q380" s="39"/>
      <c r="R380" s="39"/>
      <c r="S380" s="39"/>
      <c r="U380" s="39"/>
      <c r="V380" s="39"/>
      <c r="W380" s="39"/>
      <c r="X380" s="39"/>
      <c r="Y380" s="39"/>
      <c r="Z380" s="39"/>
      <c r="AA380" s="39"/>
      <c r="AB380" s="39"/>
    </row>
    <row r="381">
      <c r="C381" s="39"/>
      <c r="J381" s="39"/>
      <c r="K381" s="39"/>
      <c r="O381" s="39"/>
      <c r="Q381" s="39"/>
      <c r="R381" s="39"/>
      <c r="S381" s="39"/>
      <c r="U381" s="39"/>
      <c r="V381" s="39"/>
      <c r="W381" s="39"/>
      <c r="X381" s="39"/>
      <c r="Y381" s="39"/>
      <c r="Z381" s="39"/>
      <c r="AA381" s="39"/>
      <c r="AB381" s="39"/>
    </row>
    <row r="382">
      <c r="C382" s="39"/>
      <c r="J382" s="39"/>
      <c r="K382" s="39"/>
      <c r="O382" s="39"/>
      <c r="Q382" s="39"/>
      <c r="R382" s="39"/>
      <c r="S382" s="39"/>
      <c r="U382" s="39"/>
      <c r="V382" s="39"/>
      <c r="W382" s="39"/>
      <c r="X382" s="39"/>
      <c r="Y382" s="39"/>
      <c r="Z382" s="39"/>
      <c r="AA382" s="39"/>
      <c r="AB382" s="39"/>
    </row>
    <row r="383">
      <c r="C383" s="39"/>
      <c r="J383" s="39"/>
      <c r="K383" s="39"/>
      <c r="O383" s="39"/>
      <c r="Q383" s="39"/>
      <c r="R383" s="39"/>
      <c r="S383" s="39"/>
      <c r="U383" s="39"/>
      <c r="V383" s="39"/>
      <c r="W383" s="39"/>
      <c r="X383" s="39"/>
      <c r="Y383" s="39"/>
      <c r="Z383" s="39"/>
      <c r="AA383" s="39"/>
      <c r="AB383" s="39"/>
    </row>
    <row r="384">
      <c r="C384" s="39"/>
      <c r="J384" s="39"/>
      <c r="K384" s="39"/>
      <c r="O384" s="39"/>
      <c r="Q384" s="39"/>
      <c r="R384" s="39"/>
      <c r="S384" s="39"/>
      <c r="U384" s="39"/>
      <c r="V384" s="39"/>
      <c r="W384" s="39"/>
      <c r="X384" s="39"/>
      <c r="Y384" s="39"/>
      <c r="Z384" s="39"/>
      <c r="AA384" s="39"/>
      <c r="AB384" s="39"/>
    </row>
    <row r="385">
      <c r="C385" s="39"/>
      <c r="J385" s="39"/>
      <c r="K385" s="39"/>
      <c r="O385" s="39"/>
      <c r="Q385" s="39"/>
      <c r="R385" s="39"/>
      <c r="S385" s="39"/>
      <c r="U385" s="39"/>
      <c r="V385" s="39"/>
      <c r="W385" s="39"/>
      <c r="X385" s="39"/>
      <c r="Y385" s="39"/>
      <c r="Z385" s="39"/>
      <c r="AA385" s="39"/>
      <c r="AB385" s="39"/>
    </row>
    <row r="386">
      <c r="C386" s="39"/>
      <c r="J386" s="39"/>
      <c r="K386" s="39"/>
      <c r="O386" s="39"/>
      <c r="Q386" s="39"/>
      <c r="R386" s="39"/>
      <c r="S386" s="39"/>
      <c r="U386" s="39"/>
      <c r="V386" s="39"/>
      <c r="W386" s="39"/>
      <c r="X386" s="39"/>
      <c r="Y386" s="39"/>
      <c r="Z386" s="39"/>
      <c r="AA386" s="39"/>
      <c r="AB386" s="39"/>
    </row>
    <row r="387">
      <c r="C387" s="39"/>
      <c r="J387" s="39"/>
      <c r="K387" s="39"/>
      <c r="O387" s="39"/>
      <c r="Q387" s="39"/>
      <c r="R387" s="39"/>
      <c r="S387" s="39"/>
      <c r="U387" s="39"/>
      <c r="V387" s="39"/>
      <c r="W387" s="39"/>
      <c r="X387" s="39"/>
      <c r="Y387" s="39"/>
      <c r="Z387" s="39"/>
      <c r="AA387" s="39"/>
      <c r="AB387" s="39"/>
    </row>
    <row r="388">
      <c r="C388" s="39"/>
      <c r="J388" s="39"/>
      <c r="K388" s="39"/>
      <c r="O388" s="39"/>
      <c r="Q388" s="39"/>
      <c r="R388" s="39"/>
      <c r="S388" s="39"/>
      <c r="U388" s="39"/>
      <c r="V388" s="39"/>
      <c r="W388" s="39"/>
      <c r="X388" s="39"/>
      <c r="Y388" s="39"/>
      <c r="Z388" s="39"/>
      <c r="AA388" s="39"/>
      <c r="AB388" s="39"/>
    </row>
    <row r="389">
      <c r="C389" s="39"/>
      <c r="J389" s="39"/>
      <c r="K389" s="39"/>
      <c r="O389" s="39"/>
      <c r="Q389" s="39"/>
      <c r="R389" s="39"/>
      <c r="S389" s="39"/>
      <c r="U389" s="39"/>
      <c r="V389" s="39"/>
      <c r="W389" s="39"/>
      <c r="X389" s="39"/>
      <c r="Y389" s="39"/>
      <c r="Z389" s="39"/>
      <c r="AA389" s="39"/>
      <c r="AB389" s="39"/>
    </row>
    <row r="390">
      <c r="C390" s="39"/>
      <c r="J390" s="39"/>
      <c r="K390" s="39"/>
      <c r="O390" s="39"/>
      <c r="Q390" s="39"/>
      <c r="R390" s="39"/>
      <c r="S390" s="39"/>
      <c r="U390" s="39"/>
      <c r="V390" s="39"/>
      <c r="W390" s="39"/>
      <c r="X390" s="39"/>
      <c r="Y390" s="39"/>
      <c r="Z390" s="39"/>
      <c r="AA390" s="39"/>
      <c r="AB390" s="39"/>
    </row>
    <row r="391">
      <c r="C391" s="39"/>
      <c r="J391" s="39"/>
      <c r="K391" s="39"/>
      <c r="O391" s="39"/>
      <c r="Q391" s="39"/>
      <c r="R391" s="39"/>
      <c r="S391" s="39"/>
      <c r="U391" s="39"/>
      <c r="V391" s="39"/>
      <c r="W391" s="39"/>
      <c r="X391" s="39"/>
      <c r="Y391" s="39"/>
      <c r="Z391" s="39"/>
      <c r="AA391" s="39"/>
      <c r="AB391" s="39"/>
    </row>
    <row r="392">
      <c r="C392" s="39"/>
      <c r="J392" s="39"/>
      <c r="K392" s="39"/>
      <c r="O392" s="39"/>
      <c r="Q392" s="39"/>
      <c r="R392" s="39"/>
      <c r="S392" s="39"/>
      <c r="U392" s="39"/>
      <c r="V392" s="39"/>
      <c r="W392" s="39"/>
      <c r="X392" s="39"/>
      <c r="Y392" s="39"/>
      <c r="Z392" s="39"/>
      <c r="AA392" s="39"/>
      <c r="AB392" s="39"/>
    </row>
    <row r="393">
      <c r="C393" s="39"/>
      <c r="J393" s="39"/>
      <c r="K393" s="39"/>
      <c r="O393" s="39"/>
      <c r="Q393" s="39"/>
      <c r="R393" s="39"/>
      <c r="S393" s="39"/>
      <c r="U393" s="39"/>
      <c r="V393" s="39"/>
      <c r="W393" s="39"/>
      <c r="X393" s="39"/>
      <c r="Y393" s="39"/>
      <c r="Z393" s="39"/>
      <c r="AA393" s="39"/>
      <c r="AB393" s="39"/>
    </row>
    <row r="394">
      <c r="C394" s="39"/>
      <c r="J394" s="39"/>
      <c r="K394" s="39"/>
      <c r="O394" s="39"/>
      <c r="Q394" s="39"/>
      <c r="R394" s="39"/>
      <c r="S394" s="39"/>
      <c r="U394" s="39"/>
      <c r="V394" s="39"/>
      <c r="W394" s="39"/>
      <c r="X394" s="39"/>
      <c r="Y394" s="39"/>
      <c r="Z394" s="39"/>
      <c r="AA394" s="39"/>
      <c r="AB394" s="39"/>
    </row>
    <row r="395">
      <c r="C395" s="39"/>
      <c r="J395" s="39"/>
      <c r="K395" s="39"/>
      <c r="O395" s="39"/>
      <c r="Q395" s="39"/>
      <c r="R395" s="39"/>
      <c r="S395" s="39"/>
      <c r="U395" s="39"/>
      <c r="V395" s="39"/>
      <c r="W395" s="39"/>
      <c r="X395" s="39"/>
      <c r="Y395" s="39"/>
      <c r="Z395" s="39"/>
      <c r="AA395" s="39"/>
      <c r="AB395" s="39"/>
    </row>
    <row r="396">
      <c r="C396" s="39"/>
      <c r="J396" s="39"/>
      <c r="K396" s="39"/>
      <c r="O396" s="39"/>
      <c r="Q396" s="39"/>
      <c r="R396" s="39"/>
      <c r="S396" s="39"/>
      <c r="U396" s="39"/>
      <c r="V396" s="39"/>
      <c r="W396" s="39"/>
      <c r="X396" s="39"/>
      <c r="Y396" s="39"/>
      <c r="Z396" s="39"/>
      <c r="AA396" s="39"/>
      <c r="AB396" s="39"/>
    </row>
    <row r="397">
      <c r="C397" s="39"/>
      <c r="J397" s="39"/>
      <c r="K397" s="39"/>
      <c r="O397" s="39"/>
      <c r="Q397" s="39"/>
      <c r="R397" s="39"/>
      <c r="S397" s="39"/>
      <c r="U397" s="39"/>
      <c r="V397" s="39"/>
      <c r="W397" s="39"/>
      <c r="X397" s="39"/>
      <c r="Y397" s="39"/>
      <c r="Z397" s="39"/>
      <c r="AA397" s="39"/>
      <c r="AB397" s="39"/>
    </row>
    <row r="398">
      <c r="C398" s="39"/>
      <c r="J398" s="39"/>
      <c r="K398" s="39"/>
      <c r="O398" s="39"/>
      <c r="Q398" s="39"/>
      <c r="R398" s="39"/>
      <c r="S398" s="39"/>
      <c r="U398" s="39"/>
      <c r="V398" s="39"/>
      <c r="W398" s="39"/>
      <c r="X398" s="39"/>
      <c r="Y398" s="39"/>
      <c r="Z398" s="39"/>
      <c r="AA398" s="39"/>
      <c r="AB398" s="39"/>
    </row>
    <row r="399">
      <c r="C399" s="39"/>
      <c r="J399" s="39"/>
      <c r="K399" s="39"/>
      <c r="O399" s="39"/>
      <c r="Q399" s="39"/>
      <c r="R399" s="39"/>
      <c r="S399" s="39"/>
      <c r="U399" s="39"/>
      <c r="V399" s="39"/>
      <c r="W399" s="39"/>
      <c r="X399" s="39"/>
      <c r="Y399" s="39"/>
      <c r="Z399" s="39"/>
      <c r="AA399" s="39"/>
      <c r="AB399" s="39"/>
    </row>
    <row r="400">
      <c r="C400" s="39"/>
      <c r="J400" s="39"/>
      <c r="K400" s="39"/>
      <c r="O400" s="39"/>
      <c r="Q400" s="39"/>
      <c r="R400" s="39"/>
      <c r="S400" s="39"/>
      <c r="U400" s="39"/>
      <c r="V400" s="39"/>
      <c r="W400" s="39"/>
      <c r="X400" s="39"/>
      <c r="Y400" s="39"/>
      <c r="Z400" s="39"/>
      <c r="AA400" s="39"/>
      <c r="AB400" s="39"/>
    </row>
    <row r="401">
      <c r="C401" s="39"/>
      <c r="J401" s="39"/>
      <c r="K401" s="39"/>
      <c r="O401" s="39"/>
      <c r="Q401" s="39"/>
      <c r="R401" s="39"/>
      <c r="S401" s="39"/>
      <c r="U401" s="39"/>
      <c r="V401" s="39"/>
      <c r="W401" s="39"/>
      <c r="X401" s="39"/>
      <c r="Y401" s="39"/>
      <c r="Z401" s="39"/>
      <c r="AA401" s="39"/>
      <c r="AB401" s="39"/>
    </row>
    <row r="402">
      <c r="C402" s="39"/>
      <c r="J402" s="39"/>
      <c r="K402" s="39"/>
      <c r="O402" s="39"/>
      <c r="Q402" s="39"/>
      <c r="R402" s="39"/>
      <c r="S402" s="39"/>
      <c r="U402" s="39"/>
      <c r="V402" s="39"/>
      <c r="W402" s="39"/>
      <c r="X402" s="39"/>
      <c r="Y402" s="39"/>
      <c r="Z402" s="39"/>
      <c r="AA402" s="39"/>
      <c r="AB402" s="39"/>
    </row>
    <row r="403">
      <c r="C403" s="39"/>
      <c r="J403" s="39"/>
      <c r="K403" s="39"/>
      <c r="O403" s="39"/>
      <c r="Q403" s="39"/>
      <c r="R403" s="39"/>
      <c r="S403" s="39"/>
      <c r="U403" s="39"/>
      <c r="V403" s="39"/>
      <c r="W403" s="39"/>
      <c r="X403" s="39"/>
      <c r="Y403" s="39"/>
      <c r="Z403" s="39"/>
      <c r="AA403" s="39"/>
      <c r="AB403" s="39"/>
    </row>
    <row r="404">
      <c r="C404" s="39"/>
      <c r="J404" s="39"/>
      <c r="K404" s="39"/>
      <c r="O404" s="39"/>
      <c r="Q404" s="39"/>
      <c r="R404" s="39"/>
      <c r="S404" s="39"/>
      <c r="U404" s="39"/>
      <c r="V404" s="39"/>
      <c r="W404" s="39"/>
      <c r="X404" s="39"/>
      <c r="Y404" s="39"/>
      <c r="Z404" s="39"/>
      <c r="AA404" s="39"/>
      <c r="AB404" s="39"/>
    </row>
    <row r="405">
      <c r="C405" s="39"/>
      <c r="J405" s="39"/>
      <c r="K405" s="39"/>
      <c r="O405" s="39"/>
      <c r="Q405" s="39"/>
      <c r="R405" s="39"/>
      <c r="S405" s="39"/>
      <c r="U405" s="39"/>
      <c r="V405" s="39"/>
      <c r="W405" s="39"/>
      <c r="X405" s="39"/>
      <c r="Y405" s="39"/>
      <c r="Z405" s="39"/>
      <c r="AA405" s="39"/>
      <c r="AB405" s="39"/>
    </row>
    <row r="406">
      <c r="C406" s="39"/>
      <c r="J406" s="39"/>
      <c r="K406" s="39"/>
      <c r="O406" s="39"/>
      <c r="Q406" s="39"/>
      <c r="R406" s="39"/>
      <c r="S406" s="39"/>
      <c r="U406" s="39"/>
      <c r="V406" s="39"/>
      <c r="W406" s="39"/>
      <c r="X406" s="39"/>
      <c r="Y406" s="39"/>
      <c r="Z406" s="39"/>
      <c r="AA406" s="39"/>
      <c r="AB406" s="39"/>
    </row>
    <row r="407">
      <c r="C407" s="39"/>
      <c r="J407" s="39"/>
      <c r="K407" s="39"/>
      <c r="O407" s="39"/>
      <c r="Q407" s="39"/>
      <c r="R407" s="39"/>
      <c r="S407" s="39"/>
      <c r="U407" s="39"/>
      <c r="V407" s="39"/>
      <c r="W407" s="39"/>
      <c r="X407" s="39"/>
      <c r="Y407" s="39"/>
      <c r="Z407" s="39"/>
      <c r="AA407" s="39"/>
      <c r="AB407" s="39"/>
    </row>
    <row r="408">
      <c r="C408" s="39"/>
      <c r="J408" s="39"/>
      <c r="K408" s="39"/>
      <c r="O408" s="39"/>
      <c r="Q408" s="39"/>
      <c r="R408" s="39"/>
      <c r="S408" s="39"/>
      <c r="U408" s="39"/>
      <c r="V408" s="39"/>
      <c r="W408" s="39"/>
      <c r="X408" s="39"/>
      <c r="Y408" s="39"/>
      <c r="Z408" s="39"/>
      <c r="AA408" s="39"/>
      <c r="AB408" s="39"/>
    </row>
    <row r="409">
      <c r="C409" s="39"/>
      <c r="J409" s="39"/>
      <c r="K409" s="39"/>
      <c r="O409" s="39"/>
      <c r="Q409" s="39"/>
      <c r="R409" s="39"/>
      <c r="S409" s="39"/>
      <c r="U409" s="39"/>
      <c r="V409" s="39"/>
      <c r="W409" s="39"/>
      <c r="X409" s="39"/>
      <c r="Y409" s="39"/>
      <c r="Z409" s="39"/>
      <c r="AA409" s="39"/>
      <c r="AB409" s="39"/>
    </row>
    <row r="410">
      <c r="C410" s="39"/>
      <c r="J410" s="39"/>
      <c r="K410" s="39"/>
      <c r="O410" s="39"/>
      <c r="Q410" s="39"/>
      <c r="R410" s="39"/>
      <c r="S410" s="39"/>
      <c r="U410" s="39"/>
      <c r="V410" s="39"/>
      <c r="W410" s="39"/>
      <c r="X410" s="39"/>
      <c r="Y410" s="39"/>
      <c r="Z410" s="39"/>
      <c r="AA410" s="39"/>
      <c r="AB410" s="39"/>
    </row>
    <row r="411">
      <c r="C411" s="39"/>
      <c r="J411" s="39"/>
      <c r="K411" s="39"/>
      <c r="O411" s="39"/>
      <c r="Q411" s="39"/>
      <c r="R411" s="39"/>
      <c r="S411" s="39"/>
      <c r="U411" s="39"/>
      <c r="V411" s="39"/>
      <c r="W411" s="39"/>
      <c r="X411" s="39"/>
      <c r="Y411" s="39"/>
      <c r="Z411" s="39"/>
      <c r="AA411" s="39"/>
      <c r="AB411" s="39"/>
    </row>
    <row r="412">
      <c r="C412" s="39"/>
      <c r="J412" s="39"/>
      <c r="K412" s="39"/>
      <c r="O412" s="39"/>
      <c r="Q412" s="39"/>
      <c r="R412" s="39"/>
      <c r="S412" s="39"/>
      <c r="U412" s="39"/>
      <c r="V412" s="39"/>
      <c r="W412" s="39"/>
      <c r="X412" s="39"/>
      <c r="Y412" s="39"/>
      <c r="Z412" s="39"/>
      <c r="AA412" s="39"/>
      <c r="AB412" s="39"/>
    </row>
    <row r="413">
      <c r="C413" s="39"/>
      <c r="J413" s="39"/>
      <c r="K413" s="39"/>
      <c r="O413" s="39"/>
      <c r="Q413" s="39"/>
      <c r="R413" s="39"/>
      <c r="S413" s="39"/>
      <c r="U413" s="39"/>
      <c r="V413" s="39"/>
      <c r="W413" s="39"/>
      <c r="X413" s="39"/>
      <c r="Y413" s="39"/>
      <c r="Z413" s="39"/>
      <c r="AA413" s="39"/>
      <c r="AB413" s="39"/>
    </row>
    <row r="414">
      <c r="C414" s="39"/>
      <c r="J414" s="39"/>
      <c r="K414" s="39"/>
      <c r="O414" s="39"/>
      <c r="Q414" s="39"/>
      <c r="R414" s="39"/>
      <c r="S414" s="39"/>
      <c r="U414" s="39"/>
      <c r="V414" s="39"/>
      <c r="W414" s="39"/>
      <c r="X414" s="39"/>
      <c r="Y414" s="39"/>
      <c r="Z414" s="39"/>
      <c r="AA414" s="39"/>
      <c r="AB414" s="39"/>
    </row>
    <row r="415">
      <c r="C415" s="39"/>
      <c r="J415" s="39"/>
      <c r="K415" s="39"/>
      <c r="O415" s="39"/>
      <c r="Q415" s="39"/>
      <c r="R415" s="39"/>
      <c r="S415" s="39"/>
      <c r="U415" s="39"/>
      <c r="V415" s="39"/>
      <c r="W415" s="39"/>
      <c r="X415" s="39"/>
      <c r="Y415" s="39"/>
      <c r="Z415" s="39"/>
      <c r="AA415" s="39"/>
      <c r="AB415" s="39"/>
    </row>
    <row r="416">
      <c r="C416" s="39"/>
      <c r="J416" s="39"/>
      <c r="K416" s="39"/>
      <c r="O416" s="39"/>
      <c r="Q416" s="39"/>
      <c r="R416" s="39"/>
      <c r="S416" s="39"/>
      <c r="U416" s="39"/>
      <c r="V416" s="39"/>
      <c r="W416" s="39"/>
      <c r="X416" s="39"/>
      <c r="Y416" s="39"/>
      <c r="Z416" s="39"/>
      <c r="AA416" s="39"/>
      <c r="AB416" s="39"/>
    </row>
    <row r="417">
      <c r="C417" s="39"/>
      <c r="J417" s="39"/>
      <c r="K417" s="39"/>
      <c r="O417" s="39"/>
      <c r="Q417" s="39"/>
      <c r="R417" s="39"/>
      <c r="S417" s="39"/>
      <c r="U417" s="39"/>
      <c r="V417" s="39"/>
      <c r="W417" s="39"/>
      <c r="X417" s="39"/>
      <c r="Y417" s="39"/>
      <c r="Z417" s="39"/>
      <c r="AA417" s="39"/>
      <c r="AB417" s="39"/>
    </row>
    <row r="418">
      <c r="C418" s="39"/>
      <c r="J418" s="39"/>
      <c r="K418" s="39"/>
      <c r="O418" s="39"/>
      <c r="Q418" s="39"/>
      <c r="R418" s="39"/>
      <c r="S418" s="39"/>
      <c r="U418" s="39"/>
      <c r="V418" s="39"/>
      <c r="W418" s="39"/>
      <c r="X418" s="39"/>
      <c r="Y418" s="39"/>
      <c r="Z418" s="39"/>
      <c r="AA418" s="39"/>
      <c r="AB418" s="39"/>
    </row>
    <row r="419">
      <c r="C419" s="39"/>
      <c r="J419" s="39"/>
      <c r="K419" s="39"/>
      <c r="O419" s="39"/>
      <c r="Q419" s="39"/>
      <c r="R419" s="39"/>
      <c r="S419" s="39"/>
      <c r="U419" s="39"/>
      <c r="V419" s="39"/>
      <c r="W419" s="39"/>
      <c r="X419" s="39"/>
      <c r="Y419" s="39"/>
      <c r="Z419" s="39"/>
      <c r="AA419" s="39"/>
      <c r="AB419" s="39"/>
    </row>
    <row r="420">
      <c r="C420" s="39"/>
      <c r="J420" s="39"/>
      <c r="K420" s="39"/>
      <c r="O420" s="39"/>
      <c r="Q420" s="39"/>
      <c r="R420" s="39"/>
      <c r="S420" s="39"/>
      <c r="U420" s="39"/>
      <c r="V420" s="39"/>
      <c r="W420" s="39"/>
      <c r="X420" s="39"/>
      <c r="Y420" s="39"/>
      <c r="Z420" s="39"/>
      <c r="AA420" s="39"/>
      <c r="AB420" s="39"/>
    </row>
    <row r="421">
      <c r="C421" s="39"/>
      <c r="J421" s="39"/>
      <c r="K421" s="39"/>
      <c r="O421" s="39"/>
      <c r="Q421" s="39"/>
      <c r="R421" s="39"/>
      <c r="S421" s="39"/>
      <c r="U421" s="39"/>
      <c r="V421" s="39"/>
      <c r="W421" s="39"/>
      <c r="X421" s="39"/>
      <c r="Y421" s="39"/>
      <c r="Z421" s="39"/>
      <c r="AA421" s="39"/>
      <c r="AB421" s="39"/>
    </row>
    <row r="422">
      <c r="C422" s="39"/>
      <c r="J422" s="39"/>
      <c r="K422" s="39"/>
      <c r="O422" s="39"/>
      <c r="Q422" s="39"/>
      <c r="R422" s="39"/>
      <c r="S422" s="39"/>
      <c r="U422" s="39"/>
      <c r="V422" s="39"/>
      <c r="W422" s="39"/>
      <c r="X422" s="39"/>
      <c r="Y422" s="39"/>
      <c r="Z422" s="39"/>
      <c r="AA422" s="39"/>
      <c r="AB422" s="39"/>
    </row>
    <row r="423">
      <c r="C423" s="39"/>
      <c r="J423" s="39"/>
      <c r="K423" s="39"/>
      <c r="O423" s="39"/>
      <c r="Q423" s="39"/>
      <c r="R423" s="39"/>
      <c r="S423" s="39"/>
      <c r="U423" s="39"/>
      <c r="V423" s="39"/>
      <c r="W423" s="39"/>
      <c r="X423" s="39"/>
      <c r="Y423" s="39"/>
      <c r="Z423" s="39"/>
      <c r="AA423" s="39"/>
      <c r="AB423" s="39"/>
    </row>
    <row r="424">
      <c r="C424" s="39"/>
      <c r="J424" s="39"/>
      <c r="K424" s="39"/>
      <c r="O424" s="39"/>
      <c r="Q424" s="39"/>
      <c r="R424" s="39"/>
      <c r="S424" s="39"/>
      <c r="U424" s="39"/>
      <c r="V424" s="39"/>
      <c r="W424" s="39"/>
      <c r="X424" s="39"/>
      <c r="Y424" s="39"/>
      <c r="Z424" s="39"/>
      <c r="AA424" s="39"/>
      <c r="AB424" s="39"/>
    </row>
    <row r="425">
      <c r="C425" s="39"/>
      <c r="J425" s="39"/>
      <c r="K425" s="39"/>
      <c r="O425" s="39"/>
      <c r="Q425" s="39"/>
      <c r="R425" s="39"/>
      <c r="S425" s="39"/>
      <c r="U425" s="39"/>
      <c r="V425" s="39"/>
      <c r="W425" s="39"/>
      <c r="X425" s="39"/>
      <c r="Y425" s="39"/>
      <c r="Z425" s="39"/>
      <c r="AA425" s="39"/>
      <c r="AB425" s="39"/>
    </row>
    <row r="426">
      <c r="C426" s="39"/>
      <c r="J426" s="39"/>
      <c r="K426" s="39"/>
      <c r="O426" s="39"/>
      <c r="Q426" s="39"/>
      <c r="R426" s="39"/>
      <c r="S426" s="39"/>
      <c r="U426" s="39"/>
      <c r="V426" s="39"/>
      <c r="W426" s="39"/>
      <c r="X426" s="39"/>
      <c r="Y426" s="39"/>
      <c r="Z426" s="39"/>
      <c r="AA426" s="39"/>
      <c r="AB426" s="39"/>
    </row>
    <row r="427">
      <c r="C427" s="39"/>
      <c r="J427" s="39"/>
      <c r="K427" s="39"/>
      <c r="O427" s="39"/>
      <c r="Q427" s="39"/>
      <c r="R427" s="39"/>
      <c r="S427" s="39"/>
      <c r="U427" s="39"/>
      <c r="V427" s="39"/>
      <c r="W427" s="39"/>
      <c r="X427" s="39"/>
      <c r="Y427" s="39"/>
      <c r="Z427" s="39"/>
      <c r="AA427" s="39"/>
      <c r="AB427" s="39"/>
    </row>
    <row r="428">
      <c r="C428" s="39"/>
      <c r="J428" s="39"/>
      <c r="K428" s="39"/>
      <c r="O428" s="39"/>
      <c r="Q428" s="39"/>
      <c r="R428" s="39"/>
      <c r="S428" s="39"/>
      <c r="U428" s="39"/>
      <c r="V428" s="39"/>
      <c r="W428" s="39"/>
      <c r="X428" s="39"/>
      <c r="Y428" s="39"/>
      <c r="Z428" s="39"/>
      <c r="AA428" s="39"/>
      <c r="AB428" s="39"/>
    </row>
    <row r="429">
      <c r="C429" s="39"/>
      <c r="J429" s="39"/>
      <c r="K429" s="39"/>
      <c r="O429" s="39"/>
      <c r="Q429" s="39"/>
      <c r="R429" s="39"/>
      <c r="S429" s="39"/>
      <c r="U429" s="39"/>
      <c r="V429" s="39"/>
      <c r="W429" s="39"/>
      <c r="X429" s="39"/>
      <c r="Y429" s="39"/>
      <c r="Z429" s="39"/>
      <c r="AA429" s="39"/>
      <c r="AB429" s="39"/>
    </row>
    <row r="430">
      <c r="C430" s="39"/>
      <c r="J430" s="39"/>
      <c r="K430" s="39"/>
      <c r="O430" s="39"/>
      <c r="Q430" s="39"/>
      <c r="R430" s="39"/>
      <c r="S430" s="39"/>
      <c r="U430" s="39"/>
      <c r="V430" s="39"/>
      <c r="W430" s="39"/>
      <c r="X430" s="39"/>
      <c r="Y430" s="39"/>
      <c r="Z430" s="39"/>
      <c r="AA430" s="39"/>
      <c r="AB430" s="39"/>
    </row>
    <row r="431">
      <c r="C431" s="39"/>
      <c r="J431" s="39"/>
      <c r="K431" s="39"/>
      <c r="O431" s="39"/>
      <c r="Q431" s="39"/>
      <c r="R431" s="39"/>
      <c r="S431" s="39"/>
      <c r="U431" s="39"/>
      <c r="V431" s="39"/>
      <c r="W431" s="39"/>
      <c r="X431" s="39"/>
      <c r="Y431" s="39"/>
      <c r="Z431" s="39"/>
      <c r="AA431" s="39"/>
      <c r="AB431" s="39"/>
    </row>
    <row r="432">
      <c r="C432" s="39"/>
      <c r="J432" s="39"/>
      <c r="K432" s="39"/>
      <c r="O432" s="39"/>
      <c r="Q432" s="39"/>
      <c r="R432" s="39"/>
      <c r="S432" s="39"/>
      <c r="U432" s="39"/>
      <c r="V432" s="39"/>
      <c r="W432" s="39"/>
      <c r="X432" s="39"/>
      <c r="Y432" s="39"/>
      <c r="Z432" s="39"/>
      <c r="AA432" s="39"/>
      <c r="AB432" s="39"/>
    </row>
    <row r="433">
      <c r="C433" s="39"/>
      <c r="J433" s="39"/>
      <c r="K433" s="39"/>
      <c r="O433" s="39"/>
      <c r="Q433" s="39"/>
      <c r="R433" s="39"/>
      <c r="S433" s="39"/>
      <c r="U433" s="39"/>
      <c r="V433" s="39"/>
      <c r="W433" s="39"/>
      <c r="X433" s="39"/>
      <c r="Y433" s="39"/>
      <c r="Z433" s="39"/>
      <c r="AA433" s="39"/>
      <c r="AB433" s="39"/>
    </row>
    <row r="434">
      <c r="C434" s="39"/>
      <c r="J434" s="39"/>
      <c r="K434" s="39"/>
      <c r="O434" s="39"/>
      <c r="Q434" s="39"/>
      <c r="R434" s="39"/>
      <c r="S434" s="39"/>
      <c r="U434" s="39"/>
      <c r="V434" s="39"/>
      <c r="W434" s="39"/>
      <c r="X434" s="39"/>
      <c r="Y434" s="39"/>
      <c r="Z434" s="39"/>
      <c r="AA434" s="39"/>
      <c r="AB434" s="39"/>
    </row>
    <row r="435">
      <c r="C435" s="39"/>
      <c r="J435" s="39"/>
      <c r="K435" s="39"/>
      <c r="O435" s="39"/>
      <c r="Q435" s="39"/>
      <c r="R435" s="39"/>
      <c r="S435" s="39"/>
      <c r="U435" s="39"/>
      <c r="V435" s="39"/>
      <c r="W435" s="39"/>
      <c r="X435" s="39"/>
      <c r="Y435" s="39"/>
      <c r="Z435" s="39"/>
      <c r="AA435" s="39"/>
      <c r="AB435" s="39"/>
    </row>
    <row r="436">
      <c r="C436" s="39"/>
      <c r="J436" s="39"/>
      <c r="K436" s="39"/>
      <c r="O436" s="39"/>
      <c r="Q436" s="39"/>
      <c r="R436" s="39"/>
      <c r="S436" s="39"/>
      <c r="U436" s="39"/>
      <c r="V436" s="39"/>
      <c r="W436" s="39"/>
      <c r="X436" s="39"/>
      <c r="Y436" s="39"/>
      <c r="Z436" s="39"/>
      <c r="AA436" s="39"/>
      <c r="AB436" s="39"/>
    </row>
    <row r="437">
      <c r="C437" s="39"/>
      <c r="J437" s="39"/>
      <c r="K437" s="39"/>
      <c r="O437" s="39"/>
      <c r="Q437" s="39"/>
      <c r="R437" s="39"/>
      <c r="S437" s="39"/>
      <c r="U437" s="39"/>
      <c r="V437" s="39"/>
      <c r="W437" s="39"/>
      <c r="X437" s="39"/>
      <c r="Y437" s="39"/>
      <c r="Z437" s="39"/>
      <c r="AA437" s="39"/>
      <c r="AB437" s="39"/>
    </row>
    <row r="438">
      <c r="C438" s="39"/>
      <c r="J438" s="39"/>
      <c r="K438" s="39"/>
      <c r="O438" s="39"/>
      <c r="Q438" s="39"/>
      <c r="R438" s="39"/>
      <c r="S438" s="39"/>
      <c r="U438" s="39"/>
      <c r="V438" s="39"/>
      <c r="W438" s="39"/>
      <c r="X438" s="39"/>
      <c r="Y438" s="39"/>
      <c r="Z438" s="39"/>
      <c r="AA438" s="39"/>
      <c r="AB438" s="39"/>
    </row>
    <row r="439">
      <c r="C439" s="39"/>
      <c r="J439" s="39"/>
      <c r="K439" s="39"/>
      <c r="O439" s="39"/>
      <c r="Q439" s="39"/>
      <c r="R439" s="39"/>
      <c r="S439" s="39"/>
      <c r="U439" s="39"/>
      <c r="V439" s="39"/>
      <c r="W439" s="39"/>
      <c r="X439" s="39"/>
      <c r="Y439" s="39"/>
      <c r="Z439" s="39"/>
      <c r="AA439" s="39"/>
      <c r="AB439" s="39"/>
    </row>
    <row r="440">
      <c r="C440" s="39"/>
      <c r="J440" s="39"/>
      <c r="K440" s="39"/>
      <c r="O440" s="39"/>
      <c r="Q440" s="39"/>
      <c r="R440" s="39"/>
      <c r="S440" s="39"/>
      <c r="U440" s="39"/>
      <c r="V440" s="39"/>
      <c r="W440" s="39"/>
      <c r="X440" s="39"/>
      <c r="Y440" s="39"/>
      <c r="Z440" s="39"/>
      <c r="AA440" s="39"/>
      <c r="AB440" s="39"/>
    </row>
    <row r="441">
      <c r="C441" s="39"/>
      <c r="J441" s="39"/>
      <c r="K441" s="39"/>
      <c r="O441" s="39"/>
      <c r="Q441" s="39"/>
      <c r="R441" s="39"/>
      <c r="S441" s="39"/>
      <c r="U441" s="39"/>
      <c r="V441" s="39"/>
      <c r="W441" s="39"/>
      <c r="X441" s="39"/>
      <c r="Y441" s="39"/>
      <c r="Z441" s="39"/>
      <c r="AA441" s="39"/>
      <c r="AB441" s="39"/>
    </row>
    <row r="442">
      <c r="C442" s="39"/>
      <c r="J442" s="39"/>
      <c r="K442" s="39"/>
      <c r="O442" s="39"/>
      <c r="Q442" s="39"/>
      <c r="R442" s="39"/>
      <c r="S442" s="39"/>
      <c r="U442" s="39"/>
      <c r="V442" s="39"/>
      <c r="W442" s="39"/>
      <c r="X442" s="39"/>
      <c r="Y442" s="39"/>
      <c r="Z442" s="39"/>
      <c r="AA442" s="39"/>
      <c r="AB442" s="39"/>
    </row>
    <row r="443">
      <c r="C443" s="39"/>
      <c r="J443" s="39"/>
      <c r="K443" s="39"/>
      <c r="O443" s="39"/>
      <c r="Q443" s="39"/>
      <c r="R443" s="39"/>
      <c r="S443" s="39"/>
      <c r="U443" s="39"/>
      <c r="V443" s="39"/>
      <c r="W443" s="39"/>
      <c r="X443" s="39"/>
      <c r="Y443" s="39"/>
      <c r="Z443" s="39"/>
      <c r="AA443" s="39"/>
      <c r="AB443" s="39"/>
    </row>
    <row r="444">
      <c r="C444" s="39"/>
      <c r="J444" s="39"/>
      <c r="K444" s="39"/>
      <c r="O444" s="39"/>
      <c r="Q444" s="39"/>
      <c r="R444" s="39"/>
      <c r="S444" s="39"/>
      <c r="U444" s="39"/>
      <c r="V444" s="39"/>
      <c r="W444" s="39"/>
      <c r="X444" s="39"/>
      <c r="Y444" s="39"/>
      <c r="Z444" s="39"/>
      <c r="AA444" s="39"/>
      <c r="AB444" s="39"/>
    </row>
    <row r="445">
      <c r="C445" s="39"/>
      <c r="J445" s="39"/>
      <c r="K445" s="39"/>
      <c r="O445" s="39"/>
      <c r="Q445" s="39"/>
      <c r="R445" s="39"/>
      <c r="S445" s="39"/>
      <c r="U445" s="39"/>
      <c r="V445" s="39"/>
      <c r="W445" s="39"/>
      <c r="X445" s="39"/>
      <c r="Y445" s="39"/>
      <c r="Z445" s="39"/>
      <c r="AA445" s="39"/>
      <c r="AB445" s="39"/>
    </row>
    <row r="446">
      <c r="C446" s="39"/>
      <c r="J446" s="39"/>
      <c r="K446" s="39"/>
      <c r="O446" s="39"/>
      <c r="Q446" s="39"/>
      <c r="R446" s="39"/>
      <c r="S446" s="39"/>
      <c r="U446" s="39"/>
      <c r="V446" s="39"/>
      <c r="W446" s="39"/>
      <c r="X446" s="39"/>
      <c r="Y446" s="39"/>
      <c r="Z446" s="39"/>
      <c r="AA446" s="39"/>
      <c r="AB446" s="39"/>
    </row>
    <row r="447">
      <c r="C447" s="39"/>
      <c r="J447" s="39"/>
      <c r="K447" s="39"/>
      <c r="O447" s="39"/>
      <c r="Q447" s="39"/>
      <c r="R447" s="39"/>
      <c r="S447" s="39"/>
      <c r="U447" s="39"/>
      <c r="V447" s="39"/>
      <c r="W447" s="39"/>
      <c r="X447" s="39"/>
      <c r="Y447" s="39"/>
      <c r="Z447" s="39"/>
      <c r="AA447" s="39"/>
      <c r="AB447" s="39"/>
    </row>
    <row r="448">
      <c r="C448" s="39"/>
      <c r="J448" s="39"/>
      <c r="K448" s="39"/>
      <c r="O448" s="39"/>
      <c r="Q448" s="39"/>
      <c r="R448" s="39"/>
      <c r="S448" s="39"/>
      <c r="U448" s="39"/>
      <c r="V448" s="39"/>
      <c r="W448" s="39"/>
      <c r="X448" s="39"/>
      <c r="Y448" s="39"/>
      <c r="Z448" s="39"/>
      <c r="AA448" s="39"/>
      <c r="AB448" s="39"/>
    </row>
    <row r="449">
      <c r="C449" s="39"/>
      <c r="J449" s="39"/>
      <c r="K449" s="39"/>
      <c r="O449" s="39"/>
      <c r="Q449" s="39"/>
      <c r="R449" s="39"/>
      <c r="S449" s="39"/>
      <c r="U449" s="39"/>
      <c r="V449" s="39"/>
      <c r="W449" s="39"/>
      <c r="X449" s="39"/>
      <c r="Y449" s="39"/>
      <c r="Z449" s="39"/>
      <c r="AA449" s="39"/>
      <c r="AB449" s="39"/>
    </row>
    <row r="450">
      <c r="C450" s="39"/>
      <c r="J450" s="39"/>
      <c r="K450" s="39"/>
      <c r="O450" s="39"/>
      <c r="Q450" s="39"/>
      <c r="R450" s="39"/>
      <c r="S450" s="39"/>
      <c r="U450" s="39"/>
      <c r="V450" s="39"/>
      <c r="W450" s="39"/>
      <c r="X450" s="39"/>
      <c r="Y450" s="39"/>
      <c r="Z450" s="39"/>
      <c r="AA450" s="39"/>
      <c r="AB450" s="39"/>
    </row>
    <row r="451">
      <c r="C451" s="39"/>
      <c r="J451" s="39"/>
      <c r="K451" s="39"/>
      <c r="O451" s="39"/>
      <c r="Q451" s="39"/>
      <c r="R451" s="39"/>
      <c r="S451" s="39"/>
      <c r="U451" s="39"/>
      <c r="V451" s="39"/>
      <c r="W451" s="39"/>
      <c r="X451" s="39"/>
      <c r="Y451" s="39"/>
      <c r="Z451" s="39"/>
      <c r="AA451" s="39"/>
      <c r="AB451" s="39"/>
    </row>
    <row r="452">
      <c r="C452" s="39"/>
      <c r="J452" s="39"/>
      <c r="K452" s="39"/>
      <c r="O452" s="39"/>
      <c r="Q452" s="39"/>
      <c r="R452" s="39"/>
      <c r="S452" s="39"/>
      <c r="U452" s="39"/>
      <c r="V452" s="39"/>
      <c r="W452" s="39"/>
      <c r="X452" s="39"/>
      <c r="Y452" s="39"/>
      <c r="Z452" s="39"/>
      <c r="AA452" s="39"/>
      <c r="AB452" s="39"/>
    </row>
    <row r="453">
      <c r="C453" s="39"/>
      <c r="J453" s="39"/>
      <c r="K453" s="39"/>
      <c r="O453" s="39"/>
      <c r="Q453" s="39"/>
      <c r="R453" s="39"/>
      <c r="S453" s="39"/>
      <c r="U453" s="39"/>
      <c r="V453" s="39"/>
      <c r="W453" s="39"/>
      <c r="X453" s="39"/>
      <c r="Y453" s="39"/>
      <c r="Z453" s="39"/>
      <c r="AA453" s="39"/>
      <c r="AB453" s="39"/>
    </row>
    <row r="454">
      <c r="C454" s="39"/>
      <c r="J454" s="39"/>
      <c r="K454" s="39"/>
      <c r="O454" s="39"/>
      <c r="Q454" s="39"/>
      <c r="R454" s="39"/>
      <c r="S454" s="39"/>
      <c r="U454" s="39"/>
      <c r="V454" s="39"/>
      <c r="W454" s="39"/>
      <c r="X454" s="39"/>
      <c r="Y454" s="39"/>
      <c r="Z454" s="39"/>
      <c r="AA454" s="39"/>
      <c r="AB454" s="39"/>
    </row>
    <row r="455">
      <c r="C455" s="39"/>
      <c r="J455" s="39"/>
      <c r="K455" s="39"/>
      <c r="O455" s="39"/>
      <c r="Q455" s="39"/>
      <c r="R455" s="39"/>
      <c r="S455" s="39"/>
      <c r="U455" s="39"/>
      <c r="V455" s="39"/>
      <c r="W455" s="39"/>
      <c r="X455" s="39"/>
      <c r="Y455" s="39"/>
      <c r="Z455" s="39"/>
      <c r="AA455" s="39"/>
      <c r="AB455" s="39"/>
    </row>
    <row r="456">
      <c r="C456" s="39"/>
      <c r="J456" s="39"/>
      <c r="K456" s="39"/>
      <c r="O456" s="39"/>
      <c r="Q456" s="39"/>
      <c r="R456" s="39"/>
      <c r="S456" s="39"/>
      <c r="U456" s="39"/>
      <c r="V456" s="39"/>
      <c r="W456" s="39"/>
      <c r="X456" s="39"/>
      <c r="Y456" s="39"/>
      <c r="Z456" s="39"/>
      <c r="AA456" s="39"/>
      <c r="AB456" s="39"/>
    </row>
    <row r="457">
      <c r="C457" s="39"/>
      <c r="J457" s="39"/>
      <c r="K457" s="39"/>
      <c r="O457" s="39"/>
      <c r="Q457" s="39"/>
      <c r="R457" s="39"/>
      <c r="S457" s="39"/>
      <c r="U457" s="39"/>
      <c r="V457" s="39"/>
      <c r="W457" s="39"/>
      <c r="X457" s="39"/>
      <c r="Y457" s="39"/>
      <c r="Z457" s="39"/>
      <c r="AA457" s="39"/>
      <c r="AB457" s="39"/>
    </row>
    <row r="458">
      <c r="C458" s="39"/>
      <c r="J458" s="39"/>
      <c r="K458" s="39"/>
      <c r="O458" s="39"/>
      <c r="Q458" s="39"/>
      <c r="R458" s="39"/>
      <c r="S458" s="39"/>
      <c r="U458" s="39"/>
      <c r="V458" s="39"/>
      <c r="W458" s="39"/>
      <c r="X458" s="39"/>
      <c r="Y458" s="39"/>
      <c r="Z458" s="39"/>
      <c r="AA458" s="39"/>
      <c r="AB458" s="39"/>
    </row>
    <row r="459">
      <c r="C459" s="39"/>
      <c r="J459" s="39"/>
      <c r="K459" s="39"/>
      <c r="O459" s="39"/>
      <c r="Q459" s="39"/>
      <c r="R459" s="39"/>
      <c r="S459" s="39"/>
      <c r="U459" s="39"/>
      <c r="V459" s="39"/>
      <c r="W459" s="39"/>
      <c r="X459" s="39"/>
      <c r="Y459" s="39"/>
      <c r="Z459" s="39"/>
      <c r="AA459" s="39"/>
      <c r="AB459" s="39"/>
    </row>
    <row r="460">
      <c r="C460" s="39"/>
      <c r="J460" s="39"/>
      <c r="K460" s="39"/>
      <c r="O460" s="39"/>
      <c r="Q460" s="39"/>
      <c r="R460" s="39"/>
      <c r="S460" s="39"/>
      <c r="U460" s="39"/>
      <c r="V460" s="39"/>
      <c r="W460" s="39"/>
      <c r="X460" s="39"/>
      <c r="Y460" s="39"/>
      <c r="Z460" s="39"/>
      <c r="AA460" s="39"/>
      <c r="AB460" s="39"/>
    </row>
    <row r="461">
      <c r="C461" s="39"/>
      <c r="J461" s="39"/>
      <c r="K461" s="39"/>
      <c r="O461" s="39"/>
      <c r="Q461" s="39"/>
      <c r="R461" s="39"/>
      <c r="S461" s="39"/>
      <c r="U461" s="39"/>
      <c r="V461" s="39"/>
      <c r="W461" s="39"/>
      <c r="X461" s="39"/>
      <c r="Y461" s="39"/>
      <c r="Z461" s="39"/>
      <c r="AA461" s="39"/>
      <c r="AB461" s="39"/>
    </row>
    <row r="462">
      <c r="C462" s="39"/>
      <c r="J462" s="39"/>
      <c r="K462" s="39"/>
      <c r="O462" s="39"/>
      <c r="Q462" s="39"/>
      <c r="R462" s="39"/>
      <c r="S462" s="39"/>
      <c r="U462" s="39"/>
      <c r="V462" s="39"/>
      <c r="W462" s="39"/>
      <c r="X462" s="39"/>
      <c r="Y462" s="39"/>
      <c r="Z462" s="39"/>
      <c r="AA462" s="39"/>
      <c r="AB462" s="39"/>
    </row>
    <row r="463">
      <c r="C463" s="39"/>
      <c r="J463" s="39"/>
      <c r="K463" s="39"/>
      <c r="O463" s="39"/>
      <c r="Q463" s="39"/>
      <c r="R463" s="39"/>
      <c r="S463" s="39"/>
      <c r="U463" s="39"/>
      <c r="V463" s="39"/>
      <c r="W463" s="39"/>
      <c r="X463" s="39"/>
      <c r="Y463" s="39"/>
      <c r="Z463" s="39"/>
      <c r="AA463" s="39"/>
      <c r="AB463" s="39"/>
    </row>
    <row r="464">
      <c r="C464" s="39"/>
      <c r="J464" s="39"/>
      <c r="K464" s="39"/>
      <c r="O464" s="39"/>
      <c r="Q464" s="39"/>
      <c r="R464" s="39"/>
      <c r="S464" s="39"/>
      <c r="U464" s="39"/>
      <c r="V464" s="39"/>
      <c r="W464" s="39"/>
      <c r="X464" s="39"/>
      <c r="Y464" s="39"/>
      <c r="Z464" s="39"/>
      <c r="AA464" s="39"/>
      <c r="AB464" s="39"/>
    </row>
    <row r="465">
      <c r="C465" s="39"/>
      <c r="J465" s="39"/>
      <c r="K465" s="39"/>
      <c r="O465" s="39"/>
      <c r="Q465" s="39"/>
      <c r="R465" s="39"/>
      <c r="S465" s="39"/>
      <c r="U465" s="39"/>
      <c r="V465" s="39"/>
      <c r="W465" s="39"/>
      <c r="X465" s="39"/>
      <c r="Y465" s="39"/>
      <c r="Z465" s="39"/>
      <c r="AA465" s="39"/>
      <c r="AB465" s="39"/>
    </row>
    <row r="466">
      <c r="C466" s="39"/>
      <c r="J466" s="39"/>
      <c r="K466" s="39"/>
      <c r="O466" s="39"/>
      <c r="Q466" s="39"/>
      <c r="R466" s="39"/>
      <c r="S466" s="39"/>
      <c r="U466" s="39"/>
      <c r="V466" s="39"/>
      <c r="W466" s="39"/>
      <c r="X466" s="39"/>
      <c r="Y466" s="39"/>
      <c r="Z466" s="39"/>
      <c r="AA466" s="39"/>
      <c r="AB466" s="39"/>
    </row>
    <row r="467">
      <c r="C467" s="39"/>
      <c r="J467" s="39"/>
      <c r="K467" s="39"/>
      <c r="O467" s="39"/>
      <c r="Q467" s="39"/>
      <c r="R467" s="39"/>
      <c r="S467" s="39"/>
      <c r="U467" s="39"/>
      <c r="V467" s="39"/>
      <c r="W467" s="39"/>
      <c r="X467" s="39"/>
      <c r="Y467" s="39"/>
      <c r="Z467" s="39"/>
      <c r="AA467" s="39"/>
      <c r="AB467" s="39"/>
    </row>
    <row r="468">
      <c r="C468" s="39"/>
      <c r="J468" s="39"/>
      <c r="K468" s="39"/>
      <c r="O468" s="39"/>
      <c r="Q468" s="39"/>
      <c r="R468" s="39"/>
      <c r="S468" s="39"/>
      <c r="U468" s="39"/>
      <c r="V468" s="39"/>
      <c r="W468" s="39"/>
      <c r="X468" s="39"/>
      <c r="Y468" s="39"/>
      <c r="Z468" s="39"/>
      <c r="AA468" s="39"/>
      <c r="AB468" s="39"/>
    </row>
    <row r="469">
      <c r="C469" s="39"/>
      <c r="J469" s="39"/>
      <c r="K469" s="39"/>
      <c r="O469" s="39"/>
      <c r="Q469" s="39"/>
      <c r="R469" s="39"/>
      <c r="S469" s="39"/>
      <c r="U469" s="39"/>
      <c r="V469" s="39"/>
      <c r="W469" s="39"/>
      <c r="X469" s="39"/>
      <c r="Y469" s="39"/>
      <c r="Z469" s="39"/>
      <c r="AA469" s="39"/>
      <c r="AB469" s="39"/>
    </row>
    <row r="470">
      <c r="C470" s="39"/>
      <c r="J470" s="39"/>
      <c r="K470" s="39"/>
      <c r="O470" s="39"/>
      <c r="Q470" s="39"/>
      <c r="R470" s="39"/>
      <c r="S470" s="39"/>
      <c r="U470" s="39"/>
      <c r="V470" s="39"/>
      <c r="W470" s="39"/>
      <c r="X470" s="39"/>
      <c r="Y470" s="39"/>
      <c r="Z470" s="39"/>
      <c r="AA470" s="39"/>
      <c r="AB470" s="39"/>
    </row>
    <row r="471">
      <c r="C471" s="39"/>
      <c r="J471" s="39"/>
      <c r="K471" s="39"/>
      <c r="O471" s="39"/>
      <c r="Q471" s="39"/>
      <c r="R471" s="39"/>
      <c r="S471" s="39"/>
      <c r="U471" s="39"/>
      <c r="V471" s="39"/>
      <c r="W471" s="39"/>
      <c r="X471" s="39"/>
      <c r="Y471" s="39"/>
      <c r="Z471" s="39"/>
      <c r="AA471" s="39"/>
      <c r="AB471" s="39"/>
    </row>
    <row r="472">
      <c r="C472" s="39"/>
      <c r="J472" s="39"/>
      <c r="K472" s="39"/>
      <c r="O472" s="39"/>
      <c r="Q472" s="39"/>
      <c r="R472" s="39"/>
      <c r="S472" s="39"/>
      <c r="U472" s="39"/>
      <c r="V472" s="39"/>
      <c r="W472" s="39"/>
      <c r="X472" s="39"/>
      <c r="Y472" s="39"/>
      <c r="Z472" s="39"/>
      <c r="AA472" s="39"/>
      <c r="AB472" s="39"/>
    </row>
    <row r="473">
      <c r="C473" s="39"/>
      <c r="J473" s="39"/>
      <c r="K473" s="39"/>
      <c r="O473" s="39"/>
      <c r="Q473" s="39"/>
      <c r="R473" s="39"/>
      <c r="S473" s="39"/>
      <c r="U473" s="39"/>
      <c r="V473" s="39"/>
      <c r="W473" s="39"/>
      <c r="X473" s="39"/>
      <c r="Y473" s="39"/>
      <c r="Z473" s="39"/>
      <c r="AA473" s="39"/>
      <c r="AB473" s="39"/>
    </row>
    <row r="474">
      <c r="C474" s="39"/>
      <c r="J474" s="39"/>
      <c r="K474" s="39"/>
      <c r="O474" s="39"/>
      <c r="Q474" s="39"/>
      <c r="R474" s="39"/>
      <c r="S474" s="39"/>
      <c r="U474" s="39"/>
      <c r="V474" s="39"/>
      <c r="W474" s="39"/>
      <c r="X474" s="39"/>
      <c r="Y474" s="39"/>
      <c r="Z474" s="39"/>
      <c r="AA474" s="39"/>
      <c r="AB474" s="39"/>
    </row>
    <row r="475">
      <c r="C475" s="39"/>
      <c r="J475" s="39"/>
      <c r="K475" s="39"/>
      <c r="O475" s="39"/>
      <c r="Q475" s="39"/>
      <c r="R475" s="39"/>
      <c r="S475" s="39"/>
      <c r="U475" s="39"/>
      <c r="V475" s="39"/>
      <c r="W475" s="39"/>
      <c r="X475" s="39"/>
      <c r="Y475" s="39"/>
      <c r="Z475" s="39"/>
      <c r="AA475" s="39"/>
      <c r="AB475" s="39"/>
    </row>
    <row r="476">
      <c r="C476" s="39"/>
      <c r="J476" s="39"/>
      <c r="K476" s="39"/>
      <c r="O476" s="39"/>
      <c r="Q476" s="39"/>
      <c r="R476" s="39"/>
      <c r="S476" s="39"/>
      <c r="U476" s="39"/>
      <c r="V476" s="39"/>
      <c r="W476" s="39"/>
      <c r="X476" s="39"/>
      <c r="Y476" s="39"/>
      <c r="Z476" s="39"/>
      <c r="AA476" s="39"/>
      <c r="AB476" s="39"/>
    </row>
    <row r="477">
      <c r="C477" s="39"/>
      <c r="J477" s="39"/>
      <c r="K477" s="39"/>
      <c r="O477" s="39"/>
      <c r="Q477" s="39"/>
      <c r="R477" s="39"/>
      <c r="S477" s="39"/>
      <c r="U477" s="39"/>
      <c r="V477" s="39"/>
      <c r="W477" s="39"/>
      <c r="X477" s="39"/>
      <c r="Y477" s="39"/>
      <c r="Z477" s="39"/>
      <c r="AA477" s="39"/>
      <c r="AB477" s="39"/>
    </row>
    <row r="478">
      <c r="C478" s="39"/>
      <c r="J478" s="39"/>
      <c r="K478" s="39"/>
      <c r="O478" s="39"/>
      <c r="Q478" s="39"/>
      <c r="R478" s="39"/>
      <c r="S478" s="39"/>
      <c r="U478" s="39"/>
      <c r="V478" s="39"/>
      <c r="W478" s="39"/>
      <c r="X478" s="39"/>
      <c r="Y478" s="39"/>
      <c r="Z478" s="39"/>
      <c r="AA478" s="39"/>
      <c r="AB478" s="39"/>
    </row>
    <row r="479">
      <c r="C479" s="39"/>
      <c r="J479" s="39"/>
      <c r="K479" s="39"/>
      <c r="O479" s="39"/>
      <c r="Q479" s="39"/>
      <c r="R479" s="39"/>
      <c r="S479" s="39"/>
      <c r="U479" s="39"/>
      <c r="V479" s="39"/>
      <c r="W479" s="39"/>
      <c r="X479" s="39"/>
      <c r="Y479" s="39"/>
      <c r="Z479" s="39"/>
      <c r="AA479" s="39"/>
      <c r="AB479" s="39"/>
    </row>
    <row r="480">
      <c r="C480" s="39"/>
      <c r="J480" s="39"/>
      <c r="K480" s="39"/>
      <c r="O480" s="39"/>
      <c r="Q480" s="39"/>
      <c r="R480" s="39"/>
      <c r="S480" s="39"/>
      <c r="U480" s="39"/>
      <c r="V480" s="39"/>
      <c r="W480" s="39"/>
      <c r="X480" s="39"/>
      <c r="Y480" s="39"/>
      <c r="Z480" s="39"/>
      <c r="AA480" s="39"/>
      <c r="AB480" s="39"/>
    </row>
    <row r="481">
      <c r="C481" s="39"/>
      <c r="J481" s="39"/>
      <c r="K481" s="39"/>
      <c r="O481" s="39"/>
      <c r="Q481" s="39"/>
      <c r="R481" s="39"/>
      <c r="S481" s="39"/>
      <c r="U481" s="39"/>
      <c r="V481" s="39"/>
      <c r="W481" s="39"/>
      <c r="X481" s="39"/>
      <c r="Y481" s="39"/>
      <c r="Z481" s="39"/>
      <c r="AA481" s="39"/>
      <c r="AB481" s="39"/>
    </row>
    <row r="482">
      <c r="C482" s="39"/>
      <c r="J482" s="39"/>
      <c r="K482" s="39"/>
      <c r="O482" s="39"/>
      <c r="Q482" s="39"/>
      <c r="R482" s="39"/>
      <c r="S482" s="39"/>
      <c r="U482" s="39"/>
      <c r="V482" s="39"/>
      <c r="W482" s="39"/>
      <c r="X482" s="39"/>
      <c r="Y482" s="39"/>
      <c r="Z482" s="39"/>
      <c r="AA482" s="39"/>
      <c r="AB482" s="39"/>
    </row>
    <row r="483">
      <c r="C483" s="39"/>
      <c r="J483" s="39"/>
      <c r="K483" s="39"/>
      <c r="O483" s="39"/>
      <c r="Q483" s="39"/>
      <c r="R483" s="39"/>
      <c r="S483" s="39"/>
      <c r="U483" s="39"/>
      <c r="V483" s="39"/>
      <c r="W483" s="39"/>
      <c r="X483" s="39"/>
      <c r="Y483" s="39"/>
      <c r="Z483" s="39"/>
      <c r="AA483" s="39"/>
      <c r="AB483" s="39"/>
    </row>
    <row r="484">
      <c r="C484" s="39"/>
      <c r="J484" s="39"/>
      <c r="K484" s="39"/>
      <c r="O484" s="39"/>
      <c r="Q484" s="39"/>
      <c r="R484" s="39"/>
      <c r="S484" s="39"/>
      <c r="U484" s="39"/>
      <c r="V484" s="39"/>
      <c r="W484" s="39"/>
      <c r="X484" s="39"/>
      <c r="Y484" s="39"/>
      <c r="Z484" s="39"/>
      <c r="AA484" s="39"/>
      <c r="AB484" s="39"/>
    </row>
    <row r="485">
      <c r="C485" s="39"/>
      <c r="J485" s="39"/>
      <c r="K485" s="39"/>
      <c r="O485" s="39"/>
      <c r="Q485" s="39"/>
      <c r="R485" s="39"/>
      <c r="S485" s="39"/>
      <c r="U485" s="39"/>
      <c r="V485" s="39"/>
      <c r="W485" s="39"/>
      <c r="X485" s="39"/>
      <c r="Y485" s="39"/>
      <c r="Z485" s="39"/>
      <c r="AA485" s="39"/>
      <c r="AB485" s="39"/>
    </row>
    <row r="486">
      <c r="C486" s="39"/>
      <c r="J486" s="39"/>
      <c r="K486" s="39"/>
      <c r="O486" s="39"/>
      <c r="Q486" s="39"/>
      <c r="R486" s="39"/>
      <c r="S486" s="39"/>
      <c r="U486" s="39"/>
      <c r="V486" s="39"/>
      <c r="W486" s="39"/>
      <c r="X486" s="39"/>
      <c r="Y486" s="39"/>
      <c r="Z486" s="39"/>
      <c r="AA486" s="39"/>
      <c r="AB486" s="39"/>
    </row>
    <row r="487">
      <c r="C487" s="39"/>
      <c r="J487" s="39"/>
      <c r="K487" s="39"/>
      <c r="O487" s="39"/>
      <c r="Q487" s="39"/>
      <c r="R487" s="39"/>
      <c r="S487" s="39"/>
      <c r="U487" s="39"/>
      <c r="V487" s="39"/>
      <c r="W487" s="39"/>
      <c r="X487" s="39"/>
      <c r="Y487" s="39"/>
      <c r="Z487" s="39"/>
      <c r="AA487" s="39"/>
      <c r="AB487" s="39"/>
    </row>
    <row r="488">
      <c r="C488" s="39"/>
      <c r="J488" s="39"/>
      <c r="K488" s="39"/>
      <c r="O488" s="39"/>
      <c r="Q488" s="39"/>
      <c r="R488" s="39"/>
      <c r="S488" s="39"/>
      <c r="U488" s="39"/>
      <c r="V488" s="39"/>
      <c r="W488" s="39"/>
      <c r="X488" s="39"/>
      <c r="Y488" s="39"/>
      <c r="Z488" s="39"/>
      <c r="AA488" s="39"/>
      <c r="AB488" s="39"/>
    </row>
    <row r="489">
      <c r="C489" s="39"/>
      <c r="J489" s="39"/>
      <c r="K489" s="39"/>
      <c r="O489" s="39"/>
      <c r="Q489" s="39"/>
      <c r="R489" s="39"/>
      <c r="S489" s="39"/>
      <c r="U489" s="39"/>
      <c r="V489" s="39"/>
      <c r="W489" s="39"/>
      <c r="X489" s="39"/>
      <c r="Y489" s="39"/>
      <c r="Z489" s="39"/>
      <c r="AA489" s="39"/>
      <c r="AB489" s="39"/>
    </row>
    <row r="490">
      <c r="C490" s="39"/>
      <c r="J490" s="39"/>
      <c r="K490" s="39"/>
      <c r="O490" s="39"/>
      <c r="Q490" s="39"/>
      <c r="R490" s="39"/>
      <c r="S490" s="39"/>
      <c r="U490" s="39"/>
      <c r="V490" s="39"/>
      <c r="W490" s="39"/>
      <c r="X490" s="39"/>
      <c r="Y490" s="39"/>
      <c r="Z490" s="39"/>
      <c r="AA490" s="39"/>
      <c r="AB490" s="39"/>
    </row>
    <row r="491">
      <c r="C491" s="39"/>
      <c r="J491" s="39"/>
      <c r="K491" s="39"/>
      <c r="O491" s="39"/>
      <c r="Q491" s="39"/>
      <c r="R491" s="39"/>
      <c r="S491" s="39"/>
      <c r="U491" s="39"/>
      <c r="V491" s="39"/>
      <c r="W491" s="39"/>
      <c r="X491" s="39"/>
      <c r="Y491" s="39"/>
      <c r="Z491" s="39"/>
      <c r="AA491" s="39"/>
      <c r="AB491" s="39"/>
    </row>
    <row r="492">
      <c r="C492" s="39"/>
      <c r="J492" s="39"/>
      <c r="K492" s="39"/>
      <c r="O492" s="39"/>
      <c r="Q492" s="39"/>
      <c r="R492" s="39"/>
      <c r="S492" s="39"/>
      <c r="U492" s="39"/>
      <c r="V492" s="39"/>
      <c r="W492" s="39"/>
      <c r="X492" s="39"/>
      <c r="Y492" s="39"/>
      <c r="Z492" s="39"/>
      <c r="AA492" s="39"/>
      <c r="AB492" s="39"/>
    </row>
    <row r="493">
      <c r="C493" s="39"/>
      <c r="J493" s="39"/>
      <c r="K493" s="39"/>
      <c r="O493" s="39"/>
      <c r="Q493" s="39"/>
      <c r="R493" s="39"/>
      <c r="S493" s="39"/>
      <c r="U493" s="39"/>
      <c r="V493" s="39"/>
      <c r="W493" s="39"/>
      <c r="X493" s="39"/>
      <c r="Y493" s="39"/>
      <c r="Z493" s="39"/>
      <c r="AA493" s="39"/>
      <c r="AB493" s="39"/>
    </row>
    <row r="494">
      <c r="C494" s="39"/>
      <c r="J494" s="39"/>
      <c r="K494" s="39"/>
      <c r="O494" s="39"/>
      <c r="Q494" s="39"/>
      <c r="R494" s="39"/>
      <c r="S494" s="39"/>
      <c r="U494" s="39"/>
      <c r="V494" s="39"/>
      <c r="W494" s="39"/>
      <c r="X494" s="39"/>
      <c r="Y494" s="39"/>
      <c r="Z494" s="39"/>
      <c r="AA494" s="39"/>
      <c r="AB494" s="39"/>
    </row>
    <row r="495">
      <c r="C495" s="39"/>
      <c r="J495" s="39"/>
      <c r="K495" s="39"/>
      <c r="O495" s="39"/>
      <c r="Q495" s="39"/>
      <c r="R495" s="39"/>
      <c r="S495" s="39"/>
      <c r="U495" s="39"/>
      <c r="V495" s="39"/>
      <c r="W495" s="39"/>
      <c r="X495" s="39"/>
      <c r="Y495" s="39"/>
      <c r="Z495" s="39"/>
      <c r="AA495" s="39"/>
      <c r="AB495" s="39"/>
    </row>
    <row r="496">
      <c r="C496" s="39"/>
      <c r="J496" s="39"/>
      <c r="K496" s="39"/>
      <c r="O496" s="39"/>
      <c r="Q496" s="39"/>
      <c r="R496" s="39"/>
      <c r="S496" s="39"/>
      <c r="U496" s="39"/>
      <c r="V496" s="39"/>
      <c r="W496" s="39"/>
      <c r="X496" s="39"/>
      <c r="Y496" s="39"/>
      <c r="Z496" s="39"/>
      <c r="AA496" s="39"/>
      <c r="AB496" s="39"/>
    </row>
    <row r="497">
      <c r="C497" s="39"/>
      <c r="J497" s="39"/>
      <c r="K497" s="39"/>
      <c r="O497" s="39"/>
      <c r="Q497" s="39"/>
      <c r="R497" s="39"/>
      <c r="S497" s="39"/>
      <c r="U497" s="39"/>
      <c r="V497" s="39"/>
      <c r="W497" s="39"/>
      <c r="X497" s="39"/>
      <c r="Y497" s="39"/>
      <c r="Z497" s="39"/>
      <c r="AA497" s="39"/>
      <c r="AB497" s="39"/>
    </row>
    <row r="498">
      <c r="C498" s="39"/>
      <c r="J498" s="39"/>
      <c r="K498" s="39"/>
      <c r="O498" s="39"/>
      <c r="Q498" s="39"/>
      <c r="R498" s="39"/>
      <c r="S498" s="39"/>
      <c r="U498" s="39"/>
      <c r="V498" s="39"/>
      <c r="W498" s="39"/>
      <c r="X498" s="39"/>
      <c r="Y498" s="39"/>
      <c r="Z498" s="39"/>
      <c r="AA498" s="39"/>
      <c r="AB498" s="39"/>
    </row>
    <row r="499">
      <c r="C499" s="39"/>
      <c r="J499" s="39"/>
      <c r="K499" s="39"/>
      <c r="O499" s="39"/>
      <c r="Q499" s="39"/>
      <c r="R499" s="39"/>
      <c r="S499" s="39"/>
      <c r="U499" s="39"/>
      <c r="V499" s="39"/>
      <c r="W499" s="39"/>
      <c r="X499" s="39"/>
      <c r="Y499" s="39"/>
      <c r="Z499" s="39"/>
      <c r="AA499" s="39"/>
      <c r="AB499" s="39"/>
    </row>
    <row r="500">
      <c r="C500" s="39"/>
      <c r="J500" s="39"/>
      <c r="K500" s="39"/>
      <c r="O500" s="39"/>
      <c r="Q500" s="39"/>
      <c r="R500" s="39"/>
      <c r="S500" s="39"/>
      <c r="U500" s="39"/>
      <c r="V500" s="39"/>
      <c r="W500" s="39"/>
      <c r="X500" s="39"/>
      <c r="Y500" s="39"/>
      <c r="Z500" s="39"/>
      <c r="AA500" s="39"/>
      <c r="AB500" s="39"/>
    </row>
    <row r="501">
      <c r="C501" s="39"/>
      <c r="J501" s="39"/>
      <c r="K501" s="39"/>
      <c r="O501" s="39"/>
      <c r="Q501" s="39"/>
      <c r="R501" s="39"/>
      <c r="S501" s="39"/>
      <c r="U501" s="39"/>
      <c r="V501" s="39"/>
      <c r="W501" s="39"/>
      <c r="X501" s="39"/>
      <c r="Y501" s="39"/>
      <c r="Z501" s="39"/>
      <c r="AA501" s="39"/>
      <c r="AB501" s="39"/>
    </row>
    <row r="502">
      <c r="C502" s="39"/>
      <c r="J502" s="39"/>
      <c r="K502" s="39"/>
      <c r="O502" s="39"/>
      <c r="Q502" s="39"/>
      <c r="R502" s="39"/>
      <c r="S502" s="39"/>
      <c r="U502" s="39"/>
      <c r="V502" s="39"/>
      <c r="W502" s="39"/>
      <c r="X502" s="39"/>
      <c r="Y502" s="39"/>
      <c r="Z502" s="39"/>
      <c r="AA502" s="39"/>
      <c r="AB502" s="39"/>
    </row>
    <row r="503">
      <c r="C503" s="39"/>
      <c r="J503" s="39"/>
      <c r="K503" s="39"/>
      <c r="O503" s="39"/>
      <c r="Q503" s="39"/>
      <c r="R503" s="39"/>
      <c r="S503" s="39"/>
      <c r="U503" s="39"/>
      <c r="V503" s="39"/>
      <c r="W503" s="39"/>
      <c r="X503" s="39"/>
      <c r="Y503" s="39"/>
      <c r="Z503" s="39"/>
      <c r="AA503" s="39"/>
      <c r="AB503" s="39"/>
    </row>
    <row r="504">
      <c r="C504" s="39"/>
      <c r="J504" s="39"/>
      <c r="K504" s="39"/>
      <c r="O504" s="39"/>
      <c r="Q504" s="39"/>
      <c r="R504" s="39"/>
      <c r="S504" s="39"/>
      <c r="U504" s="39"/>
      <c r="V504" s="39"/>
      <c r="W504" s="39"/>
      <c r="X504" s="39"/>
      <c r="Y504" s="39"/>
      <c r="Z504" s="39"/>
      <c r="AA504" s="39"/>
      <c r="AB504" s="39"/>
    </row>
    <row r="505">
      <c r="C505" s="39"/>
      <c r="J505" s="39"/>
      <c r="K505" s="39"/>
      <c r="O505" s="39"/>
      <c r="Q505" s="39"/>
      <c r="R505" s="39"/>
      <c r="S505" s="39"/>
      <c r="U505" s="39"/>
      <c r="V505" s="39"/>
      <c r="W505" s="39"/>
      <c r="X505" s="39"/>
      <c r="Y505" s="39"/>
      <c r="Z505" s="39"/>
      <c r="AA505" s="39"/>
      <c r="AB505" s="39"/>
    </row>
    <row r="506">
      <c r="C506" s="39"/>
      <c r="J506" s="39"/>
      <c r="K506" s="39"/>
      <c r="O506" s="39"/>
      <c r="Q506" s="39"/>
      <c r="R506" s="39"/>
      <c r="S506" s="39"/>
      <c r="U506" s="39"/>
      <c r="V506" s="39"/>
      <c r="W506" s="39"/>
      <c r="X506" s="39"/>
      <c r="Y506" s="39"/>
      <c r="Z506" s="39"/>
      <c r="AA506" s="39"/>
      <c r="AB506" s="39"/>
    </row>
    <row r="507">
      <c r="C507" s="39"/>
      <c r="J507" s="39"/>
      <c r="K507" s="39"/>
      <c r="O507" s="39"/>
      <c r="Q507" s="39"/>
      <c r="R507" s="39"/>
      <c r="S507" s="39"/>
      <c r="U507" s="39"/>
      <c r="V507" s="39"/>
      <c r="W507" s="39"/>
      <c r="X507" s="39"/>
      <c r="Y507" s="39"/>
      <c r="Z507" s="39"/>
      <c r="AA507" s="39"/>
      <c r="AB507" s="39"/>
    </row>
    <row r="508">
      <c r="C508" s="39"/>
      <c r="J508" s="39"/>
      <c r="K508" s="39"/>
      <c r="O508" s="39"/>
      <c r="Q508" s="39"/>
      <c r="R508" s="39"/>
      <c r="S508" s="39"/>
      <c r="U508" s="39"/>
      <c r="V508" s="39"/>
      <c r="W508" s="39"/>
      <c r="X508" s="39"/>
      <c r="Y508" s="39"/>
      <c r="Z508" s="39"/>
      <c r="AA508" s="39"/>
      <c r="AB508" s="39"/>
    </row>
    <row r="509">
      <c r="C509" s="39"/>
      <c r="J509" s="39"/>
      <c r="K509" s="39"/>
      <c r="O509" s="39"/>
      <c r="Q509" s="39"/>
      <c r="R509" s="39"/>
      <c r="S509" s="39"/>
      <c r="U509" s="39"/>
      <c r="V509" s="39"/>
      <c r="W509" s="39"/>
      <c r="X509" s="39"/>
      <c r="Y509" s="39"/>
      <c r="Z509" s="39"/>
      <c r="AA509" s="39"/>
      <c r="AB509" s="39"/>
    </row>
    <row r="510">
      <c r="C510" s="39"/>
      <c r="J510" s="39"/>
      <c r="K510" s="39"/>
      <c r="O510" s="39"/>
      <c r="Q510" s="39"/>
      <c r="R510" s="39"/>
      <c r="S510" s="39"/>
      <c r="U510" s="39"/>
      <c r="V510" s="39"/>
      <c r="W510" s="39"/>
      <c r="X510" s="39"/>
      <c r="Y510" s="39"/>
      <c r="Z510" s="39"/>
      <c r="AA510" s="39"/>
      <c r="AB510" s="39"/>
    </row>
    <row r="511">
      <c r="C511" s="39"/>
      <c r="J511" s="39"/>
      <c r="K511" s="39"/>
      <c r="O511" s="39"/>
      <c r="Q511" s="39"/>
      <c r="R511" s="39"/>
      <c r="S511" s="39"/>
      <c r="U511" s="39"/>
      <c r="V511" s="39"/>
      <c r="W511" s="39"/>
      <c r="X511" s="39"/>
      <c r="Y511" s="39"/>
      <c r="Z511" s="39"/>
      <c r="AA511" s="39"/>
      <c r="AB511" s="39"/>
    </row>
    <row r="512">
      <c r="C512" s="39"/>
      <c r="J512" s="39"/>
      <c r="K512" s="39"/>
      <c r="O512" s="39"/>
      <c r="Q512" s="39"/>
      <c r="R512" s="39"/>
      <c r="S512" s="39"/>
      <c r="U512" s="39"/>
      <c r="V512" s="39"/>
      <c r="W512" s="39"/>
      <c r="X512" s="39"/>
      <c r="Y512" s="39"/>
      <c r="Z512" s="39"/>
      <c r="AA512" s="39"/>
      <c r="AB512" s="39"/>
    </row>
    <row r="513">
      <c r="C513" s="39"/>
      <c r="J513" s="39"/>
      <c r="K513" s="39"/>
      <c r="O513" s="39"/>
      <c r="Q513" s="39"/>
      <c r="R513" s="39"/>
      <c r="S513" s="39"/>
      <c r="U513" s="39"/>
      <c r="V513" s="39"/>
      <c r="W513" s="39"/>
      <c r="X513" s="39"/>
      <c r="Y513" s="39"/>
      <c r="Z513" s="39"/>
      <c r="AA513" s="39"/>
      <c r="AB513" s="39"/>
    </row>
    <row r="514">
      <c r="C514" s="39"/>
      <c r="J514" s="39"/>
      <c r="K514" s="39"/>
      <c r="O514" s="39"/>
      <c r="Q514" s="39"/>
      <c r="R514" s="39"/>
      <c r="S514" s="39"/>
      <c r="U514" s="39"/>
      <c r="V514" s="39"/>
      <c r="W514" s="39"/>
      <c r="X514" s="39"/>
      <c r="Y514" s="39"/>
      <c r="Z514" s="39"/>
      <c r="AA514" s="39"/>
      <c r="AB514" s="39"/>
    </row>
    <row r="515">
      <c r="C515" s="39"/>
      <c r="J515" s="39"/>
      <c r="K515" s="39"/>
      <c r="O515" s="39"/>
      <c r="Q515" s="39"/>
      <c r="R515" s="39"/>
      <c r="S515" s="39"/>
      <c r="U515" s="39"/>
      <c r="V515" s="39"/>
      <c r="W515" s="39"/>
      <c r="X515" s="39"/>
      <c r="Y515" s="39"/>
      <c r="Z515" s="39"/>
      <c r="AA515" s="39"/>
      <c r="AB515" s="39"/>
    </row>
    <row r="516">
      <c r="C516" s="39"/>
      <c r="J516" s="39"/>
      <c r="K516" s="39"/>
      <c r="O516" s="39"/>
      <c r="Q516" s="39"/>
      <c r="R516" s="39"/>
      <c r="S516" s="39"/>
      <c r="U516" s="39"/>
      <c r="V516" s="39"/>
      <c r="W516" s="39"/>
      <c r="X516" s="39"/>
      <c r="Y516" s="39"/>
      <c r="Z516" s="39"/>
      <c r="AA516" s="39"/>
      <c r="AB516" s="39"/>
    </row>
    <row r="517">
      <c r="C517" s="39"/>
      <c r="J517" s="39"/>
      <c r="K517" s="39"/>
      <c r="O517" s="39"/>
      <c r="Q517" s="39"/>
      <c r="R517" s="39"/>
      <c r="S517" s="39"/>
      <c r="U517" s="39"/>
      <c r="V517" s="39"/>
      <c r="W517" s="39"/>
      <c r="X517" s="39"/>
      <c r="Y517" s="39"/>
      <c r="Z517" s="39"/>
      <c r="AA517" s="39"/>
      <c r="AB517" s="39"/>
    </row>
    <row r="518">
      <c r="C518" s="39"/>
      <c r="J518" s="39"/>
      <c r="K518" s="39"/>
      <c r="O518" s="39"/>
      <c r="Q518" s="39"/>
      <c r="R518" s="39"/>
      <c r="S518" s="39"/>
      <c r="U518" s="39"/>
      <c r="V518" s="39"/>
      <c r="W518" s="39"/>
      <c r="X518" s="39"/>
      <c r="Y518" s="39"/>
      <c r="Z518" s="39"/>
      <c r="AA518" s="39"/>
      <c r="AB518" s="39"/>
    </row>
    <row r="519">
      <c r="C519" s="39"/>
      <c r="J519" s="39"/>
      <c r="K519" s="39"/>
      <c r="O519" s="39"/>
      <c r="Q519" s="39"/>
      <c r="R519" s="39"/>
      <c r="S519" s="39"/>
      <c r="U519" s="39"/>
      <c r="V519" s="39"/>
      <c r="W519" s="39"/>
      <c r="X519" s="39"/>
      <c r="Y519" s="39"/>
      <c r="Z519" s="39"/>
      <c r="AA519" s="39"/>
      <c r="AB519" s="39"/>
    </row>
    <row r="520">
      <c r="C520" s="39"/>
      <c r="J520" s="39"/>
      <c r="K520" s="39"/>
      <c r="O520" s="39"/>
      <c r="Q520" s="39"/>
      <c r="R520" s="39"/>
      <c r="S520" s="39"/>
      <c r="U520" s="39"/>
      <c r="V520" s="39"/>
      <c r="W520" s="39"/>
      <c r="X520" s="39"/>
      <c r="Y520" s="39"/>
      <c r="Z520" s="39"/>
      <c r="AA520" s="39"/>
      <c r="AB520" s="39"/>
    </row>
    <row r="521">
      <c r="C521" s="39"/>
      <c r="J521" s="39"/>
      <c r="K521" s="39"/>
      <c r="O521" s="39"/>
      <c r="Q521" s="39"/>
      <c r="R521" s="39"/>
      <c r="S521" s="39"/>
      <c r="U521" s="39"/>
      <c r="V521" s="39"/>
      <c r="W521" s="39"/>
      <c r="X521" s="39"/>
      <c r="Y521" s="39"/>
      <c r="Z521" s="39"/>
      <c r="AA521" s="39"/>
      <c r="AB521" s="39"/>
    </row>
    <row r="522">
      <c r="C522" s="39"/>
      <c r="J522" s="39"/>
      <c r="K522" s="39"/>
      <c r="O522" s="39"/>
      <c r="Q522" s="39"/>
      <c r="R522" s="39"/>
      <c r="S522" s="39"/>
      <c r="U522" s="39"/>
      <c r="V522" s="39"/>
      <c r="W522" s="39"/>
      <c r="X522" s="39"/>
      <c r="Y522" s="39"/>
      <c r="Z522" s="39"/>
      <c r="AA522" s="39"/>
      <c r="AB522" s="39"/>
    </row>
    <row r="523">
      <c r="C523" s="39"/>
      <c r="J523" s="39"/>
      <c r="K523" s="39"/>
      <c r="O523" s="39"/>
      <c r="Q523" s="39"/>
      <c r="R523" s="39"/>
      <c r="S523" s="39"/>
      <c r="U523" s="39"/>
      <c r="V523" s="39"/>
      <c r="W523" s="39"/>
      <c r="X523" s="39"/>
      <c r="Y523" s="39"/>
      <c r="Z523" s="39"/>
      <c r="AA523" s="39"/>
      <c r="AB523" s="39"/>
    </row>
    <row r="524">
      <c r="C524" s="39"/>
      <c r="J524" s="39"/>
      <c r="K524" s="39"/>
      <c r="O524" s="39"/>
      <c r="Q524" s="39"/>
      <c r="R524" s="39"/>
      <c r="S524" s="39"/>
      <c r="U524" s="39"/>
      <c r="V524" s="39"/>
      <c r="W524" s="39"/>
      <c r="X524" s="39"/>
      <c r="Y524" s="39"/>
      <c r="Z524" s="39"/>
      <c r="AA524" s="39"/>
      <c r="AB524" s="39"/>
    </row>
    <row r="525">
      <c r="C525" s="39"/>
      <c r="J525" s="39"/>
      <c r="K525" s="39"/>
      <c r="O525" s="39"/>
      <c r="Q525" s="39"/>
      <c r="R525" s="39"/>
      <c r="S525" s="39"/>
      <c r="U525" s="39"/>
      <c r="V525" s="39"/>
      <c r="W525" s="39"/>
      <c r="X525" s="39"/>
      <c r="Y525" s="39"/>
      <c r="Z525" s="39"/>
      <c r="AA525" s="39"/>
      <c r="AB525" s="39"/>
    </row>
    <row r="526">
      <c r="C526" s="39"/>
      <c r="J526" s="39"/>
      <c r="K526" s="39"/>
      <c r="O526" s="39"/>
      <c r="Q526" s="39"/>
      <c r="R526" s="39"/>
      <c r="S526" s="39"/>
      <c r="U526" s="39"/>
      <c r="V526" s="39"/>
      <c r="W526" s="39"/>
      <c r="X526" s="39"/>
      <c r="Y526" s="39"/>
      <c r="Z526" s="39"/>
      <c r="AA526" s="39"/>
      <c r="AB526" s="39"/>
    </row>
    <row r="527">
      <c r="C527" s="39"/>
      <c r="J527" s="39"/>
      <c r="K527" s="39"/>
      <c r="O527" s="39"/>
      <c r="Q527" s="39"/>
      <c r="R527" s="39"/>
      <c r="S527" s="39"/>
      <c r="U527" s="39"/>
      <c r="V527" s="39"/>
      <c r="W527" s="39"/>
      <c r="X527" s="39"/>
      <c r="Y527" s="39"/>
      <c r="Z527" s="39"/>
      <c r="AA527" s="39"/>
      <c r="AB527" s="39"/>
    </row>
    <row r="528">
      <c r="C528" s="39"/>
      <c r="J528" s="39"/>
      <c r="K528" s="39"/>
      <c r="O528" s="39"/>
      <c r="Q528" s="39"/>
      <c r="R528" s="39"/>
      <c r="S528" s="39"/>
      <c r="U528" s="39"/>
      <c r="V528" s="39"/>
      <c r="W528" s="39"/>
      <c r="X528" s="39"/>
      <c r="Y528" s="39"/>
      <c r="Z528" s="39"/>
      <c r="AA528" s="39"/>
      <c r="AB528" s="39"/>
    </row>
    <row r="529">
      <c r="C529" s="39"/>
      <c r="J529" s="39"/>
      <c r="K529" s="39"/>
      <c r="O529" s="39"/>
      <c r="Q529" s="39"/>
      <c r="R529" s="39"/>
      <c r="S529" s="39"/>
      <c r="U529" s="39"/>
      <c r="V529" s="39"/>
      <c r="W529" s="39"/>
      <c r="X529" s="39"/>
      <c r="Y529" s="39"/>
      <c r="Z529" s="39"/>
      <c r="AA529" s="39"/>
      <c r="AB529" s="39"/>
    </row>
    <row r="530">
      <c r="C530" s="39"/>
      <c r="J530" s="39"/>
      <c r="K530" s="39"/>
      <c r="O530" s="39"/>
      <c r="Q530" s="39"/>
      <c r="R530" s="39"/>
      <c r="S530" s="39"/>
      <c r="U530" s="39"/>
      <c r="V530" s="39"/>
      <c r="W530" s="39"/>
      <c r="X530" s="39"/>
      <c r="Y530" s="39"/>
      <c r="Z530" s="39"/>
      <c r="AA530" s="39"/>
      <c r="AB530" s="39"/>
    </row>
    <row r="531">
      <c r="C531" s="39"/>
      <c r="J531" s="39"/>
      <c r="K531" s="39"/>
      <c r="O531" s="39"/>
      <c r="Q531" s="39"/>
      <c r="R531" s="39"/>
      <c r="S531" s="39"/>
      <c r="U531" s="39"/>
      <c r="V531" s="39"/>
      <c r="W531" s="39"/>
      <c r="X531" s="39"/>
      <c r="Y531" s="39"/>
      <c r="Z531" s="39"/>
      <c r="AA531" s="39"/>
      <c r="AB531" s="39"/>
    </row>
    <row r="532">
      <c r="C532" s="39"/>
      <c r="J532" s="39"/>
      <c r="K532" s="39"/>
      <c r="O532" s="39"/>
      <c r="Q532" s="39"/>
      <c r="R532" s="39"/>
      <c r="S532" s="39"/>
      <c r="U532" s="39"/>
      <c r="V532" s="39"/>
      <c r="W532" s="39"/>
      <c r="X532" s="39"/>
      <c r="Y532" s="39"/>
      <c r="Z532" s="39"/>
      <c r="AA532" s="39"/>
      <c r="AB532" s="39"/>
    </row>
    <row r="533">
      <c r="C533" s="39"/>
      <c r="J533" s="39"/>
      <c r="K533" s="39"/>
      <c r="O533" s="39"/>
      <c r="Q533" s="39"/>
      <c r="R533" s="39"/>
      <c r="S533" s="39"/>
      <c r="U533" s="39"/>
      <c r="V533" s="39"/>
      <c r="W533" s="39"/>
      <c r="X533" s="39"/>
      <c r="Y533" s="39"/>
      <c r="Z533" s="39"/>
      <c r="AA533" s="39"/>
      <c r="AB533" s="39"/>
    </row>
    <row r="534">
      <c r="C534" s="39"/>
      <c r="J534" s="39"/>
      <c r="K534" s="39"/>
      <c r="O534" s="39"/>
      <c r="Q534" s="39"/>
      <c r="R534" s="39"/>
      <c r="S534" s="39"/>
      <c r="U534" s="39"/>
      <c r="V534" s="39"/>
      <c r="W534" s="39"/>
      <c r="X534" s="39"/>
      <c r="Y534" s="39"/>
      <c r="Z534" s="39"/>
      <c r="AA534" s="39"/>
      <c r="AB534" s="39"/>
    </row>
    <row r="535">
      <c r="C535" s="39"/>
      <c r="J535" s="39"/>
      <c r="K535" s="39"/>
      <c r="O535" s="39"/>
      <c r="Q535" s="39"/>
      <c r="R535" s="39"/>
      <c r="S535" s="39"/>
      <c r="U535" s="39"/>
      <c r="V535" s="39"/>
      <c r="W535" s="39"/>
      <c r="X535" s="39"/>
      <c r="Y535" s="39"/>
      <c r="Z535" s="39"/>
      <c r="AA535" s="39"/>
      <c r="AB535" s="39"/>
    </row>
    <row r="536">
      <c r="C536" s="39"/>
      <c r="J536" s="39"/>
      <c r="K536" s="39"/>
      <c r="O536" s="39"/>
      <c r="Q536" s="39"/>
      <c r="R536" s="39"/>
      <c r="S536" s="39"/>
      <c r="U536" s="39"/>
      <c r="V536" s="39"/>
      <c r="W536" s="39"/>
      <c r="X536" s="39"/>
      <c r="Y536" s="39"/>
      <c r="Z536" s="39"/>
      <c r="AA536" s="39"/>
      <c r="AB536" s="39"/>
    </row>
    <row r="537">
      <c r="C537" s="39"/>
      <c r="J537" s="39"/>
      <c r="K537" s="39"/>
      <c r="O537" s="39"/>
      <c r="Q537" s="39"/>
      <c r="R537" s="39"/>
      <c r="S537" s="39"/>
      <c r="U537" s="39"/>
      <c r="V537" s="39"/>
      <c r="W537" s="39"/>
      <c r="X537" s="39"/>
      <c r="Y537" s="39"/>
      <c r="Z537" s="39"/>
      <c r="AA537" s="39"/>
      <c r="AB537" s="39"/>
    </row>
    <row r="538">
      <c r="C538" s="39"/>
      <c r="J538" s="39"/>
      <c r="K538" s="39"/>
      <c r="O538" s="39"/>
      <c r="Q538" s="39"/>
      <c r="R538" s="39"/>
      <c r="S538" s="39"/>
      <c r="U538" s="39"/>
      <c r="V538" s="39"/>
      <c r="W538" s="39"/>
      <c r="X538" s="39"/>
      <c r="Y538" s="39"/>
      <c r="Z538" s="39"/>
      <c r="AA538" s="39"/>
      <c r="AB538" s="39"/>
    </row>
    <row r="539">
      <c r="C539" s="39"/>
      <c r="J539" s="39"/>
      <c r="K539" s="39"/>
      <c r="O539" s="39"/>
      <c r="Q539" s="39"/>
      <c r="R539" s="39"/>
      <c r="S539" s="39"/>
      <c r="U539" s="39"/>
      <c r="V539" s="39"/>
      <c r="W539" s="39"/>
      <c r="X539" s="39"/>
      <c r="Y539" s="39"/>
      <c r="Z539" s="39"/>
      <c r="AA539" s="39"/>
      <c r="AB539" s="39"/>
    </row>
    <row r="540">
      <c r="C540" s="39"/>
      <c r="J540" s="39"/>
      <c r="K540" s="39"/>
      <c r="O540" s="39"/>
      <c r="Q540" s="39"/>
      <c r="R540" s="39"/>
      <c r="S540" s="39"/>
      <c r="U540" s="39"/>
      <c r="V540" s="39"/>
      <c r="W540" s="39"/>
      <c r="X540" s="39"/>
      <c r="Y540" s="39"/>
      <c r="Z540" s="39"/>
      <c r="AA540" s="39"/>
      <c r="AB540" s="39"/>
    </row>
    <row r="541">
      <c r="C541" s="39"/>
      <c r="J541" s="39"/>
      <c r="K541" s="39"/>
      <c r="O541" s="39"/>
      <c r="Q541" s="39"/>
      <c r="R541" s="39"/>
      <c r="S541" s="39"/>
      <c r="U541" s="39"/>
      <c r="V541" s="39"/>
      <c r="W541" s="39"/>
      <c r="X541" s="39"/>
      <c r="Y541" s="39"/>
      <c r="Z541" s="39"/>
      <c r="AA541" s="39"/>
      <c r="AB541" s="39"/>
    </row>
    <row r="542">
      <c r="C542" s="39"/>
      <c r="J542" s="39"/>
      <c r="K542" s="39"/>
      <c r="O542" s="39"/>
      <c r="Q542" s="39"/>
      <c r="R542" s="39"/>
      <c r="S542" s="39"/>
      <c r="U542" s="39"/>
      <c r="V542" s="39"/>
      <c r="W542" s="39"/>
      <c r="X542" s="39"/>
      <c r="Y542" s="39"/>
      <c r="Z542" s="39"/>
      <c r="AA542" s="39"/>
      <c r="AB542" s="39"/>
    </row>
    <row r="543">
      <c r="C543" s="39"/>
      <c r="J543" s="39"/>
      <c r="K543" s="39"/>
      <c r="O543" s="39"/>
      <c r="Q543" s="39"/>
      <c r="R543" s="39"/>
      <c r="S543" s="39"/>
      <c r="U543" s="39"/>
      <c r="V543" s="39"/>
      <c r="W543" s="39"/>
      <c r="X543" s="39"/>
      <c r="Y543" s="39"/>
      <c r="Z543" s="39"/>
      <c r="AA543" s="39"/>
      <c r="AB543" s="39"/>
    </row>
    <row r="544">
      <c r="C544" s="39"/>
      <c r="J544" s="39"/>
      <c r="K544" s="39"/>
      <c r="O544" s="39"/>
      <c r="Q544" s="39"/>
      <c r="R544" s="39"/>
      <c r="S544" s="39"/>
      <c r="U544" s="39"/>
      <c r="V544" s="39"/>
      <c r="W544" s="39"/>
      <c r="X544" s="39"/>
      <c r="Y544" s="39"/>
      <c r="Z544" s="39"/>
      <c r="AA544" s="39"/>
      <c r="AB544" s="39"/>
    </row>
    <row r="545">
      <c r="C545" s="39"/>
      <c r="J545" s="39"/>
      <c r="K545" s="39"/>
      <c r="O545" s="39"/>
      <c r="Q545" s="39"/>
      <c r="R545" s="39"/>
      <c r="S545" s="39"/>
      <c r="U545" s="39"/>
      <c r="V545" s="39"/>
      <c r="W545" s="39"/>
      <c r="X545" s="39"/>
      <c r="Y545" s="39"/>
      <c r="Z545" s="39"/>
      <c r="AA545" s="39"/>
      <c r="AB545" s="39"/>
    </row>
    <row r="546">
      <c r="C546" s="39"/>
      <c r="J546" s="39"/>
      <c r="K546" s="39"/>
      <c r="O546" s="39"/>
      <c r="Q546" s="39"/>
      <c r="R546" s="39"/>
      <c r="S546" s="39"/>
      <c r="U546" s="39"/>
      <c r="V546" s="39"/>
      <c r="W546" s="39"/>
      <c r="X546" s="39"/>
      <c r="Y546" s="39"/>
      <c r="Z546" s="39"/>
      <c r="AA546" s="39"/>
      <c r="AB546" s="39"/>
    </row>
    <row r="547">
      <c r="C547" s="39"/>
      <c r="J547" s="39"/>
      <c r="K547" s="39"/>
      <c r="O547" s="39"/>
      <c r="Q547" s="39"/>
      <c r="R547" s="39"/>
      <c r="S547" s="39"/>
      <c r="U547" s="39"/>
      <c r="V547" s="39"/>
      <c r="W547" s="39"/>
      <c r="X547" s="39"/>
      <c r="Y547" s="39"/>
      <c r="Z547" s="39"/>
      <c r="AA547" s="39"/>
      <c r="AB547" s="39"/>
    </row>
    <row r="548">
      <c r="C548" s="39"/>
      <c r="J548" s="39"/>
      <c r="K548" s="39"/>
      <c r="O548" s="39"/>
      <c r="Q548" s="39"/>
      <c r="R548" s="39"/>
      <c r="S548" s="39"/>
      <c r="U548" s="39"/>
      <c r="V548" s="39"/>
      <c r="W548" s="39"/>
      <c r="X548" s="39"/>
      <c r="Y548" s="39"/>
      <c r="Z548" s="39"/>
      <c r="AA548" s="39"/>
      <c r="AB548" s="39"/>
    </row>
    <row r="549">
      <c r="C549" s="39"/>
      <c r="J549" s="39"/>
      <c r="K549" s="39"/>
      <c r="O549" s="39"/>
      <c r="Q549" s="39"/>
      <c r="R549" s="39"/>
      <c r="S549" s="39"/>
      <c r="U549" s="39"/>
      <c r="V549" s="39"/>
      <c r="W549" s="39"/>
      <c r="X549" s="39"/>
      <c r="Y549" s="39"/>
      <c r="Z549" s="39"/>
      <c r="AA549" s="39"/>
      <c r="AB549" s="39"/>
    </row>
    <row r="550">
      <c r="C550" s="39"/>
      <c r="J550" s="39"/>
      <c r="K550" s="39"/>
      <c r="O550" s="39"/>
      <c r="Q550" s="39"/>
      <c r="R550" s="39"/>
      <c r="S550" s="39"/>
      <c r="U550" s="39"/>
      <c r="V550" s="39"/>
      <c r="W550" s="39"/>
      <c r="X550" s="39"/>
      <c r="Y550" s="39"/>
      <c r="Z550" s="39"/>
      <c r="AA550" s="39"/>
      <c r="AB550" s="39"/>
    </row>
    <row r="551">
      <c r="C551" s="39"/>
      <c r="J551" s="39"/>
      <c r="K551" s="39"/>
      <c r="O551" s="39"/>
      <c r="Q551" s="39"/>
      <c r="R551" s="39"/>
      <c r="S551" s="39"/>
      <c r="U551" s="39"/>
      <c r="V551" s="39"/>
      <c r="W551" s="39"/>
      <c r="X551" s="39"/>
      <c r="Y551" s="39"/>
      <c r="Z551" s="39"/>
      <c r="AA551" s="39"/>
      <c r="AB551" s="39"/>
    </row>
    <row r="552">
      <c r="C552" s="39"/>
      <c r="J552" s="39"/>
      <c r="K552" s="39"/>
      <c r="O552" s="39"/>
      <c r="Q552" s="39"/>
      <c r="R552" s="39"/>
      <c r="S552" s="39"/>
      <c r="U552" s="39"/>
      <c r="V552" s="39"/>
      <c r="W552" s="39"/>
      <c r="X552" s="39"/>
      <c r="Y552" s="39"/>
      <c r="Z552" s="39"/>
      <c r="AA552" s="39"/>
      <c r="AB552" s="39"/>
    </row>
    <row r="553">
      <c r="C553" s="39"/>
      <c r="J553" s="39"/>
      <c r="K553" s="39"/>
      <c r="O553" s="39"/>
      <c r="Q553" s="39"/>
      <c r="R553" s="39"/>
      <c r="S553" s="39"/>
      <c r="U553" s="39"/>
      <c r="V553" s="39"/>
      <c r="W553" s="39"/>
      <c r="X553" s="39"/>
      <c r="Y553" s="39"/>
      <c r="Z553" s="39"/>
      <c r="AA553" s="39"/>
      <c r="AB553" s="39"/>
    </row>
    <row r="554">
      <c r="C554" s="39"/>
      <c r="J554" s="39"/>
      <c r="K554" s="39"/>
      <c r="O554" s="39"/>
      <c r="Q554" s="39"/>
      <c r="R554" s="39"/>
      <c r="S554" s="39"/>
      <c r="U554" s="39"/>
      <c r="V554" s="39"/>
      <c r="W554" s="39"/>
      <c r="X554" s="39"/>
      <c r="Y554" s="39"/>
      <c r="Z554" s="39"/>
      <c r="AA554" s="39"/>
      <c r="AB554" s="39"/>
    </row>
    <row r="555">
      <c r="C555" s="39"/>
      <c r="J555" s="39"/>
      <c r="K555" s="39"/>
      <c r="O555" s="39"/>
      <c r="Q555" s="39"/>
      <c r="R555" s="39"/>
      <c r="S555" s="39"/>
      <c r="U555" s="39"/>
      <c r="V555" s="39"/>
      <c r="W555" s="39"/>
      <c r="X555" s="39"/>
      <c r="Y555" s="39"/>
      <c r="Z555" s="39"/>
      <c r="AA555" s="39"/>
      <c r="AB555" s="39"/>
    </row>
    <row r="556">
      <c r="C556" s="39"/>
      <c r="J556" s="39"/>
      <c r="K556" s="39"/>
      <c r="O556" s="39"/>
      <c r="Q556" s="39"/>
      <c r="R556" s="39"/>
      <c r="S556" s="39"/>
      <c r="U556" s="39"/>
      <c r="V556" s="39"/>
      <c r="W556" s="39"/>
      <c r="X556" s="39"/>
      <c r="Y556" s="39"/>
      <c r="Z556" s="39"/>
      <c r="AA556" s="39"/>
      <c r="AB556" s="39"/>
    </row>
    <row r="557">
      <c r="C557" s="39"/>
      <c r="J557" s="39"/>
      <c r="K557" s="39"/>
      <c r="O557" s="39"/>
      <c r="Q557" s="39"/>
      <c r="R557" s="39"/>
      <c r="S557" s="39"/>
      <c r="U557" s="39"/>
      <c r="V557" s="39"/>
      <c r="W557" s="39"/>
      <c r="X557" s="39"/>
      <c r="Y557" s="39"/>
      <c r="Z557" s="39"/>
      <c r="AA557" s="39"/>
      <c r="AB557" s="39"/>
    </row>
    <row r="558">
      <c r="C558" s="39"/>
      <c r="J558" s="39"/>
      <c r="K558" s="39"/>
      <c r="O558" s="39"/>
      <c r="Q558" s="39"/>
      <c r="R558" s="39"/>
      <c r="S558" s="39"/>
      <c r="U558" s="39"/>
      <c r="V558" s="39"/>
      <c r="W558" s="39"/>
      <c r="X558" s="39"/>
      <c r="Y558" s="39"/>
      <c r="Z558" s="39"/>
      <c r="AA558" s="39"/>
      <c r="AB558" s="39"/>
    </row>
    <row r="559">
      <c r="C559" s="39"/>
      <c r="J559" s="39"/>
      <c r="K559" s="39"/>
      <c r="O559" s="39"/>
      <c r="Q559" s="39"/>
      <c r="R559" s="39"/>
      <c r="S559" s="39"/>
      <c r="U559" s="39"/>
      <c r="V559" s="39"/>
      <c r="W559" s="39"/>
      <c r="X559" s="39"/>
      <c r="Y559" s="39"/>
      <c r="Z559" s="39"/>
      <c r="AA559" s="39"/>
      <c r="AB559" s="39"/>
    </row>
    <row r="560">
      <c r="C560" s="39"/>
      <c r="J560" s="39"/>
      <c r="K560" s="39"/>
      <c r="O560" s="39"/>
      <c r="Q560" s="39"/>
      <c r="R560" s="39"/>
      <c r="S560" s="39"/>
      <c r="U560" s="39"/>
      <c r="V560" s="39"/>
      <c r="W560" s="39"/>
      <c r="X560" s="39"/>
      <c r="Y560" s="39"/>
      <c r="Z560" s="39"/>
      <c r="AA560" s="39"/>
      <c r="AB560" s="39"/>
    </row>
    <row r="561">
      <c r="C561" s="39"/>
      <c r="J561" s="39"/>
      <c r="K561" s="39"/>
      <c r="O561" s="39"/>
      <c r="Q561" s="39"/>
      <c r="R561" s="39"/>
      <c r="S561" s="39"/>
      <c r="U561" s="39"/>
      <c r="V561" s="39"/>
      <c r="W561" s="39"/>
      <c r="X561" s="39"/>
      <c r="Y561" s="39"/>
      <c r="Z561" s="39"/>
      <c r="AA561" s="39"/>
      <c r="AB561" s="39"/>
    </row>
    <row r="562">
      <c r="C562" s="39"/>
      <c r="J562" s="39"/>
      <c r="K562" s="39"/>
      <c r="O562" s="39"/>
      <c r="Q562" s="39"/>
      <c r="R562" s="39"/>
      <c r="S562" s="39"/>
      <c r="U562" s="39"/>
      <c r="V562" s="39"/>
      <c r="W562" s="39"/>
      <c r="X562" s="39"/>
      <c r="Y562" s="39"/>
      <c r="Z562" s="39"/>
      <c r="AA562" s="39"/>
      <c r="AB562" s="39"/>
    </row>
    <row r="563">
      <c r="C563" s="39"/>
      <c r="J563" s="39"/>
      <c r="K563" s="39"/>
      <c r="O563" s="39"/>
      <c r="Q563" s="39"/>
      <c r="R563" s="39"/>
      <c r="S563" s="39"/>
      <c r="U563" s="39"/>
      <c r="V563" s="39"/>
      <c r="W563" s="39"/>
      <c r="X563" s="39"/>
      <c r="Y563" s="39"/>
      <c r="Z563" s="39"/>
      <c r="AA563" s="39"/>
      <c r="AB563" s="39"/>
    </row>
    <row r="564">
      <c r="C564" s="39"/>
      <c r="J564" s="39"/>
      <c r="K564" s="39"/>
      <c r="O564" s="39"/>
      <c r="Q564" s="39"/>
      <c r="R564" s="39"/>
      <c r="S564" s="39"/>
      <c r="U564" s="39"/>
      <c r="V564" s="39"/>
      <c r="W564" s="39"/>
      <c r="X564" s="39"/>
      <c r="Y564" s="39"/>
      <c r="Z564" s="39"/>
      <c r="AA564" s="39"/>
      <c r="AB564" s="39"/>
    </row>
    <row r="565">
      <c r="C565" s="39"/>
      <c r="J565" s="39"/>
      <c r="K565" s="39"/>
      <c r="O565" s="39"/>
      <c r="Q565" s="39"/>
      <c r="R565" s="39"/>
      <c r="S565" s="39"/>
      <c r="U565" s="39"/>
      <c r="V565" s="39"/>
      <c r="W565" s="39"/>
      <c r="X565" s="39"/>
      <c r="Y565" s="39"/>
      <c r="Z565" s="39"/>
      <c r="AA565" s="39"/>
      <c r="AB565" s="39"/>
    </row>
    <row r="566">
      <c r="C566" s="39"/>
      <c r="J566" s="39"/>
      <c r="K566" s="39"/>
      <c r="O566" s="39"/>
      <c r="Q566" s="39"/>
      <c r="R566" s="39"/>
      <c r="S566" s="39"/>
      <c r="U566" s="39"/>
      <c r="V566" s="39"/>
      <c r="W566" s="39"/>
      <c r="X566" s="39"/>
      <c r="Y566" s="39"/>
      <c r="Z566" s="39"/>
      <c r="AA566" s="39"/>
      <c r="AB566" s="39"/>
    </row>
    <row r="567">
      <c r="C567" s="39"/>
      <c r="J567" s="39"/>
      <c r="K567" s="39"/>
      <c r="O567" s="39"/>
      <c r="Q567" s="39"/>
      <c r="R567" s="39"/>
      <c r="S567" s="39"/>
      <c r="U567" s="39"/>
      <c r="V567" s="39"/>
      <c r="W567" s="39"/>
      <c r="X567" s="39"/>
      <c r="Y567" s="39"/>
      <c r="Z567" s="39"/>
      <c r="AA567" s="39"/>
      <c r="AB567" s="39"/>
    </row>
    <row r="568">
      <c r="C568" s="39"/>
      <c r="J568" s="39"/>
      <c r="K568" s="39"/>
      <c r="O568" s="39"/>
      <c r="Q568" s="39"/>
      <c r="R568" s="39"/>
      <c r="S568" s="39"/>
      <c r="U568" s="39"/>
      <c r="V568" s="39"/>
      <c r="W568" s="39"/>
      <c r="X568" s="39"/>
      <c r="Y568" s="39"/>
      <c r="Z568" s="39"/>
      <c r="AA568" s="39"/>
      <c r="AB568" s="39"/>
    </row>
    <row r="569">
      <c r="C569" s="39"/>
      <c r="J569" s="39"/>
      <c r="K569" s="39"/>
      <c r="O569" s="39"/>
      <c r="Q569" s="39"/>
      <c r="R569" s="39"/>
      <c r="S569" s="39"/>
      <c r="U569" s="39"/>
      <c r="V569" s="39"/>
      <c r="W569" s="39"/>
      <c r="X569" s="39"/>
      <c r="Y569" s="39"/>
      <c r="Z569" s="39"/>
      <c r="AA569" s="39"/>
      <c r="AB569" s="39"/>
    </row>
    <row r="570">
      <c r="C570" s="39"/>
      <c r="J570" s="39"/>
      <c r="K570" s="39"/>
      <c r="O570" s="39"/>
      <c r="Q570" s="39"/>
      <c r="R570" s="39"/>
      <c r="S570" s="39"/>
      <c r="U570" s="39"/>
      <c r="V570" s="39"/>
      <c r="W570" s="39"/>
      <c r="X570" s="39"/>
      <c r="Y570" s="39"/>
      <c r="Z570" s="39"/>
      <c r="AA570" s="39"/>
      <c r="AB570" s="39"/>
    </row>
    <row r="571">
      <c r="C571" s="39"/>
      <c r="J571" s="39"/>
      <c r="K571" s="39"/>
      <c r="O571" s="39"/>
      <c r="Q571" s="39"/>
      <c r="R571" s="39"/>
      <c r="S571" s="39"/>
      <c r="U571" s="39"/>
      <c r="V571" s="39"/>
      <c r="W571" s="39"/>
      <c r="X571" s="39"/>
      <c r="Y571" s="39"/>
      <c r="Z571" s="39"/>
      <c r="AA571" s="39"/>
      <c r="AB571" s="39"/>
    </row>
    <row r="572">
      <c r="C572" s="39"/>
      <c r="J572" s="39"/>
      <c r="K572" s="39"/>
      <c r="O572" s="39"/>
      <c r="Q572" s="39"/>
      <c r="R572" s="39"/>
      <c r="S572" s="39"/>
      <c r="U572" s="39"/>
      <c r="V572" s="39"/>
      <c r="W572" s="39"/>
      <c r="X572" s="39"/>
      <c r="Y572" s="39"/>
      <c r="Z572" s="39"/>
      <c r="AA572" s="39"/>
      <c r="AB572" s="39"/>
    </row>
    <row r="573">
      <c r="C573" s="39"/>
      <c r="J573" s="39"/>
      <c r="K573" s="39"/>
      <c r="O573" s="39"/>
      <c r="Q573" s="39"/>
      <c r="R573" s="39"/>
      <c r="S573" s="39"/>
      <c r="U573" s="39"/>
      <c r="V573" s="39"/>
      <c r="W573" s="39"/>
      <c r="X573" s="39"/>
      <c r="Y573" s="39"/>
      <c r="Z573" s="39"/>
      <c r="AA573" s="39"/>
      <c r="AB573" s="39"/>
    </row>
    <row r="574">
      <c r="C574" s="39"/>
      <c r="J574" s="39"/>
      <c r="K574" s="39"/>
      <c r="O574" s="39"/>
      <c r="Q574" s="39"/>
      <c r="R574" s="39"/>
      <c r="S574" s="39"/>
      <c r="U574" s="39"/>
      <c r="V574" s="39"/>
      <c r="W574" s="39"/>
      <c r="X574" s="39"/>
      <c r="Y574" s="39"/>
      <c r="Z574" s="39"/>
      <c r="AA574" s="39"/>
      <c r="AB574" s="39"/>
    </row>
    <row r="575">
      <c r="C575" s="39"/>
      <c r="J575" s="39"/>
      <c r="K575" s="39"/>
      <c r="O575" s="39"/>
      <c r="Q575" s="39"/>
      <c r="R575" s="39"/>
      <c r="S575" s="39"/>
      <c r="U575" s="39"/>
      <c r="V575" s="39"/>
      <c r="W575" s="39"/>
      <c r="X575" s="39"/>
      <c r="Y575" s="39"/>
      <c r="Z575" s="39"/>
      <c r="AA575" s="39"/>
      <c r="AB575" s="39"/>
    </row>
    <row r="576">
      <c r="C576" s="39"/>
      <c r="J576" s="39"/>
      <c r="K576" s="39"/>
      <c r="O576" s="39"/>
      <c r="Q576" s="39"/>
      <c r="R576" s="39"/>
      <c r="S576" s="39"/>
      <c r="U576" s="39"/>
      <c r="V576" s="39"/>
      <c r="W576" s="39"/>
      <c r="X576" s="39"/>
      <c r="Y576" s="39"/>
      <c r="Z576" s="39"/>
      <c r="AA576" s="39"/>
      <c r="AB576" s="39"/>
    </row>
    <row r="577">
      <c r="C577" s="39"/>
      <c r="J577" s="39"/>
      <c r="K577" s="39"/>
      <c r="O577" s="39"/>
      <c r="Q577" s="39"/>
      <c r="R577" s="39"/>
      <c r="S577" s="39"/>
      <c r="U577" s="39"/>
      <c r="V577" s="39"/>
      <c r="W577" s="39"/>
      <c r="X577" s="39"/>
      <c r="Y577" s="39"/>
      <c r="Z577" s="39"/>
      <c r="AA577" s="39"/>
      <c r="AB577" s="39"/>
    </row>
    <row r="578">
      <c r="C578" s="39"/>
      <c r="J578" s="39"/>
      <c r="K578" s="39"/>
      <c r="O578" s="39"/>
      <c r="Q578" s="39"/>
      <c r="R578" s="39"/>
      <c r="S578" s="39"/>
      <c r="U578" s="39"/>
      <c r="V578" s="39"/>
      <c r="W578" s="39"/>
      <c r="X578" s="39"/>
      <c r="Y578" s="39"/>
      <c r="Z578" s="39"/>
      <c r="AA578" s="39"/>
      <c r="AB578" s="39"/>
    </row>
    <row r="579">
      <c r="C579" s="39"/>
      <c r="J579" s="39"/>
      <c r="K579" s="39"/>
      <c r="O579" s="39"/>
      <c r="Q579" s="39"/>
      <c r="R579" s="39"/>
      <c r="S579" s="39"/>
      <c r="U579" s="39"/>
      <c r="V579" s="39"/>
      <c r="W579" s="39"/>
      <c r="X579" s="39"/>
      <c r="Y579" s="39"/>
      <c r="Z579" s="39"/>
      <c r="AA579" s="39"/>
      <c r="AB579" s="39"/>
    </row>
    <row r="580">
      <c r="C580" s="39"/>
      <c r="J580" s="39"/>
      <c r="K580" s="39"/>
      <c r="O580" s="39"/>
      <c r="Q580" s="39"/>
      <c r="R580" s="39"/>
      <c r="S580" s="39"/>
      <c r="U580" s="39"/>
      <c r="V580" s="39"/>
      <c r="W580" s="39"/>
      <c r="X580" s="39"/>
      <c r="Y580" s="39"/>
      <c r="Z580" s="39"/>
      <c r="AA580" s="39"/>
      <c r="AB580" s="39"/>
    </row>
    <row r="581">
      <c r="C581" s="39"/>
      <c r="J581" s="39"/>
      <c r="K581" s="39"/>
      <c r="O581" s="39"/>
      <c r="Q581" s="39"/>
      <c r="R581" s="39"/>
      <c r="S581" s="39"/>
      <c r="U581" s="39"/>
      <c r="V581" s="39"/>
      <c r="W581" s="39"/>
      <c r="X581" s="39"/>
      <c r="Y581" s="39"/>
      <c r="Z581" s="39"/>
      <c r="AA581" s="39"/>
      <c r="AB581" s="39"/>
    </row>
    <row r="582">
      <c r="C582" s="39"/>
      <c r="J582" s="39"/>
      <c r="K582" s="39"/>
      <c r="O582" s="39"/>
      <c r="Q582" s="39"/>
      <c r="R582" s="39"/>
      <c r="S582" s="39"/>
      <c r="U582" s="39"/>
      <c r="V582" s="39"/>
      <c r="W582" s="39"/>
      <c r="X582" s="39"/>
      <c r="Y582" s="39"/>
      <c r="Z582" s="39"/>
      <c r="AA582" s="39"/>
      <c r="AB582" s="39"/>
    </row>
    <row r="583">
      <c r="C583" s="39"/>
      <c r="J583" s="39"/>
      <c r="K583" s="39"/>
      <c r="O583" s="39"/>
      <c r="Q583" s="39"/>
      <c r="R583" s="39"/>
      <c r="S583" s="39"/>
      <c r="U583" s="39"/>
      <c r="V583" s="39"/>
      <c r="W583" s="39"/>
      <c r="X583" s="39"/>
      <c r="Y583" s="39"/>
      <c r="Z583" s="39"/>
      <c r="AA583" s="39"/>
      <c r="AB583" s="39"/>
    </row>
    <row r="584">
      <c r="C584" s="39"/>
      <c r="J584" s="39"/>
      <c r="K584" s="39"/>
      <c r="O584" s="39"/>
      <c r="Q584" s="39"/>
      <c r="R584" s="39"/>
      <c r="S584" s="39"/>
      <c r="U584" s="39"/>
      <c r="V584" s="39"/>
      <c r="W584" s="39"/>
      <c r="X584" s="39"/>
      <c r="Y584" s="39"/>
      <c r="Z584" s="39"/>
      <c r="AA584" s="39"/>
      <c r="AB584" s="39"/>
    </row>
    <row r="585">
      <c r="C585" s="39"/>
      <c r="J585" s="39"/>
      <c r="K585" s="39"/>
      <c r="O585" s="39"/>
      <c r="Q585" s="39"/>
      <c r="R585" s="39"/>
      <c r="S585" s="39"/>
      <c r="U585" s="39"/>
      <c r="V585" s="39"/>
      <c r="W585" s="39"/>
      <c r="X585" s="39"/>
      <c r="Y585" s="39"/>
      <c r="Z585" s="39"/>
      <c r="AA585" s="39"/>
      <c r="AB585" s="39"/>
    </row>
    <row r="586">
      <c r="C586" s="39"/>
      <c r="J586" s="39"/>
      <c r="K586" s="39"/>
      <c r="O586" s="39"/>
      <c r="Q586" s="39"/>
      <c r="R586" s="39"/>
      <c r="S586" s="39"/>
      <c r="U586" s="39"/>
      <c r="V586" s="39"/>
      <c r="W586" s="39"/>
      <c r="X586" s="39"/>
      <c r="Y586" s="39"/>
      <c r="Z586" s="39"/>
      <c r="AA586" s="39"/>
      <c r="AB586" s="39"/>
    </row>
    <row r="587">
      <c r="C587" s="39"/>
      <c r="J587" s="39"/>
      <c r="K587" s="39"/>
      <c r="O587" s="39"/>
      <c r="Q587" s="39"/>
      <c r="R587" s="39"/>
      <c r="S587" s="39"/>
      <c r="U587" s="39"/>
      <c r="V587" s="39"/>
      <c r="W587" s="39"/>
      <c r="X587" s="39"/>
      <c r="Y587" s="39"/>
      <c r="Z587" s="39"/>
      <c r="AA587" s="39"/>
      <c r="AB587" s="39"/>
    </row>
    <row r="588">
      <c r="C588" s="39"/>
      <c r="J588" s="39"/>
      <c r="K588" s="39"/>
      <c r="O588" s="39"/>
      <c r="Q588" s="39"/>
      <c r="R588" s="39"/>
      <c r="S588" s="39"/>
      <c r="U588" s="39"/>
      <c r="V588" s="39"/>
      <c r="W588" s="39"/>
      <c r="X588" s="39"/>
      <c r="Y588" s="39"/>
      <c r="Z588" s="39"/>
      <c r="AA588" s="39"/>
      <c r="AB588" s="39"/>
    </row>
    <row r="589">
      <c r="C589" s="39"/>
      <c r="J589" s="39"/>
      <c r="K589" s="39"/>
      <c r="O589" s="39"/>
      <c r="Q589" s="39"/>
      <c r="R589" s="39"/>
      <c r="S589" s="39"/>
      <c r="U589" s="39"/>
      <c r="V589" s="39"/>
      <c r="W589" s="39"/>
      <c r="X589" s="39"/>
      <c r="Y589" s="39"/>
      <c r="Z589" s="39"/>
      <c r="AA589" s="39"/>
      <c r="AB589" s="39"/>
    </row>
    <row r="590">
      <c r="C590" s="39"/>
      <c r="J590" s="39"/>
      <c r="K590" s="39"/>
      <c r="O590" s="39"/>
      <c r="Q590" s="39"/>
      <c r="R590" s="39"/>
      <c r="S590" s="39"/>
      <c r="U590" s="39"/>
      <c r="V590" s="39"/>
      <c r="W590" s="39"/>
      <c r="X590" s="39"/>
      <c r="Y590" s="39"/>
      <c r="Z590" s="39"/>
      <c r="AA590" s="39"/>
      <c r="AB590" s="39"/>
    </row>
    <row r="591">
      <c r="C591" s="39"/>
      <c r="J591" s="39"/>
      <c r="K591" s="39"/>
      <c r="O591" s="39"/>
      <c r="Q591" s="39"/>
      <c r="R591" s="39"/>
      <c r="S591" s="39"/>
      <c r="U591" s="39"/>
      <c r="V591" s="39"/>
      <c r="W591" s="39"/>
      <c r="X591" s="39"/>
      <c r="Y591" s="39"/>
      <c r="Z591" s="39"/>
      <c r="AA591" s="39"/>
      <c r="AB591" s="39"/>
    </row>
    <row r="592">
      <c r="C592" s="39"/>
      <c r="J592" s="39"/>
      <c r="K592" s="39"/>
      <c r="O592" s="39"/>
      <c r="Q592" s="39"/>
      <c r="R592" s="39"/>
      <c r="S592" s="39"/>
      <c r="U592" s="39"/>
      <c r="V592" s="39"/>
      <c r="W592" s="39"/>
      <c r="X592" s="39"/>
      <c r="Y592" s="39"/>
      <c r="Z592" s="39"/>
      <c r="AA592" s="39"/>
      <c r="AB592" s="39"/>
    </row>
    <row r="593">
      <c r="C593" s="39"/>
      <c r="J593" s="39"/>
      <c r="K593" s="39"/>
      <c r="O593" s="39"/>
      <c r="Q593" s="39"/>
      <c r="R593" s="39"/>
      <c r="S593" s="39"/>
      <c r="U593" s="39"/>
      <c r="V593" s="39"/>
      <c r="W593" s="39"/>
      <c r="X593" s="39"/>
      <c r="Y593" s="39"/>
      <c r="Z593" s="39"/>
      <c r="AA593" s="39"/>
      <c r="AB593" s="39"/>
    </row>
    <row r="594">
      <c r="C594" s="39"/>
      <c r="J594" s="39"/>
      <c r="K594" s="39"/>
      <c r="O594" s="39"/>
      <c r="Q594" s="39"/>
      <c r="R594" s="39"/>
      <c r="S594" s="39"/>
      <c r="U594" s="39"/>
      <c r="V594" s="39"/>
      <c r="W594" s="39"/>
      <c r="X594" s="39"/>
      <c r="Y594" s="39"/>
      <c r="Z594" s="39"/>
      <c r="AA594" s="39"/>
      <c r="AB594" s="39"/>
    </row>
    <row r="595">
      <c r="C595" s="39"/>
      <c r="J595" s="39"/>
      <c r="K595" s="39"/>
      <c r="O595" s="39"/>
      <c r="Q595" s="39"/>
      <c r="R595" s="39"/>
      <c r="S595" s="39"/>
      <c r="U595" s="39"/>
      <c r="V595" s="39"/>
      <c r="W595" s="39"/>
      <c r="X595" s="39"/>
      <c r="Y595" s="39"/>
      <c r="Z595" s="39"/>
      <c r="AA595" s="39"/>
      <c r="AB595" s="39"/>
    </row>
    <row r="596">
      <c r="C596" s="39"/>
      <c r="J596" s="39"/>
      <c r="K596" s="39"/>
      <c r="O596" s="39"/>
      <c r="Q596" s="39"/>
      <c r="R596" s="39"/>
      <c r="S596" s="39"/>
      <c r="U596" s="39"/>
      <c r="V596" s="39"/>
      <c r="W596" s="39"/>
      <c r="X596" s="39"/>
      <c r="Y596" s="39"/>
      <c r="Z596" s="39"/>
      <c r="AA596" s="39"/>
      <c r="AB596" s="39"/>
    </row>
    <row r="597">
      <c r="C597" s="39"/>
      <c r="J597" s="39"/>
      <c r="K597" s="39"/>
      <c r="O597" s="39"/>
      <c r="Q597" s="39"/>
      <c r="R597" s="39"/>
      <c r="S597" s="39"/>
      <c r="U597" s="39"/>
      <c r="V597" s="39"/>
      <c r="W597" s="39"/>
      <c r="X597" s="39"/>
      <c r="Y597" s="39"/>
      <c r="Z597" s="39"/>
      <c r="AA597" s="39"/>
      <c r="AB597" s="39"/>
    </row>
    <row r="598">
      <c r="C598" s="39"/>
      <c r="J598" s="39"/>
      <c r="K598" s="39"/>
      <c r="O598" s="39"/>
      <c r="Q598" s="39"/>
      <c r="R598" s="39"/>
      <c r="S598" s="39"/>
      <c r="U598" s="39"/>
      <c r="V598" s="39"/>
      <c r="W598" s="39"/>
      <c r="X598" s="39"/>
      <c r="Y598" s="39"/>
      <c r="Z598" s="39"/>
      <c r="AA598" s="39"/>
      <c r="AB598" s="39"/>
    </row>
    <row r="599">
      <c r="C599" s="39"/>
      <c r="J599" s="39"/>
      <c r="K599" s="39"/>
      <c r="O599" s="39"/>
      <c r="Q599" s="39"/>
      <c r="R599" s="39"/>
      <c r="S599" s="39"/>
      <c r="U599" s="39"/>
      <c r="V599" s="39"/>
      <c r="W599" s="39"/>
      <c r="X599" s="39"/>
      <c r="Y599" s="39"/>
      <c r="Z599" s="39"/>
      <c r="AA599" s="39"/>
      <c r="AB599" s="39"/>
    </row>
    <row r="600">
      <c r="C600" s="39"/>
      <c r="J600" s="39"/>
      <c r="K600" s="39"/>
      <c r="O600" s="39"/>
      <c r="Q600" s="39"/>
      <c r="R600" s="39"/>
      <c r="S600" s="39"/>
      <c r="U600" s="39"/>
      <c r="V600" s="39"/>
      <c r="W600" s="39"/>
      <c r="X600" s="39"/>
      <c r="Y600" s="39"/>
      <c r="Z600" s="39"/>
      <c r="AA600" s="39"/>
      <c r="AB600" s="39"/>
    </row>
    <row r="601">
      <c r="C601" s="39"/>
      <c r="J601" s="39"/>
      <c r="K601" s="39"/>
      <c r="O601" s="39"/>
      <c r="Q601" s="39"/>
      <c r="R601" s="39"/>
      <c r="S601" s="39"/>
      <c r="U601" s="39"/>
      <c r="V601" s="39"/>
      <c r="W601" s="39"/>
      <c r="X601" s="39"/>
      <c r="Y601" s="39"/>
      <c r="Z601" s="39"/>
      <c r="AA601" s="39"/>
      <c r="AB601" s="39"/>
    </row>
    <row r="602">
      <c r="C602" s="39"/>
      <c r="J602" s="39"/>
      <c r="K602" s="39"/>
      <c r="O602" s="39"/>
      <c r="Q602" s="39"/>
      <c r="R602" s="39"/>
      <c r="S602" s="39"/>
      <c r="U602" s="39"/>
      <c r="V602" s="39"/>
      <c r="W602" s="39"/>
      <c r="X602" s="39"/>
      <c r="Y602" s="39"/>
      <c r="Z602" s="39"/>
      <c r="AA602" s="39"/>
      <c r="AB602" s="39"/>
    </row>
    <row r="603">
      <c r="C603" s="39"/>
      <c r="J603" s="39"/>
      <c r="K603" s="39"/>
      <c r="O603" s="39"/>
      <c r="Q603" s="39"/>
      <c r="R603" s="39"/>
      <c r="S603" s="39"/>
      <c r="U603" s="39"/>
      <c r="V603" s="39"/>
      <c r="W603" s="39"/>
      <c r="X603" s="39"/>
      <c r="Y603" s="39"/>
      <c r="Z603" s="39"/>
      <c r="AA603" s="39"/>
      <c r="AB603" s="39"/>
    </row>
    <row r="604">
      <c r="C604" s="39"/>
      <c r="J604" s="39"/>
      <c r="K604" s="39"/>
      <c r="O604" s="39"/>
      <c r="Q604" s="39"/>
      <c r="R604" s="39"/>
      <c r="S604" s="39"/>
      <c r="U604" s="39"/>
      <c r="V604" s="39"/>
      <c r="W604" s="39"/>
      <c r="X604" s="39"/>
      <c r="Y604" s="39"/>
      <c r="Z604" s="39"/>
      <c r="AA604" s="39"/>
      <c r="AB604" s="39"/>
    </row>
    <row r="605">
      <c r="C605" s="39"/>
      <c r="J605" s="39"/>
      <c r="K605" s="39"/>
      <c r="O605" s="39"/>
      <c r="Q605" s="39"/>
      <c r="R605" s="39"/>
      <c r="S605" s="39"/>
      <c r="U605" s="39"/>
      <c r="V605" s="39"/>
      <c r="W605" s="39"/>
      <c r="X605" s="39"/>
      <c r="Y605" s="39"/>
      <c r="Z605" s="39"/>
      <c r="AA605" s="39"/>
      <c r="AB605" s="39"/>
    </row>
    <row r="606">
      <c r="C606" s="39"/>
      <c r="J606" s="39"/>
      <c r="K606" s="39"/>
      <c r="O606" s="39"/>
      <c r="Q606" s="39"/>
      <c r="R606" s="39"/>
      <c r="S606" s="39"/>
      <c r="U606" s="39"/>
      <c r="V606" s="39"/>
      <c r="W606" s="39"/>
      <c r="X606" s="39"/>
      <c r="Y606" s="39"/>
      <c r="Z606" s="39"/>
      <c r="AA606" s="39"/>
      <c r="AB606" s="39"/>
    </row>
    <row r="607">
      <c r="C607" s="39"/>
      <c r="J607" s="39"/>
      <c r="K607" s="39"/>
      <c r="O607" s="39"/>
      <c r="Q607" s="39"/>
      <c r="R607" s="39"/>
      <c r="S607" s="39"/>
      <c r="U607" s="39"/>
      <c r="V607" s="39"/>
      <c r="W607" s="39"/>
      <c r="X607" s="39"/>
      <c r="Y607" s="39"/>
      <c r="Z607" s="39"/>
      <c r="AA607" s="39"/>
      <c r="AB607" s="39"/>
    </row>
    <row r="608">
      <c r="C608" s="39"/>
      <c r="J608" s="39"/>
      <c r="K608" s="39"/>
      <c r="O608" s="39"/>
      <c r="Q608" s="39"/>
      <c r="R608" s="39"/>
      <c r="S608" s="39"/>
      <c r="U608" s="39"/>
      <c r="V608" s="39"/>
      <c r="W608" s="39"/>
      <c r="X608" s="39"/>
      <c r="Y608" s="39"/>
      <c r="Z608" s="39"/>
      <c r="AA608" s="39"/>
      <c r="AB608" s="39"/>
    </row>
    <row r="609">
      <c r="C609" s="39"/>
      <c r="J609" s="39"/>
      <c r="K609" s="39"/>
      <c r="O609" s="39"/>
      <c r="Q609" s="39"/>
      <c r="R609" s="39"/>
      <c r="S609" s="39"/>
      <c r="U609" s="39"/>
      <c r="V609" s="39"/>
      <c r="W609" s="39"/>
      <c r="X609" s="39"/>
      <c r="Y609" s="39"/>
      <c r="Z609" s="39"/>
      <c r="AA609" s="39"/>
      <c r="AB609" s="39"/>
    </row>
    <row r="610">
      <c r="C610" s="39"/>
      <c r="J610" s="39"/>
      <c r="K610" s="39"/>
      <c r="O610" s="39"/>
      <c r="Q610" s="39"/>
      <c r="R610" s="39"/>
      <c r="S610" s="39"/>
      <c r="U610" s="39"/>
      <c r="V610" s="39"/>
      <c r="W610" s="39"/>
      <c r="X610" s="39"/>
      <c r="Y610" s="39"/>
      <c r="Z610" s="39"/>
      <c r="AA610" s="39"/>
      <c r="AB610" s="39"/>
    </row>
    <row r="611">
      <c r="C611" s="39"/>
      <c r="J611" s="39"/>
      <c r="K611" s="39"/>
      <c r="O611" s="39"/>
      <c r="Q611" s="39"/>
      <c r="R611" s="39"/>
      <c r="S611" s="39"/>
      <c r="U611" s="39"/>
      <c r="V611" s="39"/>
      <c r="W611" s="39"/>
      <c r="X611" s="39"/>
      <c r="Y611" s="39"/>
      <c r="Z611" s="39"/>
      <c r="AA611" s="39"/>
      <c r="AB611" s="39"/>
    </row>
    <row r="612">
      <c r="C612" s="39"/>
      <c r="J612" s="39"/>
      <c r="K612" s="39"/>
      <c r="O612" s="39"/>
      <c r="Q612" s="39"/>
      <c r="R612" s="39"/>
      <c r="S612" s="39"/>
      <c r="U612" s="39"/>
      <c r="V612" s="39"/>
      <c r="W612" s="39"/>
      <c r="X612" s="39"/>
      <c r="Y612" s="39"/>
      <c r="Z612" s="39"/>
      <c r="AA612" s="39"/>
      <c r="AB612" s="39"/>
    </row>
    <row r="613">
      <c r="C613" s="39"/>
      <c r="J613" s="39"/>
      <c r="K613" s="39"/>
      <c r="O613" s="39"/>
      <c r="Q613" s="39"/>
      <c r="R613" s="39"/>
      <c r="S613" s="39"/>
      <c r="U613" s="39"/>
      <c r="V613" s="39"/>
      <c r="W613" s="39"/>
      <c r="X613" s="39"/>
      <c r="Y613" s="39"/>
      <c r="Z613" s="39"/>
      <c r="AA613" s="39"/>
      <c r="AB613" s="39"/>
    </row>
    <row r="614">
      <c r="C614" s="39"/>
      <c r="J614" s="39"/>
      <c r="K614" s="39"/>
      <c r="O614" s="39"/>
      <c r="Q614" s="39"/>
      <c r="R614" s="39"/>
      <c r="S614" s="39"/>
      <c r="U614" s="39"/>
      <c r="V614" s="39"/>
      <c r="W614" s="39"/>
      <c r="X614" s="39"/>
      <c r="Y614" s="39"/>
      <c r="Z614" s="39"/>
      <c r="AA614" s="39"/>
      <c r="AB614" s="39"/>
    </row>
    <row r="615">
      <c r="C615" s="39"/>
      <c r="J615" s="39"/>
      <c r="K615" s="39"/>
      <c r="O615" s="39"/>
      <c r="Q615" s="39"/>
      <c r="R615" s="39"/>
      <c r="S615" s="39"/>
      <c r="U615" s="39"/>
      <c r="V615" s="39"/>
      <c r="W615" s="39"/>
      <c r="X615" s="39"/>
      <c r="Y615" s="39"/>
      <c r="Z615" s="39"/>
      <c r="AA615" s="39"/>
      <c r="AB615" s="39"/>
    </row>
    <row r="616">
      <c r="C616" s="39"/>
      <c r="J616" s="39"/>
      <c r="K616" s="39"/>
      <c r="O616" s="39"/>
      <c r="Q616" s="39"/>
      <c r="R616" s="39"/>
      <c r="S616" s="39"/>
      <c r="U616" s="39"/>
      <c r="V616" s="39"/>
      <c r="W616" s="39"/>
      <c r="X616" s="39"/>
      <c r="Y616" s="39"/>
      <c r="Z616" s="39"/>
      <c r="AA616" s="39"/>
      <c r="AB616" s="39"/>
    </row>
    <row r="617">
      <c r="C617" s="39"/>
      <c r="J617" s="39"/>
      <c r="K617" s="39"/>
      <c r="O617" s="39"/>
      <c r="Q617" s="39"/>
      <c r="R617" s="39"/>
      <c r="S617" s="39"/>
      <c r="U617" s="39"/>
      <c r="V617" s="39"/>
      <c r="W617" s="39"/>
      <c r="X617" s="39"/>
      <c r="Y617" s="39"/>
      <c r="Z617" s="39"/>
      <c r="AA617" s="39"/>
      <c r="AB617" s="39"/>
    </row>
    <row r="618">
      <c r="C618" s="39"/>
      <c r="J618" s="39"/>
      <c r="K618" s="39"/>
      <c r="O618" s="39"/>
      <c r="Q618" s="39"/>
      <c r="R618" s="39"/>
      <c r="S618" s="39"/>
      <c r="U618" s="39"/>
      <c r="V618" s="39"/>
      <c r="W618" s="39"/>
      <c r="X618" s="39"/>
      <c r="Y618" s="39"/>
      <c r="Z618" s="39"/>
      <c r="AA618" s="39"/>
      <c r="AB618" s="39"/>
    </row>
    <row r="619">
      <c r="C619" s="39"/>
      <c r="J619" s="39"/>
      <c r="K619" s="39"/>
      <c r="O619" s="39"/>
      <c r="Q619" s="39"/>
      <c r="R619" s="39"/>
      <c r="S619" s="39"/>
      <c r="U619" s="39"/>
      <c r="V619" s="39"/>
      <c r="W619" s="39"/>
      <c r="X619" s="39"/>
      <c r="Y619" s="39"/>
      <c r="Z619" s="39"/>
      <c r="AA619" s="39"/>
      <c r="AB619" s="39"/>
    </row>
    <row r="620">
      <c r="C620" s="39"/>
      <c r="J620" s="39"/>
      <c r="K620" s="39"/>
      <c r="O620" s="39"/>
      <c r="Q620" s="39"/>
      <c r="R620" s="39"/>
      <c r="S620" s="39"/>
      <c r="U620" s="39"/>
      <c r="V620" s="39"/>
      <c r="W620" s="39"/>
      <c r="X620" s="39"/>
      <c r="Y620" s="39"/>
      <c r="Z620" s="39"/>
      <c r="AA620" s="39"/>
      <c r="AB620" s="39"/>
    </row>
    <row r="621">
      <c r="C621" s="39"/>
      <c r="J621" s="39"/>
      <c r="K621" s="39"/>
      <c r="O621" s="39"/>
      <c r="Q621" s="39"/>
      <c r="R621" s="39"/>
      <c r="S621" s="39"/>
      <c r="U621" s="39"/>
      <c r="V621" s="39"/>
      <c r="W621" s="39"/>
      <c r="X621" s="39"/>
      <c r="Y621" s="39"/>
      <c r="Z621" s="39"/>
      <c r="AA621" s="39"/>
      <c r="AB621" s="39"/>
    </row>
    <row r="622">
      <c r="C622" s="39"/>
      <c r="J622" s="39"/>
      <c r="K622" s="39"/>
      <c r="O622" s="39"/>
      <c r="Q622" s="39"/>
      <c r="R622" s="39"/>
      <c r="S622" s="39"/>
      <c r="U622" s="39"/>
      <c r="V622" s="39"/>
      <c r="W622" s="39"/>
      <c r="X622" s="39"/>
      <c r="Y622" s="39"/>
      <c r="Z622" s="39"/>
      <c r="AA622" s="39"/>
      <c r="AB622" s="39"/>
    </row>
    <row r="623">
      <c r="C623" s="39"/>
      <c r="J623" s="39"/>
      <c r="K623" s="39"/>
      <c r="O623" s="39"/>
      <c r="Q623" s="39"/>
      <c r="R623" s="39"/>
      <c r="S623" s="39"/>
      <c r="U623" s="39"/>
      <c r="V623" s="39"/>
      <c r="W623" s="39"/>
      <c r="X623" s="39"/>
      <c r="Y623" s="39"/>
      <c r="Z623" s="39"/>
      <c r="AA623" s="39"/>
      <c r="AB623" s="39"/>
    </row>
    <row r="624">
      <c r="C624" s="39"/>
      <c r="J624" s="39"/>
      <c r="K624" s="39"/>
      <c r="O624" s="39"/>
      <c r="Q624" s="39"/>
      <c r="R624" s="39"/>
      <c r="S624" s="39"/>
      <c r="U624" s="39"/>
      <c r="V624" s="39"/>
      <c r="W624" s="39"/>
      <c r="X624" s="39"/>
      <c r="Y624" s="39"/>
      <c r="Z624" s="39"/>
      <c r="AA624" s="39"/>
      <c r="AB624" s="39"/>
    </row>
    <row r="625">
      <c r="C625" s="39"/>
      <c r="J625" s="39"/>
      <c r="K625" s="39"/>
      <c r="O625" s="39"/>
      <c r="Q625" s="39"/>
      <c r="R625" s="39"/>
      <c r="S625" s="39"/>
      <c r="U625" s="39"/>
      <c r="V625" s="39"/>
      <c r="W625" s="39"/>
      <c r="X625" s="39"/>
      <c r="Y625" s="39"/>
      <c r="Z625" s="39"/>
      <c r="AA625" s="39"/>
      <c r="AB625" s="39"/>
    </row>
    <row r="626">
      <c r="C626" s="39"/>
      <c r="J626" s="39"/>
      <c r="K626" s="39"/>
      <c r="O626" s="39"/>
      <c r="Q626" s="39"/>
      <c r="R626" s="39"/>
      <c r="S626" s="39"/>
      <c r="U626" s="39"/>
      <c r="V626" s="39"/>
      <c r="W626" s="39"/>
      <c r="X626" s="39"/>
      <c r="Y626" s="39"/>
      <c r="Z626" s="39"/>
      <c r="AA626" s="39"/>
      <c r="AB626" s="39"/>
    </row>
    <row r="627">
      <c r="C627" s="39"/>
      <c r="J627" s="39"/>
      <c r="K627" s="39"/>
      <c r="O627" s="39"/>
      <c r="Q627" s="39"/>
      <c r="R627" s="39"/>
      <c r="S627" s="39"/>
      <c r="U627" s="39"/>
      <c r="V627" s="39"/>
      <c r="W627" s="39"/>
      <c r="X627" s="39"/>
      <c r="Y627" s="39"/>
      <c r="Z627" s="39"/>
      <c r="AA627" s="39"/>
      <c r="AB627" s="39"/>
    </row>
    <row r="628">
      <c r="C628" s="39"/>
      <c r="J628" s="39"/>
      <c r="K628" s="39"/>
      <c r="O628" s="39"/>
      <c r="Q628" s="39"/>
      <c r="R628" s="39"/>
      <c r="S628" s="39"/>
      <c r="U628" s="39"/>
      <c r="V628" s="39"/>
      <c r="W628" s="39"/>
      <c r="X628" s="39"/>
      <c r="Y628" s="39"/>
      <c r="Z628" s="39"/>
      <c r="AA628" s="39"/>
      <c r="AB628" s="39"/>
    </row>
    <row r="629">
      <c r="C629" s="39"/>
      <c r="J629" s="39"/>
      <c r="K629" s="39"/>
      <c r="O629" s="39"/>
      <c r="Q629" s="39"/>
      <c r="R629" s="39"/>
      <c r="S629" s="39"/>
      <c r="U629" s="39"/>
      <c r="V629" s="39"/>
      <c r="W629" s="39"/>
      <c r="X629" s="39"/>
      <c r="Y629" s="39"/>
      <c r="Z629" s="39"/>
      <c r="AA629" s="39"/>
      <c r="AB629" s="39"/>
    </row>
    <row r="630">
      <c r="C630" s="39"/>
      <c r="J630" s="39"/>
      <c r="K630" s="39"/>
      <c r="O630" s="39"/>
      <c r="Q630" s="39"/>
      <c r="R630" s="39"/>
      <c r="S630" s="39"/>
      <c r="U630" s="39"/>
      <c r="V630" s="39"/>
      <c r="W630" s="39"/>
      <c r="X630" s="39"/>
      <c r="Y630" s="39"/>
      <c r="Z630" s="39"/>
      <c r="AA630" s="39"/>
      <c r="AB630" s="39"/>
    </row>
    <row r="631">
      <c r="C631" s="39"/>
      <c r="J631" s="39"/>
      <c r="K631" s="39"/>
      <c r="O631" s="39"/>
      <c r="Q631" s="39"/>
      <c r="R631" s="39"/>
      <c r="S631" s="39"/>
      <c r="U631" s="39"/>
      <c r="V631" s="39"/>
      <c r="W631" s="39"/>
      <c r="X631" s="39"/>
      <c r="Y631" s="39"/>
      <c r="Z631" s="39"/>
      <c r="AA631" s="39"/>
      <c r="AB631" s="39"/>
    </row>
    <row r="632">
      <c r="C632" s="39"/>
      <c r="J632" s="39"/>
      <c r="K632" s="39"/>
      <c r="O632" s="39"/>
      <c r="Q632" s="39"/>
      <c r="R632" s="39"/>
      <c r="S632" s="39"/>
      <c r="U632" s="39"/>
      <c r="V632" s="39"/>
      <c r="W632" s="39"/>
      <c r="X632" s="39"/>
      <c r="Y632" s="39"/>
      <c r="Z632" s="39"/>
      <c r="AA632" s="39"/>
      <c r="AB632" s="39"/>
    </row>
    <row r="633">
      <c r="C633" s="39"/>
      <c r="J633" s="39"/>
      <c r="K633" s="39"/>
      <c r="O633" s="39"/>
      <c r="Q633" s="39"/>
      <c r="R633" s="39"/>
      <c r="S633" s="39"/>
      <c r="U633" s="39"/>
      <c r="V633" s="39"/>
      <c r="W633" s="39"/>
      <c r="X633" s="39"/>
      <c r="Y633" s="39"/>
      <c r="Z633" s="39"/>
      <c r="AA633" s="39"/>
      <c r="AB633" s="39"/>
    </row>
    <row r="634">
      <c r="C634" s="39"/>
      <c r="J634" s="39"/>
      <c r="K634" s="39"/>
      <c r="O634" s="39"/>
      <c r="Q634" s="39"/>
      <c r="R634" s="39"/>
      <c r="S634" s="39"/>
      <c r="U634" s="39"/>
      <c r="V634" s="39"/>
      <c r="W634" s="39"/>
      <c r="X634" s="39"/>
      <c r="Y634" s="39"/>
      <c r="Z634" s="39"/>
      <c r="AA634" s="39"/>
      <c r="AB634" s="39"/>
    </row>
    <row r="635">
      <c r="C635" s="39"/>
      <c r="J635" s="39"/>
      <c r="K635" s="39"/>
      <c r="O635" s="39"/>
      <c r="Q635" s="39"/>
      <c r="R635" s="39"/>
      <c r="S635" s="39"/>
      <c r="U635" s="39"/>
      <c r="V635" s="39"/>
      <c r="W635" s="39"/>
      <c r="X635" s="39"/>
      <c r="Y635" s="39"/>
      <c r="Z635" s="39"/>
      <c r="AA635" s="39"/>
      <c r="AB635" s="39"/>
    </row>
    <row r="636">
      <c r="C636" s="39"/>
      <c r="J636" s="39"/>
      <c r="K636" s="39"/>
      <c r="O636" s="39"/>
      <c r="Q636" s="39"/>
      <c r="R636" s="39"/>
      <c r="S636" s="39"/>
      <c r="U636" s="39"/>
      <c r="V636" s="39"/>
      <c r="W636" s="39"/>
      <c r="X636" s="39"/>
      <c r="Y636" s="39"/>
      <c r="Z636" s="39"/>
      <c r="AA636" s="39"/>
      <c r="AB636" s="39"/>
    </row>
    <row r="637">
      <c r="C637" s="39"/>
      <c r="J637" s="39"/>
      <c r="K637" s="39"/>
      <c r="O637" s="39"/>
      <c r="Q637" s="39"/>
      <c r="R637" s="39"/>
      <c r="S637" s="39"/>
      <c r="U637" s="39"/>
      <c r="V637" s="39"/>
      <c r="W637" s="39"/>
      <c r="X637" s="39"/>
      <c r="Y637" s="39"/>
      <c r="Z637" s="39"/>
      <c r="AA637" s="39"/>
      <c r="AB637" s="39"/>
    </row>
    <row r="638">
      <c r="C638" s="39"/>
      <c r="J638" s="39"/>
      <c r="K638" s="39"/>
      <c r="O638" s="39"/>
      <c r="Q638" s="39"/>
      <c r="R638" s="39"/>
      <c r="S638" s="39"/>
      <c r="U638" s="39"/>
      <c r="V638" s="39"/>
      <c r="W638" s="39"/>
      <c r="X638" s="39"/>
      <c r="Y638" s="39"/>
      <c r="Z638" s="39"/>
      <c r="AA638" s="39"/>
      <c r="AB638" s="39"/>
    </row>
    <row r="639">
      <c r="C639" s="39"/>
      <c r="J639" s="39"/>
      <c r="K639" s="39"/>
      <c r="O639" s="39"/>
      <c r="Q639" s="39"/>
      <c r="R639" s="39"/>
      <c r="S639" s="39"/>
      <c r="U639" s="39"/>
      <c r="V639" s="39"/>
      <c r="W639" s="39"/>
      <c r="X639" s="39"/>
      <c r="Y639" s="39"/>
      <c r="Z639" s="39"/>
      <c r="AA639" s="39"/>
      <c r="AB639" s="39"/>
    </row>
    <row r="640">
      <c r="C640" s="39"/>
      <c r="J640" s="39"/>
      <c r="K640" s="39"/>
      <c r="O640" s="39"/>
      <c r="Q640" s="39"/>
      <c r="R640" s="39"/>
      <c r="S640" s="39"/>
      <c r="U640" s="39"/>
      <c r="V640" s="39"/>
      <c r="W640" s="39"/>
      <c r="X640" s="39"/>
      <c r="Y640" s="39"/>
      <c r="Z640" s="39"/>
      <c r="AA640" s="39"/>
      <c r="AB640" s="39"/>
    </row>
    <row r="641">
      <c r="C641" s="39"/>
      <c r="J641" s="39"/>
      <c r="K641" s="39"/>
      <c r="O641" s="39"/>
      <c r="Q641" s="39"/>
      <c r="R641" s="39"/>
      <c r="S641" s="39"/>
      <c r="U641" s="39"/>
      <c r="V641" s="39"/>
      <c r="W641" s="39"/>
      <c r="X641" s="39"/>
      <c r="Y641" s="39"/>
      <c r="Z641" s="39"/>
      <c r="AA641" s="39"/>
      <c r="AB641" s="39"/>
    </row>
    <row r="642">
      <c r="C642" s="39"/>
      <c r="J642" s="39"/>
      <c r="K642" s="39"/>
      <c r="O642" s="39"/>
      <c r="Q642" s="39"/>
      <c r="R642" s="39"/>
      <c r="S642" s="39"/>
      <c r="U642" s="39"/>
      <c r="V642" s="39"/>
      <c r="W642" s="39"/>
      <c r="X642" s="39"/>
      <c r="Y642" s="39"/>
      <c r="Z642" s="39"/>
      <c r="AA642" s="39"/>
      <c r="AB642" s="39"/>
    </row>
    <row r="643">
      <c r="C643" s="39"/>
      <c r="J643" s="39"/>
      <c r="K643" s="39"/>
      <c r="O643" s="39"/>
      <c r="Q643" s="39"/>
      <c r="R643" s="39"/>
      <c r="S643" s="39"/>
      <c r="U643" s="39"/>
      <c r="V643" s="39"/>
      <c r="W643" s="39"/>
      <c r="X643" s="39"/>
      <c r="Y643" s="39"/>
      <c r="Z643" s="39"/>
      <c r="AA643" s="39"/>
      <c r="AB643" s="39"/>
    </row>
    <row r="644">
      <c r="C644" s="39"/>
      <c r="J644" s="39"/>
      <c r="K644" s="39"/>
      <c r="O644" s="39"/>
      <c r="Q644" s="39"/>
      <c r="R644" s="39"/>
      <c r="S644" s="39"/>
      <c r="U644" s="39"/>
      <c r="V644" s="39"/>
      <c r="W644" s="39"/>
      <c r="X644" s="39"/>
      <c r="Y644" s="39"/>
      <c r="Z644" s="39"/>
      <c r="AA644" s="39"/>
      <c r="AB644" s="39"/>
    </row>
    <row r="645">
      <c r="C645" s="39"/>
      <c r="J645" s="39"/>
      <c r="K645" s="39"/>
      <c r="O645" s="39"/>
      <c r="Q645" s="39"/>
      <c r="R645" s="39"/>
      <c r="S645" s="39"/>
      <c r="U645" s="39"/>
      <c r="V645" s="39"/>
      <c r="W645" s="39"/>
      <c r="X645" s="39"/>
      <c r="Y645" s="39"/>
      <c r="Z645" s="39"/>
      <c r="AA645" s="39"/>
      <c r="AB645" s="39"/>
    </row>
    <row r="646">
      <c r="C646" s="39"/>
      <c r="J646" s="39"/>
      <c r="K646" s="39"/>
      <c r="O646" s="39"/>
      <c r="Q646" s="39"/>
      <c r="R646" s="39"/>
      <c r="S646" s="39"/>
      <c r="U646" s="39"/>
      <c r="V646" s="39"/>
      <c r="W646" s="39"/>
      <c r="X646" s="39"/>
      <c r="Y646" s="39"/>
      <c r="Z646" s="39"/>
      <c r="AA646" s="39"/>
      <c r="AB646" s="39"/>
    </row>
    <row r="647">
      <c r="C647" s="39"/>
      <c r="J647" s="39"/>
      <c r="K647" s="39"/>
      <c r="O647" s="39"/>
      <c r="Q647" s="39"/>
      <c r="R647" s="39"/>
      <c r="S647" s="39"/>
      <c r="U647" s="39"/>
      <c r="V647" s="39"/>
      <c r="W647" s="39"/>
      <c r="X647" s="39"/>
      <c r="Y647" s="39"/>
      <c r="Z647" s="39"/>
      <c r="AA647" s="39"/>
      <c r="AB647" s="39"/>
    </row>
    <row r="648">
      <c r="C648" s="39"/>
      <c r="J648" s="39"/>
      <c r="K648" s="39"/>
      <c r="O648" s="39"/>
      <c r="Q648" s="39"/>
      <c r="R648" s="39"/>
      <c r="S648" s="39"/>
      <c r="U648" s="39"/>
      <c r="V648" s="39"/>
      <c r="W648" s="39"/>
      <c r="X648" s="39"/>
      <c r="Y648" s="39"/>
      <c r="Z648" s="39"/>
      <c r="AA648" s="39"/>
      <c r="AB648" s="39"/>
    </row>
    <row r="649">
      <c r="C649" s="39"/>
      <c r="J649" s="39"/>
      <c r="K649" s="39"/>
      <c r="O649" s="39"/>
      <c r="Q649" s="39"/>
      <c r="R649" s="39"/>
      <c r="S649" s="39"/>
      <c r="U649" s="39"/>
      <c r="V649" s="39"/>
      <c r="W649" s="39"/>
      <c r="X649" s="39"/>
      <c r="Y649" s="39"/>
      <c r="Z649" s="39"/>
      <c r="AA649" s="39"/>
      <c r="AB649" s="39"/>
    </row>
    <row r="650">
      <c r="C650" s="39"/>
      <c r="J650" s="39"/>
      <c r="K650" s="39"/>
      <c r="O650" s="39"/>
      <c r="Q650" s="39"/>
      <c r="R650" s="39"/>
      <c r="S650" s="39"/>
      <c r="U650" s="39"/>
      <c r="V650" s="39"/>
      <c r="W650" s="39"/>
      <c r="X650" s="39"/>
      <c r="Y650" s="39"/>
      <c r="Z650" s="39"/>
      <c r="AA650" s="39"/>
      <c r="AB650" s="39"/>
    </row>
    <row r="651">
      <c r="C651" s="39"/>
      <c r="J651" s="39"/>
      <c r="K651" s="39"/>
      <c r="O651" s="39"/>
      <c r="Q651" s="39"/>
      <c r="R651" s="39"/>
      <c r="S651" s="39"/>
      <c r="U651" s="39"/>
      <c r="V651" s="39"/>
      <c r="W651" s="39"/>
      <c r="X651" s="39"/>
      <c r="Y651" s="39"/>
      <c r="Z651" s="39"/>
      <c r="AA651" s="39"/>
      <c r="AB651" s="39"/>
    </row>
    <row r="652">
      <c r="C652" s="39"/>
      <c r="J652" s="39"/>
      <c r="K652" s="39"/>
      <c r="O652" s="39"/>
      <c r="Q652" s="39"/>
      <c r="R652" s="39"/>
      <c r="S652" s="39"/>
      <c r="U652" s="39"/>
      <c r="V652" s="39"/>
      <c r="W652" s="39"/>
      <c r="X652" s="39"/>
      <c r="Y652" s="39"/>
      <c r="Z652" s="39"/>
      <c r="AA652" s="39"/>
      <c r="AB652" s="39"/>
    </row>
    <row r="653">
      <c r="C653" s="39"/>
      <c r="J653" s="39"/>
      <c r="K653" s="39"/>
      <c r="O653" s="39"/>
      <c r="Q653" s="39"/>
      <c r="R653" s="39"/>
      <c r="S653" s="39"/>
      <c r="U653" s="39"/>
      <c r="V653" s="39"/>
      <c r="W653" s="39"/>
      <c r="X653" s="39"/>
      <c r="Y653" s="39"/>
      <c r="Z653" s="39"/>
      <c r="AA653" s="39"/>
      <c r="AB653" s="39"/>
    </row>
    <row r="654">
      <c r="C654" s="39"/>
      <c r="J654" s="39"/>
      <c r="K654" s="39"/>
      <c r="O654" s="39"/>
      <c r="Q654" s="39"/>
      <c r="R654" s="39"/>
      <c r="S654" s="39"/>
      <c r="U654" s="39"/>
      <c r="V654" s="39"/>
      <c r="W654" s="39"/>
      <c r="X654" s="39"/>
      <c r="Y654" s="39"/>
      <c r="Z654" s="39"/>
      <c r="AA654" s="39"/>
      <c r="AB654" s="39"/>
    </row>
    <row r="655">
      <c r="C655" s="39"/>
      <c r="J655" s="39"/>
      <c r="K655" s="39"/>
      <c r="O655" s="39"/>
      <c r="Q655" s="39"/>
      <c r="R655" s="39"/>
      <c r="S655" s="39"/>
      <c r="U655" s="39"/>
      <c r="V655" s="39"/>
      <c r="W655" s="39"/>
      <c r="X655" s="39"/>
      <c r="Y655" s="39"/>
      <c r="Z655" s="39"/>
      <c r="AA655" s="39"/>
      <c r="AB655" s="39"/>
    </row>
    <row r="656">
      <c r="C656" s="39"/>
      <c r="J656" s="39"/>
      <c r="K656" s="39"/>
      <c r="O656" s="39"/>
      <c r="Q656" s="39"/>
      <c r="R656" s="39"/>
      <c r="S656" s="39"/>
      <c r="U656" s="39"/>
      <c r="V656" s="39"/>
      <c r="W656" s="39"/>
      <c r="X656" s="39"/>
      <c r="Y656" s="39"/>
      <c r="Z656" s="39"/>
      <c r="AA656" s="39"/>
      <c r="AB656" s="39"/>
    </row>
    <row r="657">
      <c r="C657" s="39"/>
      <c r="J657" s="39"/>
      <c r="K657" s="39"/>
      <c r="O657" s="39"/>
      <c r="Q657" s="39"/>
      <c r="R657" s="39"/>
      <c r="S657" s="39"/>
      <c r="U657" s="39"/>
      <c r="V657" s="39"/>
      <c r="W657" s="39"/>
      <c r="X657" s="39"/>
      <c r="Y657" s="39"/>
      <c r="Z657" s="39"/>
      <c r="AA657" s="39"/>
      <c r="AB657" s="39"/>
    </row>
    <row r="658">
      <c r="C658" s="39"/>
      <c r="J658" s="39"/>
      <c r="K658" s="39"/>
      <c r="O658" s="39"/>
      <c r="Q658" s="39"/>
      <c r="R658" s="39"/>
      <c r="S658" s="39"/>
      <c r="U658" s="39"/>
      <c r="V658" s="39"/>
      <c r="W658" s="39"/>
      <c r="X658" s="39"/>
      <c r="Y658" s="39"/>
      <c r="Z658" s="39"/>
      <c r="AA658" s="39"/>
      <c r="AB658" s="39"/>
    </row>
    <row r="659">
      <c r="C659" s="39"/>
      <c r="J659" s="39"/>
      <c r="K659" s="39"/>
      <c r="O659" s="39"/>
      <c r="Q659" s="39"/>
      <c r="R659" s="39"/>
      <c r="S659" s="39"/>
      <c r="U659" s="39"/>
      <c r="V659" s="39"/>
      <c r="W659" s="39"/>
      <c r="X659" s="39"/>
      <c r="Y659" s="39"/>
      <c r="Z659" s="39"/>
      <c r="AA659" s="39"/>
      <c r="AB659" s="39"/>
    </row>
    <row r="660">
      <c r="C660" s="39"/>
      <c r="J660" s="39"/>
      <c r="K660" s="39"/>
      <c r="O660" s="39"/>
      <c r="Q660" s="39"/>
      <c r="R660" s="39"/>
      <c r="S660" s="39"/>
      <c r="U660" s="39"/>
      <c r="V660" s="39"/>
      <c r="W660" s="39"/>
      <c r="X660" s="39"/>
      <c r="Y660" s="39"/>
      <c r="Z660" s="39"/>
      <c r="AA660" s="39"/>
      <c r="AB660" s="39"/>
    </row>
    <row r="661">
      <c r="C661" s="39"/>
      <c r="J661" s="39"/>
      <c r="K661" s="39"/>
      <c r="O661" s="39"/>
      <c r="Q661" s="39"/>
      <c r="R661" s="39"/>
      <c r="S661" s="39"/>
      <c r="U661" s="39"/>
      <c r="V661" s="39"/>
      <c r="W661" s="39"/>
      <c r="X661" s="39"/>
      <c r="Y661" s="39"/>
      <c r="Z661" s="39"/>
      <c r="AA661" s="39"/>
      <c r="AB661" s="39"/>
    </row>
    <row r="662">
      <c r="C662" s="39"/>
      <c r="J662" s="39"/>
      <c r="K662" s="39"/>
      <c r="O662" s="39"/>
      <c r="Q662" s="39"/>
      <c r="R662" s="39"/>
      <c r="S662" s="39"/>
      <c r="U662" s="39"/>
      <c r="V662" s="39"/>
      <c r="W662" s="39"/>
      <c r="X662" s="39"/>
      <c r="Y662" s="39"/>
      <c r="Z662" s="39"/>
      <c r="AA662" s="39"/>
      <c r="AB662" s="39"/>
    </row>
    <row r="663">
      <c r="C663" s="39"/>
      <c r="J663" s="39"/>
      <c r="K663" s="39"/>
      <c r="O663" s="39"/>
      <c r="Q663" s="39"/>
      <c r="R663" s="39"/>
      <c r="S663" s="39"/>
      <c r="U663" s="39"/>
      <c r="V663" s="39"/>
      <c r="W663" s="39"/>
      <c r="X663" s="39"/>
      <c r="Y663" s="39"/>
      <c r="Z663" s="39"/>
      <c r="AA663" s="39"/>
      <c r="AB663" s="39"/>
    </row>
    <row r="664">
      <c r="C664" s="39"/>
      <c r="J664" s="39"/>
      <c r="K664" s="39"/>
      <c r="O664" s="39"/>
      <c r="Q664" s="39"/>
      <c r="R664" s="39"/>
      <c r="S664" s="39"/>
      <c r="U664" s="39"/>
      <c r="V664" s="39"/>
      <c r="W664" s="39"/>
      <c r="X664" s="39"/>
      <c r="Y664" s="39"/>
      <c r="Z664" s="39"/>
      <c r="AA664" s="39"/>
      <c r="AB664" s="39"/>
    </row>
    <row r="665">
      <c r="C665" s="39"/>
      <c r="J665" s="39"/>
      <c r="K665" s="39"/>
      <c r="O665" s="39"/>
      <c r="Q665" s="39"/>
      <c r="R665" s="39"/>
      <c r="S665" s="39"/>
      <c r="U665" s="39"/>
      <c r="V665" s="39"/>
      <c r="W665" s="39"/>
      <c r="X665" s="39"/>
      <c r="Y665" s="39"/>
      <c r="Z665" s="39"/>
      <c r="AA665" s="39"/>
      <c r="AB665" s="39"/>
    </row>
    <row r="666">
      <c r="C666" s="39"/>
      <c r="J666" s="39"/>
      <c r="K666" s="39"/>
      <c r="O666" s="39"/>
      <c r="Q666" s="39"/>
      <c r="R666" s="39"/>
      <c r="S666" s="39"/>
      <c r="U666" s="39"/>
      <c r="V666" s="39"/>
      <c r="W666" s="39"/>
      <c r="X666" s="39"/>
      <c r="Y666" s="39"/>
      <c r="Z666" s="39"/>
      <c r="AA666" s="39"/>
      <c r="AB666" s="39"/>
    </row>
    <row r="667">
      <c r="C667" s="39"/>
      <c r="J667" s="39"/>
      <c r="K667" s="39"/>
      <c r="O667" s="39"/>
      <c r="Q667" s="39"/>
      <c r="R667" s="39"/>
      <c r="S667" s="39"/>
      <c r="U667" s="39"/>
      <c r="V667" s="39"/>
      <c r="W667" s="39"/>
      <c r="X667" s="39"/>
      <c r="Y667" s="39"/>
      <c r="Z667" s="39"/>
      <c r="AA667" s="39"/>
      <c r="AB667" s="39"/>
    </row>
    <row r="668">
      <c r="C668" s="39"/>
      <c r="J668" s="39"/>
      <c r="K668" s="39"/>
      <c r="O668" s="39"/>
      <c r="Q668" s="39"/>
      <c r="R668" s="39"/>
      <c r="S668" s="39"/>
      <c r="U668" s="39"/>
      <c r="V668" s="39"/>
      <c r="W668" s="39"/>
      <c r="X668" s="39"/>
      <c r="Y668" s="39"/>
      <c r="Z668" s="39"/>
      <c r="AA668" s="39"/>
      <c r="AB668" s="39"/>
    </row>
    <row r="669">
      <c r="C669" s="39"/>
      <c r="J669" s="39"/>
      <c r="K669" s="39"/>
      <c r="O669" s="39"/>
      <c r="Q669" s="39"/>
      <c r="R669" s="39"/>
      <c r="S669" s="39"/>
      <c r="U669" s="39"/>
      <c r="V669" s="39"/>
      <c r="W669" s="39"/>
      <c r="X669" s="39"/>
      <c r="Y669" s="39"/>
      <c r="Z669" s="39"/>
      <c r="AA669" s="39"/>
      <c r="AB669" s="39"/>
    </row>
    <row r="670">
      <c r="C670" s="39"/>
      <c r="J670" s="39"/>
      <c r="K670" s="39"/>
      <c r="O670" s="39"/>
      <c r="Q670" s="39"/>
      <c r="R670" s="39"/>
      <c r="S670" s="39"/>
      <c r="U670" s="39"/>
      <c r="V670" s="39"/>
      <c r="W670" s="39"/>
      <c r="X670" s="39"/>
      <c r="Y670" s="39"/>
      <c r="Z670" s="39"/>
      <c r="AA670" s="39"/>
      <c r="AB670" s="39"/>
    </row>
    <row r="671">
      <c r="C671" s="39"/>
      <c r="J671" s="39"/>
      <c r="K671" s="39"/>
      <c r="O671" s="39"/>
      <c r="Q671" s="39"/>
      <c r="R671" s="39"/>
      <c r="S671" s="39"/>
      <c r="U671" s="39"/>
      <c r="V671" s="39"/>
      <c r="W671" s="39"/>
      <c r="X671" s="39"/>
      <c r="Y671" s="39"/>
      <c r="Z671" s="39"/>
      <c r="AA671" s="39"/>
      <c r="AB671" s="39"/>
    </row>
    <row r="672">
      <c r="C672" s="39"/>
      <c r="J672" s="39"/>
      <c r="K672" s="39"/>
      <c r="O672" s="39"/>
      <c r="Q672" s="39"/>
      <c r="R672" s="39"/>
      <c r="S672" s="39"/>
      <c r="U672" s="39"/>
      <c r="V672" s="39"/>
      <c r="W672" s="39"/>
      <c r="X672" s="39"/>
      <c r="Y672" s="39"/>
      <c r="Z672" s="39"/>
      <c r="AA672" s="39"/>
      <c r="AB672" s="39"/>
    </row>
    <row r="673">
      <c r="C673" s="39"/>
      <c r="J673" s="39"/>
      <c r="K673" s="39"/>
      <c r="O673" s="39"/>
      <c r="Q673" s="39"/>
      <c r="R673" s="39"/>
      <c r="S673" s="39"/>
      <c r="U673" s="39"/>
      <c r="V673" s="39"/>
      <c r="W673" s="39"/>
      <c r="X673" s="39"/>
      <c r="Y673" s="39"/>
      <c r="Z673" s="39"/>
      <c r="AA673" s="39"/>
      <c r="AB673" s="39"/>
    </row>
    <row r="674">
      <c r="C674" s="39"/>
      <c r="J674" s="39"/>
      <c r="K674" s="39"/>
      <c r="O674" s="39"/>
      <c r="Q674" s="39"/>
      <c r="R674" s="39"/>
      <c r="S674" s="39"/>
      <c r="U674" s="39"/>
      <c r="V674" s="39"/>
      <c r="W674" s="39"/>
      <c r="X674" s="39"/>
      <c r="Y674" s="39"/>
      <c r="Z674" s="39"/>
      <c r="AA674" s="39"/>
      <c r="AB674" s="39"/>
    </row>
    <row r="675">
      <c r="C675" s="39"/>
      <c r="J675" s="39"/>
      <c r="K675" s="39"/>
      <c r="O675" s="39"/>
      <c r="Q675" s="39"/>
      <c r="R675" s="39"/>
      <c r="S675" s="39"/>
      <c r="U675" s="39"/>
      <c r="V675" s="39"/>
      <c r="W675" s="39"/>
      <c r="X675" s="39"/>
      <c r="Y675" s="39"/>
      <c r="Z675" s="39"/>
      <c r="AA675" s="39"/>
      <c r="AB675" s="39"/>
    </row>
    <row r="676">
      <c r="C676" s="39"/>
      <c r="J676" s="39"/>
      <c r="K676" s="39"/>
      <c r="O676" s="39"/>
      <c r="Q676" s="39"/>
      <c r="R676" s="39"/>
      <c r="S676" s="39"/>
      <c r="U676" s="39"/>
      <c r="V676" s="39"/>
      <c r="W676" s="39"/>
      <c r="X676" s="39"/>
      <c r="Y676" s="39"/>
      <c r="Z676" s="39"/>
      <c r="AA676" s="39"/>
      <c r="AB676" s="39"/>
    </row>
    <row r="677">
      <c r="C677" s="39"/>
      <c r="J677" s="39"/>
      <c r="K677" s="39"/>
      <c r="O677" s="39"/>
      <c r="Q677" s="39"/>
      <c r="R677" s="39"/>
      <c r="S677" s="39"/>
      <c r="U677" s="39"/>
      <c r="V677" s="39"/>
      <c r="W677" s="39"/>
      <c r="X677" s="39"/>
      <c r="Y677" s="39"/>
      <c r="Z677" s="39"/>
      <c r="AA677" s="39"/>
      <c r="AB677" s="39"/>
    </row>
    <row r="678">
      <c r="C678" s="39"/>
      <c r="J678" s="39"/>
      <c r="K678" s="39"/>
      <c r="O678" s="39"/>
      <c r="Q678" s="39"/>
      <c r="R678" s="39"/>
      <c r="S678" s="39"/>
      <c r="U678" s="39"/>
      <c r="V678" s="39"/>
      <c r="W678" s="39"/>
      <c r="X678" s="39"/>
      <c r="Y678" s="39"/>
      <c r="Z678" s="39"/>
      <c r="AA678" s="39"/>
      <c r="AB678" s="39"/>
    </row>
    <row r="679">
      <c r="C679" s="39"/>
      <c r="J679" s="39"/>
      <c r="K679" s="39"/>
      <c r="O679" s="39"/>
      <c r="Q679" s="39"/>
      <c r="R679" s="39"/>
      <c r="S679" s="39"/>
      <c r="U679" s="39"/>
      <c r="V679" s="39"/>
      <c r="W679" s="39"/>
      <c r="X679" s="39"/>
      <c r="Y679" s="39"/>
      <c r="Z679" s="39"/>
      <c r="AA679" s="39"/>
      <c r="AB679" s="39"/>
    </row>
    <row r="680">
      <c r="C680" s="39"/>
      <c r="J680" s="39"/>
      <c r="K680" s="39"/>
      <c r="O680" s="39"/>
      <c r="Q680" s="39"/>
      <c r="R680" s="39"/>
      <c r="S680" s="39"/>
      <c r="U680" s="39"/>
      <c r="V680" s="39"/>
      <c r="W680" s="39"/>
      <c r="X680" s="39"/>
      <c r="Y680" s="39"/>
      <c r="Z680" s="39"/>
      <c r="AA680" s="39"/>
      <c r="AB680" s="39"/>
    </row>
    <row r="681">
      <c r="C681" s="39"/>
      <c r="J681" s="39"/>
      <c r="K681" s="39"/>
      <c r="O681" s="39"/>
      <c r="Q681" s="39"/>
      <c r="R681" s="39"/>
      <c r="S681" s="39"/>
      <c r="U681" s="39"/>
      <c r="V681" s="39"/>
      <c r="W681" s="39"/>
      <c r="X681" s="39"/>
      <c r="Y681" s="39"/>
      <c r="Z681" s="39"/>
      <c r="AA681" s="39"/>
      <c r="AB681" s="39"/>
    </row>
    <row r="682">
      <c r="C682" s="39"/>
      <c r="J682" s="39"/>
      <c r="K682" s="39"/>
      <c r="O682" s="39"/>
      <c r="Q682" s="39"/>
      <c r="R682" s="39"/>
      <c r="S682" s="39"/>
      <c r="U682" s="39"/>
      <c r="V682" s="39"/>
      <c r="W682" s="39"/>
      <c r="X682" s="39"/>
      <c r="Y682" s="39"/>
      <c r="Z682" s="39"/>
      <c r="AA682" s="39"/>
      <c r="AB682" s="39"/>
    </row>
    <row r="683">
      <c r="C683" s="39"/>
      <c r="J683" s="39"/>
      <c r="K683" s="39"/>
      <c r="O683" s="39"/>
      <c r="Q683" s="39"/>
      <c r="R683" s="39"/>
      <c r="S683" s="39"/>
      <c r="U683" s="39"/>
      <c r="V683" s="39"/>
      <c r="W683" s="39"/>
      <c r="X683" s="39"/>
      <c r="Y683" s="39"/>
      <c r="Z683" s="39"/>
      <c r="AA683" s="39"/>
      <c r="AB683" s="39"/>
    </row>
    <row r="684">
      <c r="C684" s="39"/>
      <c r="J684" s="39"/>
      <c r="K684" s="39"/>
      <c r="O684" s="39"/>
      <c r="Q684" s="39"/>
      <c r="R684" s="39"/>
      <c r="S684" s="39"/>
      <c r="U684" s="39"/>
      <c r="V684" s="39"/>
      <c r="W684" s="39"/>
      <c r="X684" s="39"/>
      <c r="Y684" s="39"/>
      <c r="Z684" s="39"/>
      <c r="AA684" s="39"/>
      <c r="AB684" s="39"/>
    </row>
    <row r="685">
      <c r="C685" s="39"/>
      <c r="J685" s="39"/>
      <c r="K685" s="39"/>
      <c r="O685" s="39"/>
      <c r="Q685" s="39"/>
      <c r="R685" s="39"/>
      <c r="S685" s="39"/>
      <c r="U685" s="39"/>
      <c r="V685" s="39"/>
      <c r="W685" s="39"/>
      <c r="X685" s="39"/>
      <c r="Y685" s="39"/>
      <c r="Z685" s="39"/>
      <c r="AA685" s="39"/>
      <c r="AB685" s="39"/>
    </row>
    <row r="686">
      <c r="C686" s="39"/>
      <c r="J686" s="39"/>
      <c r="K686" s="39"/>
      <c r="O686" s="39"/>
      <c r="Q686" s="39"/>
      <c r="R686" s="39"/>
      <c r="S686" s="39"/>
      <c r="U686" s="39"/>
      <c r="V686" s="39"/>
      <c r="W686" s="39"/>
      <c r="X686" s="39"/>
      <c r="Y686" s="39"/>
      <c r="Z686" s="39"/>
      <c r="AA686" s="39"/>
      <c r="AB686" s="39"/>
    </row>
    <row r="687">
      <c r="C687" s="39"/>
      <c r="J687" s="39"/>
      <c r="K687" s="39"/>
      <c r="O687" s="39"/>
      <c r="Q687" s="39"/>
      <c r="R687" s="39"/>
      <c r="S687" s="39"/>
      <c r="U687" s="39"/>
      <c r="V687" s="39"/>
      <c r="W687" s="39"/>
      <c r="X687" s="39"/>
      <c r="Y687" s="39"/>
      <c r="Z687" s="39"/>
      <c r="AA687" s="39"/>
      <c r="AB687" s="39"/>
    </row>
    <row r="688">
      <c r="C688" s="39"/>
      <c r="J688" s="39"/>
      <c r="K688" s="39"/>
      <c r="O688" s="39"/>
      <c r="Q688" s="39"/>
      <c r="R688" s="39"/>
      <c r="S688" s="39"/>
      <c r="U688" s="39"/>
      <c r="V688" s="39"/>
      <c r="W688" s="39"/>
      <c r="X688" s="39"/>
      <c r="Y688" s="39"/>
      <c r="Z688" s="39"/>
      <c r="AA688" s="39"/>
      <c r="AB688" s="39"/>
    </row>
    <row r="689">
      <c r="C689" s="39"/>
      <c r="J689" s="39"/>
      <c r="K689" s="39"/>
      <c r="O689" s="39"/>
      <c r="Q689" s="39"/>
      <c r="R689" s="39"/>
      <c r="S689" s="39"/>
      <c r="U689" s="39"/>
      <c r="V689" s="39"/>
      <c r="W689" s="39"/>
      <c r="X689" s="39"/>
      <c r="Y689" s="39"/>
      <c r="Z689" s="39"/>
      <c r="AA689" s="39"/>
      <c r="AB689" s="39"/>
    </row>
    <row r="690">
      <c r="C690" s="39"/>
      <c r="J690" s="39"/>
      <c r="K690" s="39"/>
      <c r="O690" s="39"/>
      <c r="Q690" s="39"/>
      <c r="R690" s="39"/>
      <c r="S690" s="39"/>
      <c r="U690" s="39"/>
      <c r="V690" s="39"/>
      <c r="W690" s="39"/>
      <c r="X690" s="39"/>
      <c r="Y690" s="39"/>
      <c r="Z690" s="39"/>
      <c r="AA690" s="39"/>
      <c r="AB690" s="39"/>
    </row>
    <row r="691">
      <c r="C691" s="39"/>
      <c r="J691" s="39"/>
      <c r="K691" s="39"/>
      <c r="O691" s="39"/>
      <c r="Q691" s="39"/>
      <c r="R691" s="39"/>
      <c r="S691" s="39"/>
      <c r="U691" s="39"/>
      <c r="V691" s="39"/>
      <c r="W691" s="39"/>
      <c r="X691" s="39"/>
      <c r="Y691" s="39"/>
      <c r="Z691" s="39"/>
      <c r="AA691" s="39"/>
      <c r="AB691" s="39"/>
    </row>
    <row r="692">
      <c r="C692" s="39"/>
      <c r="J692" s="39"/>
      <c r="K692" s="39"/>
      <c r="O692" s="39"/>
      <c r="Q692" s="39"/>
      <c r="R692" s="39"/>
      <c r="S692" s="39"/>
      <c r="U692" s="39"/>
      <c r="V692" s="39"/>
      <c r="W692" s="39"/>
      <c r="X692" s="39"/>
      <c r="Y692" s="39"/>
      <c r="Z692" s="39"/>
      <c r="AA692" s="39"/>
      <c r="AB692" s="39"/>
    </row>
    <row r="693">
      <c r="C693" s="39"/>
      <c r="J693" s="39"/>
      <c r="K693" s="39"/>
      <c r="O693" s="39"/>
      <c r="Q693" s="39"/>
      <c r="R693" s="39"/>
      <c r="S693" s="39"/>
      <c r="U693" s="39"/>
      <c r="V693" s="39"/>
      <c r="W693" s="39"/>
      <c r="X693" s="39"/>
      <c r="Y693" s="39"/>
      <c r="Z693" s="39"/>
      <c r="AA693" s="39"/>
      <c r="AB693" s="39"/>
    </row>
    <row r="694">
      <c r="C694" s="39"/>
      <c r="J694" s="39"/>
      <c r="K694" s="39"/>
      <c r="O694" s="39"/>
      <c r="Q694" s="39"/>
      <c r="R694" s="39"/>
      <c r="S694" s="39"/>
      <c r="U694" s="39"/>
      <c r="V694" s="39"/>
      <c r="W694" s="39"/>
      <c r="X694" s="39"/>
      <c r="Y694" s="39"/>
      <c r="Z694" s="39"/>
      <c r="AA694" s="39"/>
      <c r="AB694" s="39"/>
    </row>
    <row r="695">
      <c r="C695" s="39"/>
      <c r="J695" s="39"/>
      <c r="K695" s="39"/>
      <c r="O695" s="39"/>
      <c r="Q695" s="39"/>
      <c r="R695" s="39"/>
      <c r="S695" s="39"/>
      <c r="U695" s="39"/>
      <c r="V695" s="39"/>
      <c r="W695" s="39"/>
      <c r="X695" s="39"/>
      <c r="Y695" s="39"/>
      <c r="Z695" s="39"/>
      <c r="AA695" s="39"/>
      <c r="AB695" s="39"/>
    </row>
    <row r="696">
      <c r="C696" s="39"/>
      <c r="J696" s="39"/>
      <c r="K696" s="39"/>
      <c r="O696" s="39"/>
      <c r="Q696" s="39"/>
      <c r="R696" s="39"/>
      <c r="S696" s="39"/>
      <c r="U696" s="39"/>
      <c r="V696" s="39"/>
      <c r="W696" s="39"/>
      <c r="X696" s="39"/>
      <c r="Y696" s="39"/>
      <c r="Z696" s="39"/>
      <c r="AA696" s="39"/>
      <c r="AB696" s="39"/>
    </row>
    <row r="697">
      <c r="C697" s="39"/>
      <c r="J697" s="39"/>
      <c r="K697" s="39"/>
      <c r="O697" s="39"/>
      <c r="Q697" s="39"/>
      <c r="R697" s="39"/>
      <c r="S697" s="39"/>
      <c r="U697" s="39"/>
      <c r="V697" s="39"/>
      <c r="W697" s="39"/>
      <c r="X697" s="39"/>
      <c r="Y697" s="39"/>
      <c r="Z697" s="39"/>
      <c r="AA697" s="39"/>
      <c r="AB697" s="39"/>
    </row>
    <row r="698">
      <c r="C698" s="39"/>
      <c r="J698" s="39"/>
      <c r="K698" s="39"/>
      <c r="O698" s="39"/>
      <c r="Q698" s="39"/>
      <c r="R698" s="39"/>
      <c r="S698" s="39"/>
      <c r="U698" s="39"/>
      <c r="V698" s="39"/>
      <c r="W698" s="39"/>
      <c r="X698" s="39"/>
      <c r="Y698" s="39"/>
      <c r="Z698" s="39"/>
      <c r="AA698" s="39"/>
      <c r="AB698" s="39"/>
    </row>
    <row r="699">
      <c r="C699" s="39"/>
      <c r="J699" s="39"/>
      <c r="K699" s="39"/>
      <c r="O699" s="39"/>
      <c r="Q699" s="39"/>
      <c r="R699" s="39"/>
      <c r="S699" s="39"/>
      <c r="U699" s="39"/>
      <c r="V699" s="39"/>
      <c r="W699" s="39"/>
      <c r="X699" s="39"/>
      <c r="Y699" s="39"/>
      <c r="Z699" s="39"/>
      <c r="AA699" s="39"/>
      <c r="AB699" s="39"/>
    </row>
    <row r="700">
      <c r="C700" s="39"/>
      <c r="J700" s="39"/>
      <c r="K700" s="39"/>
      <c r="O700" s="39"/>
      <c r="Q700" s="39"/>
      <c r="R700" s="39"/>
      <c r="S700" s="39"/>
      <c r="U700" s="39"/>
      <c r="V700" s="39"/>
      <c r="W700" s="39"/>
      <c r="X700" s="39"/>
      <c r="Y700" s="39"/>
      <c r="Z700" s="39"/>
      <c r="AA700" s="39"/>
      <c r="AB700" s="39"/>
    </row>
    <row r="701">
      <c r="C701" s="39"/>
      <c r="J701" s="39"/>
      <c r="K701" s="39"/>
      <c r="O701" s="39"/>
      <c r="Q701" s="39"/>
      <c r="R701" s="39"/>
      <c r="S701" s="39"/>
      <c r="U701" s="39"/>
      <c r="V701" s="39"/>
      <c r="W701" s="39"/>
      <c r="X701" s="39"/>
      <c r="Y701" s="39"/>
      <c r="Z701" s="39"/>
      <c r="AA701" s="39"/>
      <c r="AB701" s="39"/>
    </row>
    <row r="702">
      <c r="C702" s="39"/>
      <c r="J702" s="39"/>
      <c r="K702" s="39"/>
      <c r="O702" s="39"/>
      <c r="Q702" s="39"/>
      <c r="R702" s="39"/>
      <c r="S702" s="39"/>
      <c r="U702" s="39"/>
      <c r="V702" s="39"/>
      <c r="W702" s="39"/>
      <c r="X702" s="39"/>
      <c r="Y702" s="39"/>
      <c r="Z702" s="39"/>
      <c r="AA702" s="39"/>
      <c r="AB702" s="39"/>
    </row>
    <row r="703">
      <c r="C703" s="39"/>
      <c r="J703" s="39"/>
      <c r="K703" s="39"/>
      <c r="O703" s="39"/>
      <c r="Q703" s="39"/>
      <c r="R703" s="39"/>
      <c r="S703" s="39"/>
      <c r="U703" s="39"/>
      <c r="V703" s="39"/>
      <c r="W703" s="39"/>
      <c r="X703" s="39"/>
      <c r="Y703" s="39"/>
      <c r="Z703" s="39"/>
      <c r="AA703" s="39"/>
      <c r="AB703" s="39"/>
    </row>
    <row r="704">
      <c r="C704" s="39"/>
      <c r="J704" s="39"/>
      <c r="K704" s="39"/>
      <c r="O704" s="39"/>
      <c r="Q704" s="39"/>
      <c r="R704" s="39"/>
      <c r="S704" s="39"/>
      <c r="U704" s="39"/>
      <c r="V704" s="39"/>
      <c r="W704" s="39"/>
      <c r="X704" s="39"/>
      <c r="Y704" s="39"/>
      <c r="Z704" s="39"/>
      <c r="AA704" s="39"/>
      <c r="AB704" s="39"/>
    </row>
    <row r="705">
      <c r="C705" s="39"/>
      <c r="J705" s="39"/>
      <c r="K705" s="39"/>
      <c r="O705" s="39"/>
      <c r="Q705" s="39"/>
      <c r="R705" s="39"/>
      <c r="S705" s="39"/>
      <c r="U705" s="39"/>
      <c r="V705" s="39"/>
      <c r="W705" s="39"/>
      <c r="X705" s="39"/>
      <c r="Y705" s="39"/>
      <c r="Z705" s="39"/>
      <c r="AA705" s="39"/>
      <c r="AB705" s="39"/>
    </row>
    <row r="706">
      <c r="C706" s="39"/>
      <c r="J706" s="39"/>
      <c r="K706" s="39"/>
      <c r="O706" s="39"/>
      <c r="Q706" s="39"/>
      <c r="R706" s="39"/>
      <c r="S706" s="39"/>
      <c r="U706" s="39"/>
      <c r="V706" s="39"/>
      <c r="W706" s="39"/>
      <c r="X706" s="39"/>
      <c r="Y706" s="39"/>
      <c r="Z706" s="39"/>
      <c r="AA706" s="39"/>
      <c r="AB706" s="39"/>
    </row>
    <row r="707">
      <c r="C707" s="39"/>
      <c r="J707" s="39"/>
      <c r="K707" s="39"/>
      <c r="O707" s="39"/>
      <c r="Q707" s="39"/>
      <c r="R707" s="39"/>
      <c r="S707" s="39"/>
      <c r="U707" s="39"/>
      <c r="V707" s="39"/>
      <c r="W707" s="39"/>
      <c r="X707" s="39"/>
      <c r="Y707" s="39"/>
      <c r="Z707" s="39"/>
      <c r="AA707" s="39"/>
      <c r="AB707" s="39"/>
    </row>
    <row r="708">
      <c r="C708" s="39"/>
      <c r="J708" s="39"/>
      <c r="K708" s="39"/>
      <c r="O708" s="39"/>
      <c r="Q708" s="39"/>
      <c r="R708" s="39"/>
      <c r="S708" s="39"/>
      <c r="U708" s="39"/>
      <c r="V708" s="39"/>
      <c r="W708" s="39"/>
      <c r="X708" s="39"/>
      <c r="Y708" s="39"/>
      <c r="Z708" s="39"/>
      <c r="AA708" s="39"/>
      <c r="AB708" s="39"/>
    </row>
    <row r="709">
      <c r="C709" s="39"/>
      <c r="J709" s="39"/>
      <c r="K709" s="39"/>
      <c r="O709" s="39"/>
      <c r="Q709" s="39"/>
      <c r="R709" s="39"/>
      <c r="S709" s="39"/>
      <c r="U709" s="39"/>
      <c r="V709" s="39"/>
      <c r="W709" s="39"/>
      <c r="X709" s="39"/>
      <c r="Y709" s="39"/>
      <c r="Z709" s="39"/>
      <c r="AA709" s="39"/>
      <c r="AB709" s="39"/>
    </row>
    <row r="710">
      <c r="C710" s="39"/>
      <c r="J710" s="39"/>
      <c r="K710" s="39"/>
      <c r="O710" s="39"/>
      <c r="Q710" s="39"/>
      <c r="R710" s="39"/>
      <c r="S710" s="39"/>
      <c r="U710" s="39"/>
      <c r="V710" s="39"/>
      <c r="W710" s="39"/>
      <c r="X710" s="39"/>
      <c r="Y710" s="39"/>
      <c r="Z710" s="39"/>
      <c r="AA710" s="39"/>
      <c r="AB710" s="39"/>
    </row>
    <row r="711">
      <c r="C711" s="39"/>
      <c r="J711" s="39"/>
      <c r="K711" s="39"/>
      <c r="O711" s="39"/>
      <c r="Q711" s="39"/>
      <c r="R711" s="39"/>
      <c r="S711" s="39"/>
      <c r="U711" s="39"/>
      <c r="V711" s="39"/>
      <c r="W711" s="39"/>
      <c r="X711" s="39"/>
      <c r="Y711" s="39"/>
      <c r="Z711" s="39"/>
      <c r="AA711" s="39"/>
      <c r="AB711" s="39"/>
    </row>
    <row r="712">
      <c r="C712" s="39"/>
      <c r="J712" s="39"/>
      <c r="K712" s="39"/>
      <c r="O712" s="39"/>
      <c r="Q712" s="39"/>
      <c r="R712" s="39"/>
      <c r="S712" s="39"/>
      <c r="U712" s="39"/>
      <c r="V712" s="39"/>
      <c r="W712" s="39"/>
      <c r="X712" s="39"/>
      <c r="Y712" s="39"/>
      <c r="Z712" s="39"/>
      <c r="AA712" s="39"/>
      <c r="AB712" s="39"/>
    </row>
    <row r="713">
      <c r="C713" s="39"/>
      <c r="J713" s="39"/>
      <c r="K713" s="39"/>
      <c r="O713" s="39"/>
      <c r="Q713" s="39"/>
      <c r="R713" s="39"/>
      <c r="S713" s="39"/>
      <c r="U713" s="39"/>
      <c r="V713" s="39"/>
      <c r="W713" s="39"/>
      <c r="X713" s="39"/>
      <c r="Y713" s="39"/>
      <c r="Z713" s="39"/>
      <c r="AA713" s="39"/>
      <c r="AB713" s="39"/>
    </row>
    <row r="714">
      <c r="C714" s="39"/>
      <c r="J714" s="39"/>
      <c r="K714" s="39"/>
      <c r="O714" s="39"/>
      <c r="Q714" s="39"/>
      <c r="R714" s="39"/>
      <c r="S714" s="39"/>
      <c r="U714" s="39"/>
      <c r="V714" s="39"/>
      <c r="W714" s="39"/>
      <c r="X714" s="39"/>
      <c r="Y714" s="39"/>
      <c r="Z714" s="39"/>
      <c r="AA714" s="39"/>
      <c r="AB714" s="39"/>
    </row>
    <row r="715">
      <c r="C715" s="39"/>
      <c r="J715" s="39"/>
      <c r="K715" s="39"/>
      <c r="O715" s="39"/>
      <c r="Q715" s="39"/>
      <c r="R715" s="39"/>
      <c r="S715" s="39"/>
      <c r="U715" s="39"/>
      <c r="V715" s="39"/>
      <c r="W715" s="39"/>
      <c r="X715" s="39"/>
      <c r="Y715" s="39"/>
      <c r="Z715" s="39"/>
      <c r="AA715" s="39"/>
      <c r="AB715" s="39"/>
    </row>
    <row r="716">
      <c r="C716" s="39"/>
      <c r="J716" s="39"/>
      <c r="K716" s="39"/>
      <c r="O716" s="39"/>
      <c r="Q716" s="39"/>
      <c r="R716" s="39"/>
      <c r="S716" s="39"/>
      <c r="U716" s="39"/>
      <c r="V716" s="39"/>
      <c r="W716" s="39"/>
      <c r="X716" s="39"/>
      <c r="Y716" s="39"/>
      <c r="Z716" s="39"/>
      <c r="AA716" s="39"/>
      <c r="AB716" s="39"/>
    </row>
    <row r="717">
      <c r="C717" s="39"/>
      <c r="J717" s="39"/>
      <c r="K717" s="39"/>
      <c r="O717" s="39"/>
      <c r="Q717" s="39"/>
      <c r="R717" s="39"/>
      <c r="S717" s="39"/>
      <c r="U717" s="39"/>
      <c r="V717" s="39"/>
      <c r="W717" s="39"/>
      <c r="X717" s="39"/>
      <c r="Y717" s="39"/>
      <c r="Z717" s="39"/>
      <c r="AA717" s="39"/>
      <c r="AB717" s="39"/>
    </row>
    <row r="718">
      <c r="C718" s="39"/>
      <c r="J718" s="39"/>
      <c r="K718" s="39"/>
      <c r="O718" s="39"/>
      <c r="Q718" s="39"/>
      <c r="R718" s="39"/>
      <c r="S718" s="39"/>
      <c r="U718" s="39"/>
      <c r="V718" s="39"/>
      <c r="W718" s="39"/>
      <c r="X718" s="39"/>
      <c r="Y718" s="39"/>
      <c r="Z718" s="39"/>
      <c r="AA718" s="39"/>
      <c r="AB718" s="39"/>
    </row>
    <row r="719">
      <c r="C719" s="39"/>
      <c r="J719" s="39"/>
      <c r="K719" s="39"/>
      <c r="O719" s="39"/>
      <c r="Q719" s="39"/>
      <c r="R719" s="39"/>
      <c r="S719" s="39"/>
      <c r="U719" s="39"/>
      <c r="V719" s="39"/>
      <c r="W719" s="39"/>
      <c r="X719" s="39"/>
      <c r="Y719" s="39"/>
      <c r="Z719" s="39"/>
      <c r="AA719" s="39"/>
      <c r="AB719" s="39"/>
    </row>
    <row r="720">
      <c r="C720" s="39"/>
      <c r="J720" s="39"/>
      <c r="K720" s="39"/>
      <c r="O720" s="39"/>
      <c r="Q720" s="39"/>
      <c r="R720" s="39"/>
      <c r="S720" s="39"/>
      <c r="U720" s="39"/>
      <c r="V720" s="39"/>
      <c r="W720" s="39"/>
      <c r="X720" s="39"/>
      <c r="Y720" s="39"/>
      <c r="Z720" s="39"/>
      <c r="AA720" s="39"/>
      <c r="AB720" s="39"/>
    </row>
    <row r="721">
      <c r="C721" s="39"/>
      <c r="J721" s="39"/>
      <c r="K721" s="39"/>
      <c r="O721" s="39"/>
      <c r="Q721" s="39"/>
      <c r="R721" s="39"/>
      <c r="S721" s="39"/>
      <c r="U721" s="39"/>
      <c r="V721" s="39"/>
      <c r="W721" s="39"/>
      <c r="X721" s="39"/>
      <c r="Y721" s="39"/>
      <c r="Z721" s="39"/>
      <c r="AA721" s="39"/>
      <c r="AB721" s="39"/>
    </row>
    <row r="722">
      <c r="C722" s="39"/>
      <c r="J722" s="39"/>
      <c r="K722" s="39"/>
      <c r="O722" s="39"/>
      <c r="Q722" s="39"/>
      <c r="R722" s="39"/>
      <c r="S722" s="39"/>
      <c r="U722" s="39"/>
      <c r="V722" s="39"/>
      <c r="W722" s="39"/>
      <c r="X722" s="39"/>
      <c r="Y722" s="39"/>
      <c r="Z722" s="39"/>
      <c r="AA722" s="39"/>
      <c r="AB722" s="39"/>
    </row>
    <row r="723">
      <c r="C723" s="39"/>
      <c r="J723" s="39"/>
      <c r="K723" s="39"/>
      <c r="O723" s="39"/>
      <c r="Q723" s="39"/>
      <c r="R723" s="39"/>
      <c r="S723" s="39"/>
      <c r="U723" s="39"/>
      <c r="V723" s="39"/>
      <c r="W723" s="39"/>
      <c r="X723" s="39"/>
      <c r="Y723" s="39"/>
      <c r="Z723" s="39"/>
      <c r="AA723" s="39"/>
      <c r="AB723" s="39"/>
    </row>
    <row r="724">
      <c r="C724" s="39"/>
      <c r="J724" s="39"/>
      <c r="K724" s="39"/>
      <c r="O724" s="39"/>
      <c r="Q724" s="39"/>
      <c r="R724" s="39"/>
      <c r="S724" s="39"/>
      <c r="U724" s="39"/>
      <c r="V724" s="39"/>
      <c r="W724" s="39"/>
      <c r="X724" s="39"/>
      <c r="Y724" s="39"/>
      <c r="Z724" s="39"/>
      <c r="AA724" s="39"/>
      <c r="AB724" s="39"/>
    </row>
    <row r="725">
      <c r="C725" s="39"/>
      <c r="J725" s="39"/>
      <c r="K725" s="39"/>
      <c r="O725" s="39"/>
      <c r="Q725" s="39"/>
      <c r="R725" s="39"/>
      <c r="S725" s="39"/>
      <c r="U725" s="39"/>
      <c r="V725" s="39"/>
      <c r="W725" s="39"/>
      <c r="X725" s="39"/>
      <c r="Y725" s="39"/>
      <c r="Z725" s="39"/>
      <c r="AA725" s="39"/>
      <c r="AB725" s="39"/>
    </row>
    <row r="726">
      <c r="C726" s="39"/>
      <c r="J726" s="39"/>
      <c r="K726" s="39"/>
      <c r="O726" s="39"/>
      <c r="Q726" s="39"/>
      <c r="R726" s="39"/>
      <c r="S726" s="39"/>
      <c r="U726" s="39"/>
      <c r="V726" s="39"/>
      <c r="W726" s="39"/>
      <c r="X726" s="39"/>
      <c r="Y726" s="39"/>
      <c r="Z726" s="39"/>
      <c r="AA726" s="39"/>
      <c r="AB726" s="39"/>
    </row>
    <row r="727">
      <c r="C727" s="39"/>
      <c r="J727" s="39"/>
      <c r="K727" s="39"/>
      <c r="O727" s="39"/>
      <c r="Q727" s="39"/>
      <c r="R727" s="39"/>
      <c r="S727" s="39"/>
      <c r="U727" s="39"/>
      <c r="V727" s="39"/>
      <c r="W727" s="39"/>
      <c r="X727" s="39"/>
      <c r="Y727" s="39"/>
      <c r="Z727" s="39"/>
      <c r="AA727" s="39"/>
      <c r="AB727" s="39"/>
    </row>
    <row r="728">
      <c r="C728" s="39"/>
      <c r="J728" s="39"/>
      <c r="K728" s="39"/>
      <c r="O728" s="39"/>
      <c r="Q728" s="39"/>
      <c r="R728" s="39"/>
      <c r="S728" s="39"/>
      <c r="U728" s="39"/>
      <c r="V728" s="39"/>
      <c r="W728" s="39"/>
      <c r="X728" s="39"/>
      <c r="Y728" s="39"/>
      <c r="Z728" s="39"/>
      <c r="AA728" s="39"/>
      <c r="AB728" s="39"/>
    </row>
    <row r="729">
      <c r="C729" s="39"/>
      <c r="J729" s="39"/>
      <c r="K729" s="39"/>
      <c r="O729" s="39"/>
      <c r="Q729" s="39"/>
      <c r="R729" s="39"/>
      <c r="S729" s="39"/>
      <c r="U729" s="39"/>
      <c r="V729" s="39"/>
      <c r="W729" s="39"/>
      <c r="X729" s="39"/>
      <c r="Y729" s="39"/>
      <c r="Z729" s="39"/>
      <c r="AA729" s="39"/>
      <c r="AB729" s="39"/>
    </row>
    <row r="730">
      <c r="C730" s="39"/>
      <c r="J730" s="39"/>
      <c r="K730" s="39"/>
      <c r="O730" s="39"/>
      <c r="Q730" s="39"/>
      <c r="R730" s="39"/>
      <c r="S730" s="39"/>
      <c r="U730" s="39"/>
      <c r="V730" s="39"/>
      <c r="W730" s="39"/>
      <c r="X730" s="39"/>
      <c r="Y730" s="39"/>
      <c r="Z730" s="39"/>
      <c r="AA730" s="39"/>
      <c r="AB730" s="39"/>
    </row>
    <row r="731">
      <c r="C731" s="39"/>
      <c r="J731" s="39"/>
      <c r="K731" s="39"/>
      <c r="O731" s="39"/>
      <c r="Q731" s="39"/>
      <c r="R731" s="39"/>
      <c r="S731" s="39"/>
      <c r="U731" s="39"/>
      <c r="V731" s="39"/>
      <c r="W731" s="39"/>
      <c r="X731" s="39"/>
      <c r="Y731" s="39"/>
      <c r="Z731" s="39"/>
      <c r="AA731" s="39"/>
      <c r="AB731" s="39"/>
    </row>
    <row r="732">
      <c r="C732" s="39"/>
      <c r="J732" s="39"/>
      <c r="K732" s="39"/>
      <c r="O732" s="39"/>
      <c r="Q732" s="39"/>
      <c r="R732" s="39"/>
      <c r="S732" s="39"/>
      <c r="U732" s="39"/>
      <c r="V732" s="39"/>
      <c r="W732" s="39"/>
      <c r="X732" s="39"/>
      <c r="Y732" s="39"/>
      <c r="Z732" s="39"/>
      <c r="AA732" s="39"/>
      <c r="AB732" s="39"/>
    </row>
    <row r="733">
      <c r="C733" s="39"/>
      <c r="J733" s="39"/>
      <c r="K733" s="39"/>
      <c r="O733" s="39"/>
      <c r="Q733" s="39"/>
      <c r="R733" s="39"/>
      <c r="S733" s="39"/>
      <c r="U733" s="39"/>
      <c r="V733" s="39"/>
      <c r="W733" s="39"/>
      <c r="X733" s="39"/>
      <c r="Y733" s="39"/>
      <c r="Z733" s="39"/>
      <c r="AA733" s="39"/>
      <c r="AB733" s="39"/>
    </row>
    <row r="734">
      <c r="C734" s="39"/>
      <c r="J734" s="39"/>
      <c r="K734" s="39"/>
      <c r="O734" s="39"/>
      <c r="Q734" s="39"/>
      <c r="R734" s="39"/>
      <c r="S734" s="39"/>
      <c r="U734" s="39"/>
      <c r="V734" s="39"/>
      <c r="W734" s="39"/>
      <c r="X734" s="39"/>
      <c r="Y734" s="39"/>
      <c r="Z734" s="39"/>
      <c r="AA734" s="39"/>
      <c r="AB734" s="39"/>
    </row>
    <row r="735">
      <c r="C735" s="39"/>
      <c r="J735" s="39"/>
      <c r="K735" s="39"/>
      <c r="O735" s="39"/>
      <c r="Q735" s="39"/>
      <c r="R735" s="39"/>
      <c r="S735" s="39"/>
      <c r="U735" s="39"/>
      <c r="V735" s="39"/>
      <c r="W735" s="39"/>
      <c r="X735" s="39"/>
      <c r="Y735" s="39"/>
      <c r="Z735" s="39"/>
      <c r="AA735" s="39"/>
      <c r="AB735" s="39"/>
    </row>
    <row r="736">
      <c r="C736" s="39"/>
      <c r="J736" s="39"/>
      <c r="K736" s="39"/>
      <c r="O736" s="39"/>
      <c r="Q736" s="39"/>
      <c r="R736" s="39"/>
      <c r="S736" s="39"/>
      <c r="U736" s="39"/>
      <c r="V736" s="39"/>
      <c r="W736" s="39"/>
      <c r="X736" s="39"/>
      <c r="Y736" s="39"/>
      <c r="Z736" s="39"/>
      <c r="AA736" s="39"/>
      <c r="AB736" s="39"/>
    </row>
    <row r="737">
      <c r="C737" s="39"/>
      <c r="J737" s="39"/>
      <c r="K737" s="39"/>
      <c r="O737" s="39"/>
      <c r="Q737" s="39"/>
      <c r="R737" s="39"/>
      <c r="S737" s="39"/>
      <c r="U737" s="39"/>
      <c r="V737" s="39"/>
      <c r="W737" s="39"/>
      <c r="X737" s="39"/>
      <c r="Y737" s="39"/>
      <c r="Z737" s="39"/>
      <c r="AA737" s="39"/>
      <c r="AB737" s="39"/>
    </row>
    <row r="738">
      <c r="C738" s="39"/>
      <c r="J738" s="39"/>
      <c r="K738" s="39"/>
      <c r="O738" s="39"/>
      <c r="Q738" s="39"/>
      <c r="R738" s="39"/>
      <c r="S738" s="39"/>
      <c r="U738" s="39"/>
      <c r="V738" s="39"/>
      <c r="W738" s="39"/>
      <c r="X738" s="39"/>
      <c r="Y738" s="39"/>
      <c r="Z738" s="39"/>
      <c r="AA738" s="39"/>
      <c r="AB738" s="39"/>
    </row>
    <row r="739">
      <c r="C739" s="39"/>
      <c r="J739" s="39"/>
      <c r="K739" s="39"/>
      <c r="O739" s="39"/>
      <c r="Q739" s="39"/>
      <c r="R739" s="39"/>
      <c r="S739" s="39"/>
      <c r="U739" s="39"/>
      <c r="V739" s="39"/>
      <c r="W739" s="39"/>
      <c r="X739" s="39"/>
      <c r="Y739" s="39"/>
      <c r="Z739" s="39"/>
      <c r="AA739" s="39"/>
      <c r="AB739" s="39"/>
    </row>
    <row r="740">
      <c r="C740" s="39"/>
      <c r="J740" s="39"/>
      <c r="K740" s="39"/>
      <c r="O740" s="39"/>
      <c r="Q740" s="39"/>
      <c r="R740" s="39"/>
      <c r="S740" s="39"/>
      <c r="U740" s="39"/>
      <c r="V740" s="39"/>
      <c r="W740" s="39"/>
      <c r="X740" s="39"/>
      <c r="Y740" s="39"/>
      <c r="Z740" s="39"/>
      <c r="AA740" s="39"/>
      <c r="AB740" s="39"/>
    </row>
    <row r="741">
      <c r="C741" s="39"/>
      <c r="J741" s="39"/>
      <c r="K741" s="39"/>
      <c r="O741" s="39"/>
      <c r="Q741" s="39"/>
      <c r="R741" s="39"/>
      <c r="S741" s="39"/>
      <c r="U741" s="39"/>
      <c r="V741" s="39"/>
      <c r="W741" s="39"/>
      <c r="X741" s="39"/>
      <c r="Y741" s="39"/>
      <c r="Z741" s="39"/>
      <c r="AA741" s="39"/>
      <c r="AB741" s="39"/>
    </row>
    <row r="742">
      <c r="C742" s="39"/>
      <c r="J742" s="39"/>
      <c r="K742" s="39"/>
      <c r="O742" s="39"/>
      <c r="Q742" s="39"/>
      <c r="R742" s="39"/>
      <c r="S742" s="39"/>
      <c r="U742" s="39"/>
      <c r="V742" s="39"/>
      <c r="W742" s="39"/>
      <c r="X742" s="39"/>
      <c r="Y742" s="39"/>
      <c r="Z742" s="39"/>
      <c r="AA742" s="39"/>
      <c r="AB742" s="39"/>
    </row>
    <row r="743">
      <c r="C743" s="39"/>
      <c r="J743" s="39"/>
      <c r="K743" s="39"/>
      <c r="O743" s="39"/>
      <c r="Q743" s="39"/>
      <c r="R743" s="39"/>
      <c r="S743" s="39"/>
      <c r="U743" s="39"/>
      <c r="V743" s="39"/>
      <c r="W743" s="39"/>
      <c r="X743" s="39"/>
      <c r="Y743" s="39"/>
      <c r="Z743" s="39"/>
      <c r="AA743" s="39"/>
      <c r="AB743" s="39"/>
    </row>
    <row r="744">
      <c r="C744" s="39"/>
      <c r="J744" s="39"/>
      <c r="K744" s="39"/>
      <c r="O744" s="39"/>
      <c r="Q744" s="39"/>
      <c r="R744" s="39"/>
      <c r="S744" s="39"/>
      <c r="U744" s="39"/>
      <c r="V744" s="39"/>
      <c r="W744" s="39"/>
      <c r="X744" s="39"/>
      <c r="Y744" s="39"/>
      <c r="Z744" s="39"/>
      <c r="AA744" s="39"/>
      <c r="AB744" s="39"/>
    </row>
    <row r="745">
      <c r="C745" s="39"/>
      <c r="J745" s="39"/>
      <c r="K745" s="39"/>
      <c r="O745" s="39"/>
      <c r="Q745" s="39"/>
      <c r="R745" s="39"/>
      <c r="S745" s="39"/>
      <c r="U745" s="39"/>
      <c r="V745" s="39"/>
      <c r="W745" s="39"/>
      <c r="X745" s="39"/>
      <c r="Y745" s="39"/>
      <c r="Z745" s="39"/>
      <c r="AA745" s="39"/>
      <c r="AB745" s="39"/>
    </row>
    <row r="746">
      <c r="C746" s="39"/>
      <c r="J746" s="39"/>
      <c r="K746" s="39"/>
      <c r="O746" s="39"/>
      <c r="Q746" s="39"/>
      <c r="R746" s="39"/>
      <c r="S746" s="39"/>
      <c r="U746" s="39"/>
      <c r="V746" s="39"/>
      <c r="W746" s="39"/>
      <c r="X746" s="39"/>
      <c r="Y746" s="39"/>
      <c r="Z746" s="39"/>
      <c r="AA746" s="39"/>
      <c r="AB746" s="39"/>
    </row>
    <row r="747">
      <c r="C747" s="39"/>
      <c r="J747" s="39"/>
      <c r="K747" s="39"/>
      <c r="O747" s="39"/>
      <c r="Q747" s="39"/>
      <c r="R747" s="39"/>
      <c r="S747" s="39"/>
      <c r="U747" s="39"/>
      <c r="V747" s="39"/>
      <c r="W747" s="39"/>
      <c r="X747" s="39"/>
      <c r="Y747" s="39"/>
      <c r="Z747" s="39"/>
      <c r="AA747" s="39"/>
      <c r="AB747" s="39"/>
    </row>
    <row r="748">
      <c r="C748" s="39"/>
      <c r="J748" s="39"/>
      <c r="K748" s="39"/>
      <c r="O748" s="39"/>
      <c r="Q748" s="39"/>
      <c r="R748" s="39"/>
      <c r="S748" s="39"/>
      <c r="U748" s="39"/>
      <c r="V748" s="39"/>
      <c r="W748" s="39"/>
      <c r="X748" s="39"/>
      <c r="Y748" s="39"/>
      <c r="Z748" s="39"/>
      <c r="AA748" s="39"/>
      <c r="AB748" s="39"/>
    </row>
    <row r="749">
      <c r="C749" s="39"/>
      <c r="J749" s="39"/>
      <c r="K749" s="39"/>
      <c r="O749" s="39"/>
      <c r="Q749" s="39"/>
      <c r="R749" s="39"/>
      <c r="S749" s="39"/>
      <c r="U749" s="39"/>
      <c r="V749" s="39"/>
      <c r="W749" s="39"/>
      <c r="X749" s="39"/>
      <c r="Y749" s="39"/>
      <c r="Z749" s="39"/>
      <c r="AA749" s="39"/>
      <c r="AB749" s="39"/>
    </row>
    <row r="750">
      <c r="C750" s="39"/>
      <c r="J750" s="39"/>
      <c r="K750" s="39"/>
      <c r="O750" s="39"/>
      <c r="Q750" s="39"/>
      <c r="R750" s="39"/>
      <c r="S750" s="39"/>
      <c r="U750" s="39"/>
      <c r="V750" s="39"/>
      <c r="W750" s="39"/>
      <c r="X750" s="39"/>
      <c r="Y750" s="39"/>
      <c r="Z750" s="39"/>
      <c r="AA750" s="39"/>
      <c r="AB750" s="39"/>
    </row>
    <row r="751">
      <c r="C751" s="39"/>
      <c r="J751" s="39"/>
      <c r="K751" s="39"/>
      <c r="O751" s="39"/>
      <c r="Q751" s="39"/>
      <c r="R751" s="39"/>
      <c r="S751" s="39"/>
      <c r="U751" s="39"/>
      <c r="V751" s="39"/>
      <c r="W751" s="39"/>
      <c r="X751" s="39"/>
      <c r="Y751" s="39"/>
      <c r="Z751" s="39"/>
      <c r="AA751" s="39"/>
      <c r="AB751" s="39"/>
    </row>
    <row r="752">
      <c r="C752" s="39"/>
      <c r="J752" s="39"/>
      <c r="K752" s="39"/>
      <c r="O752" s="39"/>
      <c r="Q752" s="39"/>
      <c r="R752" s="39"/>
      <c r="S752" s="39"/>
      <c r="U752" s="39"/>
      <c r="V752" s="39"/>
      <c r="W752" s="39"/>
      <c r="X752" s="39"/>
      <c r="Y752" s="39"/>
      <c r="Z752" s="39"/>
      <c r="AA752" s="39"/>
      <c r="AB752" s="39"/>
    </row>
    <row r="753">
      <c r="C753" s="39"/>
      <c r="J753" s="39"/>
      <c r="K753" s="39"/>
      <c r="O753" s="39"/>
      <c r="Q753" s="39"/>
      <c r="R753" s="39"/>
      <c r="S753" s="39"/>
      <c r="U753" s="39"/>
      <c r="V753" s="39"/>
      <c r="W753" s="39"/>
      <c r="X753" s="39"/>
      <c r="Y753" s="39"/>
      <c r="Z753" s="39"/>
      <c r="AA753" s="39"/>
      <c r="AB753" s="39"/>
    </row>
    <row r="754">
      <c r="C754" s="39"/>
      <c r="J754" s="39"/>
      <c r="K754" s="39"/>
      <c r="O754" s="39"/>
      <c r="Q754" s="39"/>
      <c r="R754" s="39"/>
      <c r="S754" s="39"/>
      <c r="U754" s="39"/>
      <c r="V754" s="39"/>
      <c r="W754" s="39"/>
      <c r="X754" s="39"/>
      <c r="Y754" s="39"/>
      <c r="Z754" s="39"/>
      <c r="AA754" s="39"/>
      <c r="AB754" s="39"/>
    </row>
    <row r="755">
      <c r="C755" s="39"/>
      <c r="J755" s="39"/>
      <c r="K755" s="39"/>
      <c r="O755" s="39"/>
      <c r="Q755" s="39"/>
      <c r="R755" s="39"/>
      <c r="S755" s="39"/>
      <c r="U755" s="39"/>
      <c r="V755" s="39"/>
      <c r="W755" s="39"/>
      <c r="X755" s="39"/>
      <c r="Y755" s="39"/>
      <c r="Z755" s="39"/>
      <c r="AA755" s="39"/>
      <c r="AB755" s="39"/>
    </row>
    <row r="756">
      <c r="C756" s="39"/>
      <c r="J756" s="39"/>
      <c r="K756" s="39"/>
      <c r="O756" s="39"/>
      <c r="Q756" s="39"/>
      <c r="R756" s="39"/>
      <c r="S756" s="39"/>
      <c r="U756" s="39"/>
      <c r="V756" s="39"/>
      <c r="W756" s="39"/>
      <c r="X756" s="39"/>
      <c r="Y756" s="39"/>
      <c r="Z756" s="39"/>
      <c r="AA756" s="39"/>
      <c r="AB756" s="39"/>
    </row>
    <row r="757">
      <c r="C757" s="39"/>
      <c r="J757" s="39"/>
      <c r="K757" s="39"/>
      <c r="O757" s="39"/>
      <c r="Q757" s="39"/>
      <c r="R757" s="39"/>
      <c r="S757" s="39"/>
      <c r="U757" s="39"/>
      <c r="V757" s="39"/>
      <c r="W757" s="39"/>
      <c r="X757" s="39"/>
      <c r="Y757" s="39"/>
      <c r="Z757" s="39"/>
      <c r="AA757" s="39"/>
      <c r="AB757" s="39"/>
    </row>
    <row r="758">
      <c r="C758" s="39"/>
      <c r="J758" s="39"/>
      <c r="K758" s="39"/>
      <c r="O758" s="39"/>
      <c r="Q758" s="39"/>
      <c r="R758" s="39"/>
      <c r="S758" s="39"/>
      <c r="U758" s="39"/>
      <c r="V758" s="39"/>
      <c r="W758" s="39"/>
      <c r="X758" s="39"/>
      <c r="Y758" s="39"/>
      <c r="Z758" s="39"/>
      <c r="AA758" s="39"/>
      <c r="AB758" s="39"/>
    </row>
    <row r="759">
      <c r="C759" s="39"/>
      <c r="J759" s="39"/>
      <c r="K759" s="39"/>
      <c r="O759" s="39"/>
      <c r="Q759" s="39"/>
      <c r="R759" s="39"/>
      <c r="S759" s="39"/>
      <c r="U759" s="39"/>
      <c r="V759" s="39"/>
      <c r="W759" s="39"/>
      <c r="X759" s="39"/>
      <c r="Y759" s="39"/>
      <c r="Z759" s="39"/>
      <c r="AA759" s="39"/>
      <c r="AB759" s="39"/>
    </row>
    <row r="760">
      <c r="C760" s="39"/>
      <c r="J760" s="39"/>
      <c r="K760" s="39"/>
      <c r="O760" s="39"/>
      <c r="Q760" s="39"/>
      <c r="R760" s="39"/>
      <c r="S760" s="39"/>
      <c r="U760" s="39"/>
      <c r="V760" s="39"/>
      <c r="W760" s="39"/>
      <c r="X760" s="39"/>
      <c r="Y760" s="39"/>
      <c r="Z760" s="39"/>
      <c r="AA760" s="39"/>
      <c r="AB760" s="39"/>
    </row>
    <row r="761">
      <c r="C761" s="39"/>
      <c r="J761" s="39"/>
      <c r="K761" s="39"/>
      <c r="O761" s="39"/>
      <c r="Q761" s="39"/>
      <c r="R761" s="39"/>
      <c r="S761" s="39"/>
      <c r="U761" s="39"/>
      <c r="V761" s="39"/>
      <c r="W761" s="39"/>
      <c r="X761" s="39"/>
      <c r="Y761" s="39"/>
      <c r="Z761" s="39"/>
      <c r="AA761" s="39"/>
      <c r="AB761" s="39"/>
    </row>
    <row r="762">
      <c r="C762" s="39"/>
      <c r="J762" s="39"/>
      <c r="K762" s="39"/>
      <c r="O762" s="39"/>
      <c r="Q762" s="39"/>
      <c r="R762" s="39"/>
      <c r="S762" s="39"/>
      <c r="U762" s="39"/>
      <c r="V762" s="39"/>
      <c r="W762" s="39"/>
      <c r="X762" s="39"/>
      <c r="Y762" s="39"/>
      <c r="Z762" s="39"/>
      <c r="AA762" s="39"/>
      <c r="AB762" s="39"/>
    </row>
    <row r="763">
      <c r="C763" s="39"/>
      <c r="J763" s="39"/>
      <c r="K763" s="39"/>
      <c r="O763" s="39"/>
      <c r="Q763" s="39"/>
      <c r="R763" s="39"/>
      <c r="S763" s="39"/>
      <c r="U763" s="39"/>
      <c r="V763" s="39"/>
      <c r="W763" s="39"/>
      <c r="X763" s="39"/>
      <c r="Y763" s="39"/>
      <c r="Z763" s="39"/>
      <c r="AA763" s="39"/>
      <c r="AB763" s="39"/>
    </row>
    <row r="764">
      <c r="C764" s="39"/>
      <c r="J764" s="39"/>
      <c r="K764" s="39"/>
      <c r="O764" s="39"/>
      <c r="Q764" s="39"/>
      <c r="R764" s="39"/>
      <c r="S764" s="39"/>
      <c r="U764" s="39"/>
      <c r="V764" s="39"/>
      <c r="W764" s="39"/>
      <c r="X764" s="39"/>
      <c r="Y764" s="39"/>
      <c r="Z764" s="39"/>
      <c r="AA764" s="39"/>
      <c r="AB764" s="39"/>
    </row>
    <row r="765">
      <c r="C765" s="39"/>
      <c r="J765" s="39"/>
      <c r="K765" s="39"/>
      <c r="O765" s="39"/>
      <c r="Q765" s="39"/>
      <c r="R765" s="39"/>
      <c r="S765" s="39"/>
      <c r="U765" s="39"/>
      <c r="V765" s="39"/>
      <c r="W765" s="39"/>
      <c r="X765" s="39"/>
      <c r="Y765" s="39"/>
      <c r="Z765" s="39"/>
      <c r="AA765" s="39"/>
      <c r="AB765" s="39"/>
    </row>
    <row r="766">
      <c r="C766" s="39"/>
      <c r="J766" s="39"/>
      <c r="K766" s="39"/>
      <c r="O766" s="39"/>
      <c r="Q766" s="39"/>
      <c r="R766" s="39"/>
      <c r="S766" s="39"/>
      <c r="U766" s="39"/>
      <c r="V766" s="39"/>
      <c r="W766" s="39"/>
      <c r="X766" s="39"/>
      <c r="Y766" s="39"/>
      <c r="Z766" s="39"/>
      <c r="AA766" s="39"/>
      <c r="AB766" s="39"/>
    </row>
    <row r="767">
      <c r="C767" s="39"/>
      <c r="J767" s="39"/>
      <c r="K767" s="39"/>
      <c r="O767" s="39"/>
      <c r="Q767" s="39"/>
      <c r="R767" s="39"/>
      <c r="S767" s="39"/>
      <c r="U767" s="39"/>
      <c r="V767" s="39"/>
      <c r="W767" s="39"/>
      <c r="X767" s="39"/>
      <c r="Y767" s="39"/>
      <c r="Z767" s="39"/>
      <c r="AA767" s="39"/>
      <c r="AB767" s="39"/>
    </row>
    <row r="768">
      <c r="C768" s="39"/>
      <c r="J768" s="39"/>
      <c r="K768" s="39"/>
      <c r="O768" s="39"/>
      <c r="Q768" s="39"/>
      <c r="R768" s="39"/>
      <c r="S768" s="39"/>
      <c r="U768" s="39"/>
      <c r="V768" s="39"/>
      <c r="W768" s="39"/>
      <c r="X768" s="39"/>
      <c r="Y768" s="39"/>
      <c r="Z768" s="39"/>
      <c r="AA768" s="39"/>
      <c r="AB768" s="39"/>
    </row>
    <row r="769">
      <c r="C769" s="39"/>
      <c r="J769" s="39"/>
      <c r="K769" s="39"/>
      <c r="O769" s="39"/>
      <c r="Q769" s="39"/>
      <c r="R769" s="39"/>
      <c r="S769" s="39"/>
      <c r="U769" s="39"/>
      <c r="V769" s="39"/>
      <c r="W769" s="39"/>
      <c r="X769" s="39"/>
      <c r="Y769" s="39"/>
      <c r="Z769" s="39"/>
      <c r="AA769" s="39"/>
      <c r="AB769" s="39"/>
    </row>
    <row r="770">
      <c r="C770" s="39"/>
      <c r="J770" s="39"/>
      <c r="K770" s="39"/>
      <c r="O770" s="39"/>
      <c r="Q770" s="39"/>
      <c r="R770" s="39"/>
      <c r="S770" s="39"/>
      <c r="U770" s="39"/>
      <c r="V770" s="39"/>
      <c r="W770" s="39"/>
      <c r="X770" s="39"/>
      <c r="Y770" s="39"/>
      <c r="Z770" s="39"/>
      <c r="AA770" s="39"/>
      <c r="AB770" s="39"/>
    </row>
    <row r="771">
      <c r="C771" s="39"/>
      <c r="J771" s="39"/>
      <c r="K771" s="39"/>
      <c r="O771" s="39"/>
      <c r="Q771" s="39"/>
      <c r="R771" s="39"/>
      <c r="S771" s="39"/>
      <c r="U771" s="39"/>
      <c r="V771" s="39"/>
      <c r="W771" s="39"/>
      <c r="X771" s="39"/>
      <c r="Y771" s="39"/>
      <c r="Z771" s="39"/>
      <c r="AA771" s="39"/>
      <c r="AB771" s="39"/>
    </row>
    <row r="772">
      <c r="C772" s="39"/>
      <c r="J772" s="39"/>
      <c r="K772" s="39"/>
      <c r="O772" s="39"/>
      <c r="Q772" s="39"/>
      <c r="R772" s="39"/>
      <c r="S772" s="39"/>
      <c r="U772" s="39"/>
      <c r="V772" s="39"/>
      <c r="W772" s="39"/>
      <c r="X772" s="39"/>
      <c r="Y772" s="39"/>
      <c r="Z772" s="39"/>
      <c r="AA772" s="39"/>
      <c r="AB772" s="39"/>
    </row>
    <row r="773">
      <c r="C773" s="39"/>
      <c r="J773" s="39"/>
      <c r="K773" s="39"/>
      <c r="O773" s="39"/>
      <c r="Q773" s="39"/>
      <c r="R773" s="39"/>
      <c r="S773" s="39"/>
      <c r="U773" s="39"/>
      <c r="V773" s="39"/>
      <c r="W773" s="39"/>
      <c r="X773" s="39"/>
      <c r="Y773" s="39"/>
      <c r="Z773" s="39"/>
      <c r="AA773" s="39"/>
      <c r="AB773" s="39"/>
    </row>
    <row r="774">
      <c r="C774" s="39"/>
      <c r="J774" s="39"/>
      <c r="K774" s="39"/>
      <c r="O774" s="39"/>
      <c r="Q774" s="39"/>
      <c r="R774" s="39"/>
      <c r="S774" s="39"/>
      <c r="U774" s="39"/>
      <c r="V774" s="39"/>
      <c r="W774" s="39"/>
      <c r="X774" s="39"/>
      <c r="Y774" s="39"/>
      <c r="Z774" s="39"/>
      <c r="AA774" s="39"/>
      <c r="AB774" s="39"/>
    </row>
    <row r="775">
      <c r="C775" s="39"/>
      <c r="J775" s="39"/>
      <c r="K775" s="39"/>
      <c r="O775" s="39"/>
      <c r="Q775" s="39"/>
      <c r="R775" s="39"/>
      <c r="S775" s="39"/>
      <c r="U775" s="39"/>
      <c r="V775" s="39"/>
      <c r="W775" s="39"/>
      <c r="X775" s="39"/>
      <c r="Y775" s="39"/>
      <c r="Z775" s="39"/>
      <c r="AA775" s="39"/>
      <c r="AB775" s="39"/>
    </row>
    <row r="776">
      <c r="C776" s="39"/>
      <c r="J776" s="39"/>
      <c r="K776" s="39"/>
      <c r="O776" s="39"/>
      <c r="Q776" s="39"/>
      <c r="R776" s="39"/>
      <c r="S776" s="39"/>
      <c r="U776" s="39"/>
      <c r="V776" s="39"/>
      <c r="W776" s="39"/>
      <c r="X776" s="39"/>
      <c r="Y776" s="39"/>
      <c r="Z776" s="39"/>
      <c r="AA776" s="39"/>
      <c r="AB776" s="39"/>
    </row>
    <row r="777">
      <c r="C777" s="39"/>
      <c r="J777" s="39"/>
      <c r="K777" s="39"/>
      <c r="O777" s="39"/>
      <c r="Q777" s="39"/>
      <c r="R777" s="39"/>
      <c r="S777" s="39"/>
      <c r="U777" s="39"/>
      <c r="V777" s="39"/>
      <c r="W777" s="39"/>
      <c r="X777" s="39"/>
      <c r="Y777" s="39"/>
      <c r="Z777" s="39"/>
      <c r="AA777" s="39"/>
      <c r="AB777" s="39"/>
    </row>
    <row r="778">
      <c r="C778" s="39"/>
      <c r="J778" s="39"/>
      <c r="K778" s="39"/>
      <c r="O778" s="39"/>
      <c r="Q778" s="39"/>
      <c r="R778" s="39"/>
      <c r="S778" s="39"/>
      <c r="U778" s="39"/>
      <c r="V778" s="39"/>
      <c r="W778" s="39"/>
      <c r="X778" s="39"/>
      <c r="Y778" s="39"/>
      <c r="Z778" s="39"/>
      <c r="AA778" s="39"/>
      <c r="AB778" s="39"/>
    </row>
    <row r="779">
      <c r="C779" s="39"/>
      <c r="J779" s="39"/>
      <c r="K779" s="39"/>
      <c r="O779" s="39"/>
      <c r="Q779" s="39"/>
      <c r="R779" s="39"/>
      <c r="S779" s="39"/>
      <c r="U779" s="39"/>
      <c r="V779" s="39"/>
      <c r="W779" s="39"/>
      <c r="X779" s="39"/>
      <c r="Y779" s="39"/>
      <c r="Z779" s="39"/>
      <c r="AA779" s="39"/>
      <c r="AB779" s="39"/>
    </row>
    <row r="780">
      <c r="C780" s="39"/>
      <c r="J780" s="39"/>
      <c r="K780" s="39"/>
      <c r="O780" s="39"/>
      <c r="Q780" s="39"/>
      <c r="R780" s="39"/>
      <c r="S780" s="39"/>
      <c r="U780" s="39"/>
      <c r="V780" s="39"/>
      <c r="W780" s="39"/>
      <c r="X780" s="39"/>
      <c r="Y780" s="39"/>
      <c r="Z780" s="39"/>
      <c r="AA780" s="39"/>
      <c r="AB780" s="39"/>
    </row>
    <row r="781">
      <c r="C781" s="39"/>
      <c r="J781" s="39"/>
      <c r="K781" s="39"/>
      <c r="O781" s="39"/>
      <c r="Q781" s="39"/>
      <c r="R781" s="39"/>
      <c r="S781" s="39"/>
      <c r="U781" s="39"/>
      <c r="V781" s="39"/>
      <c r="W781" s="39"/>
      <c r="X781" s="39"/>
      <c r="Y781" s="39"/>
      <c r="Z781" s="39"/>
      <c r="AA781" s="39"/>
      <c r="AB781" s="39"/>
    </row>
    <row r="782">
      <c r="C782" s="39"/>
      <c r="J782" s="39"/>
      <c r="K782" s="39"/>
      <c r="O782" s="39"/>
      <c r="Q782" s="39"/>
      <c r="R782" s="39"/>
      <c r="S782" s="39"/>
      <c r="U782" s="39"/>
      <c r="V782" s="39"/>
      <c r="W782" s="39"/>
      <c r="X782" s="39"/>
      <c r="Y782" s="39"/>
      <c r="Z782" s="39"/>
      <c r="AA782" s="39"/>
      <c r="AB782" s="39"/>
    </row>
    <row r="783">
      <c r="C783" s="39"/>
      <c r="J783" s="39"/>
      <c r="K783" s="39"/>
      <c r="O783" s="39"/>
      <c r="Q783" s="39"/>
      <c r="R783" s="39"/>
      <c r="S783" s="39"/>
      <c r="U783" s="39"/>
      <c r="V783" s="39"/>
      <c r="W783" s="39"/>
      <c r="X783" s="39"/>
      <c r="Y783" s="39"/>
      <c r="Z783" s="39"/>
      <c r="AA783" s="39"/>
      <c r="AB783" s="39"/>
    </row>
    <row r="784">
      <c r="C784" s="39"/>
      <c r="J784" s="39"/>
      <c r="K784" s="39"/>
      <c r="O784" s="39"/>
      <c r="Q784" s="39"/>
      <c r="R784" s="39"/>
      <c r="S784" s="39"/>
      <c r="U784" s="39"/>
      <c r="V784" s="39"/>
      <c r="W784" s="39"/>
      <c r="X784" s="39"/>
      <c r="Y784" s="39"/>
      <c r="Z784" s="39"/>
      <c r="AA784" s="39"/>
      <c r="AB784" s="39"/>
    </row>
    <row r="785">
      <c r="C785" s="39"/>
      <c r="J785" s="39"/>
      <c r="K785" s="39"/>
      <c r="O785" s="39"/>
      <c r="Q785" s="39"/>
      <c r="R785" s="39"/>
      <c r="S785" s="39"/>
      <c r="U785" s="39"/>
      <c r="V785" s="39"/>
      <c r="W785" s="39"/>
      <c r="X785" s="39"/>
      <c r="Y785" s="39"/>
      <c r="Z785" s="39"/>
      <c r="AA785" s="39"/>
      <c r="AB785" s="39"/>
    </row>
    <row r="786">
      <c r="C786" s="39"/>
      <c r="J786" s="39"/>
      <c r="K786" s="39"/>
      <c r="O786" s="39"/>
      <c r="Q786" s="39"/>
      <c r="R786" s="39"/>
      <c r="S786" s="39"/>
      <c r="U786" s="39"/>
      <c r="V786" s="39"/>
      <c r="W786" s="39"/>
      <c r="X786" s="39"/>
      <c r="Y786" s="39"/>
      <c r="Z786" s="39"/>
      <c r="AA786" s="39"/>
      <c r="AB786" s="39"/>
    </row>
    <row r="787">
      <c r="C787" s="39"/>
      <c r="J787" s="39"/>
      <c r="K787" s="39"/>
      <c r="O787" s="39"/>
      <c r="Q787" s="39"/>
      <c r="R787" s="39"/>
      <c r="S787" s="39"/>
      <c r="U787" s="39"/>
      <c r="V787" s="39"/>
      <c r="W787" s="39"/>
      <c r="X787" s="39"/>
      <c r="Y787" s="39"/>
      <c r="Z787" s="39"/>
      <c r="AA787" s="39"/>
      <c r="AB787" s="39"/>
    </row>
    <row r="788">
      <c r="C788" s="39"/>
      <c r="J788" s="39"/>
      <c r="K788" s="39"/>
      <c r="O788" s="39"/>
      <c r="Q788" s="39"/>
      <c r="R788" s="39"/>
      <c r="S788" s="39"/>
      <c r="U788" s="39"/>
      <c r="V788" s="39"/>
      <c r="W788" s="39"/>
      <c r="X788" s="39"/>
      <c r="Y788" s="39"/>
      <c r="Z788" s="39"/>
      <c r="AA788" s="39"/>
      <c r="AB788" s="39"/>
    </row>
    <row r="789">
      <c r="C789" s="39"/>
      <c r="J789" s="39"/>
      <c r="K789" s="39"/>
      <c r="O789" s="39"/>
      <c r="Q789" s="39"/>
      <c r="R789" s="39"/>
      <c r="S789" s="39"/>
      <c r="U789" s="39"/>
      <c r="V789" s="39"/>
      <c r="W789" s="39"/>
      <c r="X789" s="39"/>
      <c r="Y789" s="39"/>
      <c r="Z789" s="39"/>
      <c r="AA789" s="39"/>
      <c r="AB789" s="39"/>
    </row>
    <row r="790">
      <c r="C790" s="39"/>
      <c r="J790" s="39"/>
      <c r="K790" s="39"/>
      <c r="O790" s="39"/>
      <c r="Q790" s="39"/>
      <c r="R790" s="39"/>
      <c r="S790" s="39"/>
      <c r="U790" s="39"/>
      <c r="V790" s="39"/>
      <c r="W790" s="39"/>
      <c r="X790" s="39"/>
      <c r="Y790" s="39"/>
      <c r="Z790" s="39"/>
      <c r="AA790" s="39"/>
      <c r="AB790" s="39"/>
    </row>
    <row r="791">
      <c r="C791" s="39"/>
      <c r="J791" s="39"/>
      <c r="K791" s="39"/>
      <c r="O791" s="39"/>
      <c r="Q791" s="39"/>
      <c r="R791" s="39"/>
      <c r="S791" s="39"/>
      <c r="U791" s="39"/>
      <c r="V791" s="39"/>
      <c r="W791" s="39"/>
      <c r="X791" s="39"/>
      <c r="Y791" s="39"/>
      <c r="Z791" s="39"/>
      <c r="AA791" s="39"/>
      <c r="AB791" s="39"/>
    </row>
    <row r="792">
      <c r="C792" s="39"/>
      <c r="J792" s="39"/>
      <c r="K792" s="39"/>
      <c r="O792" s="39"/>
      <c r="Q792" s="39"/>
      <c r="R792" s="39"/>
      <c r="S792" s="39"/>
      <c r="U792" s="39"/>
      <c r="V792" s="39"/>
      <c r="W792" s="39"/>
      <c r="X792" s="39"/>
      <c r="Y792" s="39"/>
      <c r="Z792" s="39"/>
      <c r="AA792" s="39"/>
      <c r="AB792" s="39"/>
    </row>
    <row r="793">
      <c r="C793" s="39"/>
      <c r="J793" s="39"/>
      <c r="K793" s="39"/>
      <c r="O793" s="39"/>
      <c r="Q793" s="39"/>
      <c r="R793" s="39"/>
      <c r="S793" s="39"/>
      <c r="U793" s="39"/>
      <c r="V793" s="39"/>
      <c r="W793" s="39"/>
      <c r="X793" s="39"/>
      <c r="Y793" s="39"/>
      <c r="Z793" s="39"/>
      <c r="AA793" s="39"/>
      <c r="AB793" s="39"/>
    </row>
    <row r="794">
      <c r="C794" s="39"/>
      <c r="J794" s="39"/>
      <c r="K794" s="39"/>
      <c r="O794" s="39"/>
      <c r="Q794" s="39"/>
      <c r="R794" s="39"/>
      <c r="S794" s="39"/>
      <c r="U794" s="39"/>
      <c r="V794" s="39"/>
      <c r="W794" s="39"/>
      <c r="X794" s="39"/>
      <c r="Y794" s="39"/>
      <c r="Z794" s="39"/>
      <c r="AA794" s="39"/>
      <c r="AB794" s="39"/>
    </row>
    <row r="795">
      <c r="C795" s="39"/>
      <c r="J795" s="39"/>
      <c r="K795" s="39"/>
      <c r="O795" s="39"/>
      <c r="Q795" s="39"/>
      <c r="R795" s="39"/>
      <c r="S795" s="39"/>
      <c r="U795" s="39"/>
      <c r="V795" s="39"/>
      <c r="W795" s="39"/>
      <c r="X795" s="39"/>
      <c r="Y795" s="39"/>
      <c r="Z795" s="39"/>
      <c r="AA795" s="39"/>
      <c r="AB795" s="39"/>
    </row>
    <row r="796">
      <c r="C796" s="39"/>
      <c r="J796" s="39"/>
      <c r="K796" s="39"/>
      <c r="O796" s="39"/>
      <c r="Q796" s="39"/>
      <c r="R796" s="39"/>
      <c r="S796" s="39"/>
      <c r="U796" s="39"/>
      <c r="V796" s="39"/>
      <c r="W796" s="39"/>
      <c r="X796" s="39"/>
      <c r="Y796" s="39"/>
      <c r="Z796" s="39"/>
      <c r="AA796" s="39"/>
      <c r="AB796" s="39"/>
    </row>
    <row r="797">
      <c r="C797" s="39"/>
      <c r="J797" s="39"/>
      <c r="K797" s="39"/>
      <c r="O797" s="39"/>
      <c r="Q797" s="39"/>
      <c r="R797" s="39"/>
      <c r="S797" s="39"/>
      <c r="U797" s="39"/>
      <c r="V797" s="39"/>
      <c r="W797" s="39"/>
      <c r="X797" s="39"/>
      <c r="Y797" s="39"/>
      <c r="Z797" s="39"/>
      <c r="AA797" s="39"/>
      <c r="AB797" s="39"/>
    </row>
    <row r="798">
      <c r="C798" s="39"/>
      <c r="J798" s="39"/>
      <c r="K798" s="39"/>
      <c r="O798" s="39"/>
      <c r="Q798" s="39"/>
      <c r="R798" s="39"/>
      <c r="S798" s="39"/>
      <c r="U798" s="39"/>
      <c r="V798" s="39"/>
      <c r="W798" s="39"/>
      <c r="X798" s="39"/>
      <c r="Y798" s="39"/>
      <c r="Z798" s="39"/>
      <c r="AA798" s="39"/>
      <c r="AB798" s="39"/>
    </row>
    <row r="799">
      <c r="C799" s="39"/>
      <c r="J799" s="39"/>
      <c r="K799" s="39"/>
      <c r="O799" s="39"/>
      <c r="Q799" s="39"/>
      <c r="R799" s="39"/>
      <c r="S799" s="39"/>
      <c r="U799" s="39"/>
      <c r="V799" s="39"/>
      <c r="W799" s="39"/>
      <c r="X799" s="39"/>
      <c r="Y799" s="39"/>
      <c r="Z799" s="39"/>
      <c r="AA799" s="39"/>
      <c r="AB799" s="39"/>
    </row>
    <row r="800">
      <c r="C800" s="39"/>
      <c r="J800" s="39"/>
      <c r="K800" s="39"/>
      <c r="O800" s="39"/>
      <c r="Q800" s="39"/>
      <c r="R800" s="39"/>
      <c r="S800" s="39"/>
      <c r="U800" s="39"/>
      <c r="V800" s="39"/>
      <c r="W800" s="39"/>
      <c r="X800" s="39"/>
      <c r="Y800" s="39"/>
      <c r="Z800" s="39"/>
      <c r="AA800" s="39"/>
      <c r="AB800" s="39"/>
    </row>
    <row r="801">
      <c r="C801" s="39"/>
      <c r="J801" s="39"/>
      <c r="K801" s="39"/>
      <c r="O801" s="39"/>
      <c r="Q801" s="39"/>
      <c r="R801" s="39"/>
      <c r="S801" s="39"/>
      <c r="U801" s="39"/>
      <c r="V801" s="39"/>
      <c r="W801" s="39"/>
      <c r="X801" s="39"/>
      <c r="Y801" s="39"/>
      <c r="Z801" s="39"/>
      <c r="AA801" s="39"/>
      <c r="AB801" s="39"/>
    </row>
    <row r="802">
      <c r="C802" s="39"/>
      <c r="J802" s="39"/>
      <c r="K802" s="39"/>
      <c r="O802" s="39"/>
      <c r="Q802" s="39"/>
      <c r="R802" s="39"/>
      <c r="S802" s="39"/>
      <c r="U802" s="39"/>
      <c r="V802" s="39"/>
      <c r="W802" s="39"/>
      <c r="X802" s="39"/>
      <c r="Y802" s="39"/>
      <c r="Z802" s="39"/>
      <c r="AA802" s="39"/>
      <c r="AB802" s="39"/>
    </row>
    <row r="803">
      <c r="C803" s="39"/>
      <c r="J803" s="39"/>
      <c r="K803" s="39"/>
      <c r="O803" s="39"/>
      <c r="Q803" s="39"/>
      <c r="R803" s="39"/>
      <c r="S803" s="39"/>
      <c r="U803" s="39"/>
      <c r="V803" s="39"/>
      <c r="W803" s="39"/>
      <c r="X803" s="39"/>
      <c r="Y803" s="39"/>
      <c r="Z803" s="39"/>
      <c r="AA803" s="39"/>
      <c r="AB803" s="39"/>
    </row>
    <row r="804">
      <c r="C804" s="39"/>
      <c r="J804" s="39"/>
      <c r="K804" s="39"/>
      <c r="O804" s="39"/>
      <c r="Q804" s="39"/>
      <c r="R804" s="39"/>
      <c r="S804" s="39"/>
      <c r="U804" s="39"/>
      <c r="V804" s="39"/>
      <c r="W804" s="39"/>
      <c r="X804" s="39"/>
      <c r="Y804" s="39"/>
      <c r="Z804" s="39"/>
      <c r="AA804" s="39"/>
      <c r="AB804" s="39"/>
    </row>
    <row r="805">
      <c r="C805" s="39"/>
      <c r="J805" s="39"/>
      <c r="K805" s="39"/>
      <c r="O805" s="39"/>
      <c r="Q805" s="39"/>
      <c r="R805" s="39"/>
      <c r="S805" s="39"/>
      <c r="U805" s="39"/>
      <c r="V805" s="39"/>
      <c r="W805" s="39"/>
      <c r="X805" s="39"/>
      <c r="Y805" s="39"/>
      <c r="Z805" s="39"/>
      <c r="AA805" s="39"/>
      <c r="AB805" s="39"/>
    </row>
    <row r="806">
      <c r="C806" s="39"/>
      <c r="J806" s="39"/>
      <c r="K806" s="39"/>
      <c r="O806" s="39"/>
      <c r="Q806" s="39"/>
      <c r="R806" s="39"/>
      <c r="S806" s="39"/>
      <c r="U806" s="39"/>
      <c r="V806" s="39"/>
      <c r="W806" s="39"/>
      <c r="X806" s="39"/>
      <c r="Y806" s="39"/>
      <c r="Z806" s="39"/>
      <c r="AA806" s="39"/>
      <c r="AB806" s="39"/>
    </row>
    <row r="807">
      <c r="C807" s="39"/>
      <c r="J807" s="39"/>
      <c r="K807" s="39"/>
      <c r="O807" s="39"/>
      <c r="Q807" s="39"/>
      <c r="R807" s="39"/>
      <c r="S807" s="39"/>
      <c r="U807" s="39"/>
      <c r="V807" s="39"/>
      <c r="W807" s="39"/>
      <c r="X807" s="39"/>
      <c r="Y807" s="39"/>
      <c r="Z807" s="39"/>
      <c r="AA807" s="39"/>
      <c r="AB807" s="39"/>
    </row>
    <row r="808">
      <c r="C808" s="39"/>
      <c r="J808" s="39"/>
      <c r="K808" s="39"/>
      <c r="O808" s="39"/>
      <c r="Q808" s="39"/>
      <c r="R808" s="39"/>
      <c r="S808" s="39"/>
      <c r="U808" s="39"/>
      <c r="V808" s="39"/>
      <c r="W808" s="39"/>
      <c r="X808" s="39"/>
      <c r="Y808" s="39"/>
      <c r="Z808" s="39"/>
      <c r="AA808" s="39"/>
      <c r="AB808" s="39"/>
    </row>
    <row r="809">
      <c r="C809" s="39"/>
      <c r="J809" s="39"/>
      <c r="K809" s="39"/>
      <c r="O809" s="39"/>
      <c r="Q809" s="39"/>
      <c r="R809" s="39"/>
      <c r="S809" s="39"/>
      <c r="U809" s="39"/>
      <c r="V809" s="39"/>
      <c r="W809" s="39"/>
      <c r="X809" s="39"/>
      <c r="Y809" s="39"/>
      <c r="Z809" s="39"/>
      <c r="AA809" s="39"/>
      <c r="AB809" s="39"/>
    </row>
    <row r="810">
      <c r="C810" s="39"/>
      <c r="J810" s="39"/>
      <c r="K810" s="39"/>
      <c r="O810" s="39"/>
      <c r="Q810" s="39"/>
      <c r="R810" s="39"/>
      <c r="S810" s="39"/>
      <c r="U810" s="39"/>
      <c r="V810" s="39"/>
      <c r="W810" s="39"/>
      <c r="X810" s="39"/>
      <c r="Y810" s="39"/>
      <c r="Z810" s="39"/>
      <c r="AA810" s="39"/>
      <c r="AB810" s="39"/>
    </row>
    <row r="811">
      <c r="C811" s="39"/>
      <c r="J811" s="39"/>
      <c r="K811" s="39"/>
      <c r="O811" s="39"/>
      <c r="Q811" s="39"/>
      <c r="R811" s="39"/>
      <c r="S811" s="39"/>
      <c r="U811" s="39"/>
      <c r="V811" s="39"/>
      <c r="W811" s="39"/>
      <c r="X811" s="39"/>
      <c r="Y811" s="39"/>
      <c r="Z811" s="39"/>
      <c r="AA811" s="39"/>
      <c r="AB811" s="39"/>
    </row>
    <row r="812">
      <c r="C812" s="39"/>
      <c r="J812" s="39"/>
      <c r="K812" s="39"/>
      <c r="O812" s="39"/>
      <c r="Q812" s="39"/>
      <c r="R812" s="39"/>
      <c r="S812" s="39"/>
      <c r="U812" s="39"/>
      <c r="V812" s="39"/>
      <c r="W812" s="39"/>
      <c r="X812" s="39"/>
      <c r="Y812" s="39"/>
      <c r="Z812" s="39"/>
      <c r="AA812" s="39"/>
      <c r="AB812" s="39"/>
    </row>
    <row r="813">
      <c r="C813" s="39"/>
      <c r="J813" s="39"/>
      <c r="K813" s="39"/>
      <c r="O813" s="39"/>
      <c r="Q813" s="39"/>
      <c r="R813" s="39"/>
      <c r="S813" s="39"/>
      <c r="U813" s="39"/>
      <c r="V813" s="39"/>
      <c r="W813" s="39"/>
      <c r="X813" s="39"/>
      <c r="Y813" s="39"/>
      <c r="Z813" s="39"/>
      <c r="AA813" s="39"/>
      <c r="AB813" s="39"/>
    </row>
    <row r="814">
      <c r="C814" s="39"/>
      <c r="J814" s="39"/>
      <c r="K814" s="39"/>
      <c r="O814" s="39"/>
      <c r="Q814" s="39"/>
      <c r="R814" s="39"/>
      <c r="S814" s="39"/>
      <c r="U814" s="39"/>
      <c r="V814" s="39"/>
      <c r="W814" s="39"/>
      <c r="X814" s="39"/>
      <c r="Y814" s="39"/>
      <c r="Z814" s="39"/>
      <c r="AA814" s="39"/>
      <c r="AB814" s="39"/>
    </row>
    <row r="815">
      <c r="C815" s="39"/>
      <c r="J815" s="39"/>
      <c r="K815" s="39"/>
      <c r="O815" s="39"/>
      <c r="Q815" s="39"/>
      <c r="R815" s="39"/>
      <c r="S815" s="39"/>
      <c r="U815" s="39"/>
      <c r="V815" s="39"/>
      <c r="W815" s="39"/>
      <c r="X815" s="39"/>
      <c r="Y815" s="39"/>
      <c r="Z815" s="39"/>
      <c r="AA815" s="39"/>
      <c r="AB815" s="39"/>
    </row>
    <row r="816">
      <c r="C816" s="39"/>
      <c r="J816" s="39"/>
      <c r="K816" s="39"/>
      <c r="O816" s="39"/>
      <c r="Q816" s="39"/>
      <c r="R816" s="39"/>
      <c r="S816" s="39"/>
      <c r="U816" s="39"/>
      <c r="V816" s="39"/>
      <c r="W816" s="39"/>
      <c r="X816" s="39"/>
      <c r="Y816" s="39"/>
      <c r="Z816" s="39"/>
      <c r="AA816" s="39"/>
      <c r="AB816" s="39"/>
    </row>
    <row r="817">
      <c r="C817" s="39"/>
      <c r="J817" s="39"/>
      <c r="K817" s="39"/>
      <c r="O817" s="39"/>
      <c r="Q817" s="39"/>
      <c r="R817" s="39"/>
      <c r="S817" s="39"/>
      <c r="U817" s="39"/>
      <c r="V817" s="39"/>
      <c r="W817" s="39"/>
      <c r="X817" s="39"/>
      <c r="Y817" s="39"/>
      <c r="Z817" s="39"/>
      <c r="AA817" s="39"/>
      <c r="AB817" s="39"/>
    </row>
    <row r="818">
      <c r="C818" s="39"/>
      <c r="J818" s="39"/>
      <c r="K818" s="39"/>
      <c r="O818" s="39"/>
      <c r="Q818" s="39"/>
      <c r="R818" s="39"/>
      <c r="S818" s="39"/>
      <c r="U818" s="39"/>
      <c r="V818" s="39"/>
      <c r="W818" s="39"/>
      <c r="X818" s="39"/>
      <c r="Y818" s="39"/>
      <c r="Z818" s="39"/>
      <c r="AA818" s="39"/>
      <c r="AB818" s="39"/>
    </row>
    <row r="819">
      <c r="C819" s="39"/>
      <c r="J819" s="39"/>
      <c r="K819" s="39"/>
      <c r="O819" s="39"/>
      <c r="Q819" s="39"/>
      <c r="R819" s="39"/>
      <c r="S819" s="39"/>
      <c r="U819" s="39"/>
      <c r="V819" s="39"/>
      <c r="W819" s="39"/>
      <c r="X819" s="39"/>
      <c r="Y819" s="39"/>
      <c r="Z819" s="39"/>
      <c r="AA819" s="39"/>
      <c r="AB819" s="39"/>
    </row>
    <row r="820">
      <c r="C820" s="39"/>
      <c r="J820" s="39"/>
      <c r="K820" s="39"/>
      <c r="O820" s="39"/>
      <c r="Q820" s="39"/>
      <c r="R820" s="39"/>
      <c r="S820" s="39"/>
      <c r="U820" s="39"/>
      <c r="V820" s="39"/>
      <c r="W820" s="39"/>
      <c r="X820" s="39"/>
      <c r="Y820" s="39"/>
      <c r="Z820" s="39"/>
      <c r="AA820" s="39"/>
      <c r="AB820" s="39"/>
    </row>
    <row r="821">
      <c r="C821" s="39"/>
      <c r="J821" s="39"/>
      <c r="K821" s="39"/>
      <c r="O821" s="39"/>
      <c r="Q821" s="39"/>
      <c r="R821" s="39"/>
      <c r="S821" s="39"/>
      <c r="U821" s="39"/>
      <c r="V821" s="39"/>
      <c r="W821" s="39"/>
      <c r="X821" s="39"/>
      <c r="Y821" s="39"/>
      <c r="Z821" s="39"/>
      <c r="AA821" s="39"/>
      <c r="AB821" s="39"/>
    </row>
    <row r="822">
      <c r="C822" s="39"/>
      <c r="J822" s="39"/>
      <c r="K822" s="39"/>
      <c r="O822" s="39"/>
      <c r="Q822" s="39"/>
      <c r="R822" s="39"/>
      <c r="S822" s="39"/>
      <c r="U822" s="39"/>
      <c r="V822" s="39"/>
      <c r="W822" s="39"/>
      <c r="X822" s="39"/>
      <c r="Y822" s="39"/>
      <c r="Z822" s="39"/>
      <c r="AA822" s="39"/>
      <c r="AB822" s="39"/>
    </row>
    <row r="823">
      <c r="C823" s="39"/>
      <c r="J823" s="39"/>
      <c r="K823" s="39"/>
      <c r="O823" s="39"/>
      <c r="Q823" s="39"/>
      <c r="R823" s="39"/>
      <c r="S823" s="39"/>
      <c r="U823" s="39"/>
      <c r="V823" s="39"/>
      <c r="W823" s="39"/>
      <c r="X823" s="39"/>
      <c r="Y823" s="39"/>
      <c r="Z823" s="39"/>
      <c r="AA823" s="39"/>
      <c r="AB823" s="39"/>
    </row>
    <row r="824">
      <c r="C824" s="39"/>
      <c r="J824" s="39"/>
      <c r="K824" s="39"/>
      <c r="O824" s="39"/>
      <c r="Q824" s="39"/>
      <c r="R824" s="39"/>
      <c r="S824" s="39"/>
      <c r="U824" s="39"/>
      <c r="V824" s="39"/>
      <c r="W824" s="39"/>
      <c r="X824" s="39"/>
      <c r="Y824" s="39"/>
      <c r="Z824" s="39"/>
      <c r="AA824" s="39"/>
      <c r="AB824" s="39"/>
    </row>
    <row r="825">
      <c r="C825" s="39"/>
      <c r="J825" s="39"/>
      <c r="K825" s="39"/>
      <c r="O825" s="39"/>
      <c r="Q825" s="39"/>
      <c r="R825" s="39"/>
      <c r="S825" s="39"/>
      <c r="U825" s="39"/>
      <c r="V825" s="39"/>
      <c r="W825" s="39"/>
      <c r="X825" s="39"/>
      <c r="Y825" s="39"/>
      <c r="Z825" s="39"/>
      <c r="AA825" s="39"/>
      <c r="AB825" s="39"/>
    </row>
    <row r="826">
      <c r="C826" s="39"/>
      <c r="J826" s="39"/>
      <c r="K826" s="39"/>
      <c r="O826" s="39"/>
      <c r="Q826" s="39"/>
      <c r="R826" s="39"/>
      <c r="S826" s="39"/>
      <c r="U826" s="39"/>
      <c r="V826" s="39"/>
      <c r="W826" s="39"/>
      <c r="X826" s="39"/>
      <c r="Y826" s="39"/>
      <c r="Z826" s="39"/>
      <c r="AA826" s="39"/>
      <c r="AB826" s="39"/>
    </row>
    <row r="827">
      <c r="C827" s="39"/>
      <c r="J827" s="39"/>
      <c r="K827" s="39"/>
      <c r="O827" s="39"/>
      <c r="Q827" s="39"/>
      <c r="R827" s="39"/>
      <c r="S827" s="39"/>
      <c r="U827" s="39"/>
      <c r="V827" s="39"/>
      <c r="W827" s="39"/>
      <c r="X827" s="39"/>
      <c r="Y827" s="39"/>
      <c r="Z827" s="39"/>
      <c r="AA827" s="39"/>
      <c r="AB827" s="39"/>
    </row>
    <row r="828">
      <c r="C828" s="39"/>
      <c r="J828" s="39"/>
      <c r="K828" s="39"/>
      <c r="O828" s="39"/>
      <c r="Q828" s="39"/>
      <c r="R828" s="39"/>
      <c r="S828" s="39"/>
      <c r="U828" s="39"/>
      <c r="V828" s="39"/>
      <c r="W828" s="39"/>
      <c r="X828" s="39"/>
      <c r="Y828" s="39"/>
      <c r="Z828" s="39"/>
      <c r="AA828" s="39"/>
      <c r="AB828" s="39"/>
    </row>
    <row r="829">
      <c r="C829" s="39"/>
      <c r="J829" s="39"/>
      <c r="K829" s="39"/>
      <c r="O829" s="39"/>
      <c r="Q829" s="39"/>
      <c r="R829" s="39"/>
      <c r="S829" s="39"/>
      <c r="U829" s="39"/>
      <c r="V829" s="39"/>
      <c r="W829" s="39"/>
      <c r="X829" s="39"/>
      <c r="Y829" s="39"/>
      <c r="Z829" s="39"/>
      <c r="AA829" s="39"/>
      <c r="AB829" s="39"/>
    </row>
    <row r="830">
      <c r="C830" s="39"/>
      <c r="J830" s="39"/>
      <c r="K830" s="39"/>
      <c r="O830" s="39"/>
      <c r="Q830" s="39"/>
      <c r="R830" s="39"/>
      <c r="S830" s="39"/>
      <c r="U830" s="39"/>
      <c r="V830" s="39"/>
      <c r="W830" s="39"/>
      <c r="X830" s="39"/>
      <c r="Y830" s="39"/>
      <c r="Z830" s="39"/>
      <c r="AA830" s="39"/>
      <c r="AB830" s="39"/>
    </row>
    <row r="831">
      <c r="C831" s="39"/>
      <c r="J831" s="39"/>
      <c r="K831" s="39"/>
      <c r="O831" s="39"/>
      <c r="Q831" s="39"/>
      <c r="R831" s="39"/>
      <c r="S831" s="39"/>
      <c r="U831" s="39"/>
      <c r="V831" s="39"/>
      <c r="W831" s="39"/>
      <c r="X831" s="39"/>
      <c r="Y831" s="39"/>
      <c r="Z831" s="39"/>
      <c r="AA831" s="39"/>
      <c r="AB831" s="39"/>
    </row>
    <row r="832">
      <c r="C832" s="39"/>
      <c r="J832" s="39"/>
      <c r="K832" s="39"/>
      <c r="O832" s="39"/>
      <c r="Q832" s="39"/>
      <c r="R832" s="39"/>
      <c r="S832" s="39"/>
      <c r="U832" s="39"/>
      <c r="V832" s="39"/>
      <c r="W832" s="39"/>
      <c r="X832" s="39"/>
      <c r="Y832" s="39"/>
      <c r="Z832" s="39"/>
      <c r="AA832" s="39"/>
      <c r="AB832" s="39"/>
    </row>
    <row r="833">
      <c r="C833" s="39"/>
      <c r="J833" s="39"/>
      <c r="K833" s="39"/>
      <c r="O833" s="39"/>
      <c r="Q833" s="39"/>
      <c r="R833" s="39"/>
      <c r="S833" s="39"/>
      <c r="U833" s="39"/>
      <c r="V833" s="39"/>
      <c r="W833" s="39"/>
      <c r="X833" s="39"/>
      <c r="Y833" s="39"/>
      <c r="Z833" s="39"/>
      <c r="AA833" s="39"/>
      <c r="AB833" s="39"/>
    </row>
    <row r="834">
      <c r="C834" s="39"/>
      <c r="J834" s="39"/>
      <c r="K834" s="39"/>
      <c r="O834" s="39"/>
      <c r="Q834" s="39"/>
      <c r="R834" s="39"/>
      <c r="S834" s="39"/>
      <c r="U834" s="39"/>
      <c r="V834" s="39"/>
      <c r="W834" s="39"/>
      <c r="X834" s="39"/>
      <c r="Y834" s="39"/>
      <c r="Z834" s="39"/>
      <c r="AA834" s="39"/>
      <c r="AB834" s="39"/>
    </row>
    <row r="835">
      <c r="C835" s="39"/>
      <c r="J835" s="39"/>
      <c r="K835" s="39"/>
      <c r="O835" s="39"/>
      <c r="Q835" s="39"/>
      <c r="R835" s="39"/>
      <c r="S835" s="39"/>
      <c r="U835" s="39"/>
      <c r="V835" s="39"/>
      <c r="W835" s="39"/>
      <c r="X835" s="39"/>
      <c r="Y835" s="39"/>
      <c r="Z835" s="39"/>
      <c r="AA835" s="39"/>
      <c r="AB835" s="39"/>
    </row>
    <row r="836">
      <c r="C836" s="39"/>
      <c r="J836" s="39"/>
      <c r="K836" s="39"/>
      <c r="O836" s="39"/>
      <c r="Q836" s="39"/>
      <c r="R836" s="39"/>
      <c r="S836" s="39"/>
      <c r="U836" s="39"/>
      <c r="V836" s="39"/>
      <c r="W836" s="39"/>
      <c r="X836" s="39"/>
      <c r="Y836" s="39"/>
      <c r="Z836" s="39"/>
      <c r="AA836" s="39"/>
      <c r="AB836" s="39"/>
    </row>
    <row r="837">
      <c r="C837" s="39"/>
      <c r="J837" s="39"/>
      <c r="K837" s="39"/>
      <c r="O837" s="39"/>
      <c r="Q837" s="39"/>
      <c r="R837" s="39"/>
      <c r="S837" s="39"/>
      <c r="U837" s="39"/>
      <c r="V837" s="39"/>
      <c r="W837" s="39"/>
      <c r="X837" s="39"/>
      <c r="Y837" s="39"/>
      <c r="Z837" s="39"/>
      <c r="AA837" s="39"/>
      <c r="AB837" s="39"/>
    </row>
    <row r="838">
      <c r="C838" s="39"/>
      <c r="J838" s="39"/>
      <c r="K838" s="39"/>
      <c r="O838" s="39"/>
      <c r="Q838" s="39"/>
      <c r="R838" s="39"/>
      <c r="S838" s="39"/>
      <c r="U838" s="39"/>
      <c r="V838" s="39"/>
      <c r="W838" s="39"/>
      <c r="X838" s="39"/>
      <c r="Y838" s="39"/>
      <c r="Z838" s="39"/>
      <c r="AA838" s="39"/>
      <c r="AB838" s="39"/>
    </row>
    <row r="839">
      <c r="C839" s="39"/>
      <c r="J839" s="39"/>
      <c r="K839" s="39"/>
      <c r="O839" s="39"/>
      <c r="Q839" s="39"/>
      <c r="R839" s="39"/>
      <c r="S839" s="39"/>
      <c r="U839" s="39"/>
      <c r="V839" s="39"/>
      <c r="W839" s="39"/>
      <c r="X839" s="39"/>
      <c r="Y839" s="39"/>
      <c r="Z839" s="39"/>
      <c r="AA839" s="39"/>
      <c r="AB839" s="39"/>
    </row>
    <row r="840">
      <c r="C840" s="39"/>
      <c r="J840" s="39"/>
      <c r="K840" s="39"/>
      <c r="O840" s="39"/>
      <c r="Q840" s="39"/>
      <c r="R840" s="39"/>
      <c r="S840" s="39"/>
      <c r="U840" s="39"/>
      <c r="V840" s="39"/>
      <c r="W840" s="39"/>
      <c r="X840" s="39"/>
      <c r="Y840" s="39"/>
      <c r="Z840" s="39"/>
      <c r="AA840" s="39"/>
      <c r="AB840" s="39"/>
    </row>
    <row r="841">
      <c r="C841" s="39"/>
      <c r="J841" s="39"/>
      <c r="K841" s="39"/>
      <c r="O841" s="39"/>
      <c r="Q841" s="39"/>
      <c r="R841" s="39"/>
      <c r="S841" s="39"/>
      <c r="U841" s="39"/>
      <c r="V841" s="39"/>
      <c r="W841" s="39"/>
      <c r="X841" s="39"/>
      <c r="Y841" s="39"/>
      <c r="Z841" s="39"/>
      <c r="AA841" s="39"/>
      <c r="AB841" s="39"/>
    </row>
    <row r="842">
      <c r="C842" s="39"/>
      <c r="J842" s="39"/>
      <c r="K842" s="39"/>
      <c r="O842" s="39"/>
      <c r="Q842" s="39"/>
      <c r="R842" s="39"/>
      <c r="S842" s="39"/>
      <c r="U842" s="39"/>
      <c r="V842" s="39"/>
      <c r="W842" s="39"/>
      <c r="X842" s="39"/>
      <c r="Y842" s="39"/>
      <c r="Z842" s="39"/>
      <c r="AA842" s="39"/>
      <c r="AB842" s="39"/>
    </row>
    <row r="843">
      <c r="C843" s="39"/>
      <c r="J843" s="39"/>
      <c r="K843" s="39"/>
      <c r="O843" s="39"/>
      <c r="Q843" s="39"/>
      <c r="R843" s="39"/>
      <c r="S843" s="39"/>
      <c r="U843" s="39"/>
      <c r="V843" s="39"/>
      <c r="W843" s="39"/>
      <c r="X843" s="39"/>
      <c r="Y843" s="39"/>
      <c r="Z843" s="39"/>
      <c r="AA843" s="39"/>
      <c r="AB843" s="39"/>
    </row>
    <row r="844">
      <c r="C844" s="39"/>
      <c r="J844" s="39"/>
      <c r="K844" s="39"/>
      <c r="O844" s="39"/>
      <c r="Q844" s="39"/>
      <c r="R844" s="39"/>
      <c r="S844" s="39"/>
      <c r="U844" s="39"/>
      <c r="V844" s="39"/>
      <c r="W844" s="39"/>
      <c r="X844" s="39"/>
      <c r="Y844" s="39"/>
      <c r="Z844" s="39"/>
      <c r="AA844" s="39"/>
      <c r="AB844" s="39"/>
    </row>
    <row r="845">
      <c r="C845" s="39"/>
      <c r="J845" s="39"/>
      <c r="K845" s="39"/>
      <c r="O845" s="39"/>
      <c r="Q845" s="39"/>
      <c r="R845" s="39"/>
      <c r="S845" s="39"/>
      <c r="U845" s="39"/>
      <c r="V845" s="39"/>
      <c r="W845" s="39"/>
      <c r="X845" s="39"/>
      <c r="Y845" s="39"/>
      <c r="Z845" s="39"/>
      <c r="AA845" s="39"/>
      <c r="AB845" s="39"/>
    </row>
    <row r="846">
      <c r="C846" s="39"/>
      <c r="J846" s="39"/>
      <c r="K846" s="39"/>
      <c r="O846" s="39"/>
      <c r="Q846" s="39"/>
      <c r="R846" s="39"/>
      <c r="S846" s="39"/>
      <c r="U846" s="39"/>
      <c r="V846" s="39"/>
      <c r="W846" s="39"/>
      <c r="X846" s="39"/>
      <c r="Y846" s="39"/>
      <c r="Z846" s="39"/>
      <c r="AA846" s="39"/>
      <c r="AB846" s="39"/>
    </row>
    <row r="847">
      <c r="C847" s="39"/>
      <c r="J847" s="39"/>
      <c r="K847" s="39"/>
      <c r="O847" s="39"/>
      <c r="Q847" s="39"/>
      <c r="R847" s="39"/>
      <c r="S847" s="39"/>
      <c r="U847" s="39"/>
      <c r="V847" s="39"/>
      <c r="W847" s="39"/>
      <c r="X847" s="39"/>
      <c r="Y847" s="39"/>
      <c r="Z847" s="39"/>
      <c r="AA847" s="39"/>
      <c r="AB847" s="39"/>
    </row>
    <row r="848">
      <c r="C848" s="39"/>
      <c r="J848" s="39"/>
      <c r="K848" s="39"/>
      <c r="O848" s="39"/>
      <c r="Q848" s="39"/>
      <c r="R848" s="39"/>
      <c r="S848" s="39"/>
      <c r="U848" s="39"/>
      <c r="V848" s="39"/>
      <c r="W848" s="39"/>
      <c r="X848" s="39"/>
      <c r="Y848" s="39"/>
      <c r="Z848" s="39"/>
      <c r="AA848" s="39"/>
      <c r="AB848" s="39"/>
    </row>
    <row r="849">
      <c r="C849" s="39"/>
      <c r="J849" s="39"/>
      <c r="K849" s="39"/>
      <c r="O849" s="39"/>
      <c r="Q849" s="39"/>
      <c r="R849" s="39"/>
      <c r="S849" s="39"/>
      <c r="U849" s="39"/>
      <c r="V849" s="39"/>
      <c r="W849" s="39"/>
      <c r="X849" s="39"/>
      <c r="Y849" s="39"/>
      <c r="Z849" s="39"/>
      <c r="AA849" s="39"/>
      <c r="AB849" s="39"/>
    </row>
    <row r="850">
      <c r="C850" s="39"/>
      <c r="J850" s="39"/>
      <c r="K850" s="39"/>
      <c r="O850" s="39"/>
      <c r="Q850" s="39"/>
      <c r="R850" s="39"/>
      <c r="S850" s="39"/>
      <c r="U850" s="39"/>
      <c r="V850" s="39"/>
      <c r="W850" s="39"/>
      <c r="X850" s="39"/>
      <c r="Y850" s="39"/>
      <c r="Z850" s="39"/>
      <c r="AA850" s="39"/>
      <c r="AB850" s="39"/>
    </row>
    <row r="851">
      <c r="C851" s="39"/>
      <c r="J851" s="39"/>
      <c r="K851" s="39"/>
      <c r="O851" s="39"/>
      <c r="Q851" s="39"/>
      <c r="R851" s="39"/>
      <c r="S851" s="39"/>
      <c r="U851" s="39"/>
      <c r="V851" s="39"/>
      <c r="W851" s="39"/>
      <c r="X851" s="39"/>
      <c r="Y851" s="39"/>
      <c r="Z851" s="39"/>
      <c r="AA851" s="39"/>
      <c r="AB851" s="39"/>
    </row>
    <row r="852">
      <c r="C852" s="39"/>
      <c r="J852" s="39"/>
      <c r="K852" s="39"/>
      <c r="O852" s="39"/>
      <c r="Q852" s="39"/>
      <c r="R852" s="39"/>
      <c r="S852" s="39"/>
      <c r="U852" s="39"/>
      <c r="V852" s="39"/>
      <c r="W852" s="39"/>
      <c r="X852" s="39"/>
      <c r="Y852" s="39"/>
      <c r="Z852" s="39"/>
      <c r="AA852" s="39"/>
      <c r="AB852" s="39"/>
    </row>
    <row r="853">
      <c r="C853" s="39"/>
      <c r="J853" s="39"/>
      <c r="K853" s="39"/>
      <c r="O853" s="39"/>
      <c r="Q853" s="39"/>
      <c r="R853" s="39"/>
      <c r="S853" s="39"/>
      <c r="U853" s="39"/>
      <c r="V853" s="39"/>
      <c r="W853" s="39"/>
      <c r="X853" s="39"/>
      <c r="Y853" s="39"/>
      <c r="Z853" s="39"/>
      <c r="AA853" s="39"/>
      <c r="AB853" s="39"/>
    </row>
    <row r="854">
      <c r="C854" s="39"/>
      <c r="J854" s="39"/>
      <c r="K854" s="39"/>
      <c r="O854" s="39"/>
      <c r="Q854" s="39"/>
      <c r="R854" s="39"/>
      <c r="S854" s="39"/>
      <c r="U854" s="39"/>
      <c r="V854" s="39"/>
      <c r="W854" s="39"/>
      <c r="X854" s="39"/>
      <c r="Y854" s="39"/>
      <c r="Z854" s="39"/>
      <c r="AA854" s="39"/>
      <c r="AB854" s="39"/>
    </row>
    <row r="855">
      <c r="C855" s="39"/>
      <c r="J855" s="39"/>
      <c r="K855" s="39"/>
      <c r="O855" s="39"/>
      <c r="Q855" s="39"/>
      <c r="R855" s="39"/>
      <c r="S855" s="39"/>
      <c r="U855" s="39"/>
      <c r="V855" s="39"/>
      <c r="W855" s="39"/>
      <c r="X855" s="39"/>
      <c r="Y855" s="39"/>
      <c r="Z855" s="39"/>
      <c r="AA855" s="39"/>
      <c r="AB855" s="39"/>
    </row>
    <row r="856">
      <c r="C856" s="39"/>
      <c r="J856" s="39"/>
      <c r="K856" s="39"/>
      <c r="O856" s="39"/>
      <c r="Q856" s="39"/>
      <c r="R856" s="39"/>
      <c r="S856" s="39"/>
      <c r="U856" s="39"/>
      <c r="V856" s="39"/>
      <c r="W856" s="39"/>
      <c r="X856" s="39"/>
      <c r="Y856" s="39"/>
      <c r="Z856" s="39"/>
      <c r="AA856" s="39"/>
      <c r="AB856" s="39"/>
    </row>
    <row r="857">
      <c r="C857" s="39"/>
      <c r="J857" s="39"/>
      <c r="K857" s="39"/>
      <c r="O857" s="39"/>
      <c r="Q857" s="39"/>
      <c r="R857" s="39"/>
      <c r="S857" s="39"/>
      <c r="U857" s="39"/>
      <c r="V857" s="39"/>
      <c r="W857" s="39"/>
      <c r="X857" s="39"/>
      <c r="Y857" s="39"/>
      <c r="Z857" s="39"/>
      <c r="AA857" s="39"/>
      <c r="AB857" s="39"/>
    </row>
    <row r="858">
      <c r="C858" s="39"/>
      <c r="J858" s="39"/>
      <c r="K858" s="39"/>
      <c r="O858" s="39"/>
      <c r="Q858" s="39"/>
      <c r="R858" s="39"/>
      <c r="S858" s="39"/>
      <c r="U858" s="39"/>
      <c r="V858" s="39"/>
      <c r="W858" s="39"/>
      <c r="X858" s="39"/>
      <c r="Y858" s="39"/>
      <c r="Z858" s="39"/>
      <c r="AA858" s="39"/>
      <c r="AB858" s="39"/>
    </row>
    <row r="859">
      <c r="C859" s="39"/>
      <c r="J859" s="39"/>
      <c r="K859" s="39"/>
      <c r="O859" s="39"/>
      <c r="Q859" s="39"/>
      <c r="R859" s="39"/>
      <c r="S859" s="39"/>
      <c r="U859" s="39"/>
      <c r="V859" s="39"/>
      <c r="W859" s="39"/>
      <c r="X859" s="39"/>
      <c r="Y859" s="39"/>
      <c r="Z859" s="39"/>
      <c r="AA859" s="39"/>
      <c r="AB859" s="39"/>
    </row>
    <row r="860">
      <c r="C860" s="39"/>
      <c r="J860" s="39"/>
      <c r="K860" s="39"/>
      <c r="O860" s="39"/>
      <c r="Q860" s="39"/>
      <c r="R860" s="39"/>
      <c r="S860" s="39"/>
      <c r="U860" s="39"/>
      <c r="V860" s="39"/>
      <c r="W860" s="39"/>
      <c r="X860" s="39"/>
      <c r="Y860" s="39"/>
      <c r="Z860" s="39"/>
      <c r="AA860" s="39"/>
      <c r="AB860" s="39"/>
    </row>
    <row r="861">
      <c r="C861" s="39"/>
      <c r="J861" s="39"/>
      <c r="K861" s="39"/>
      <c r="O861" s="39"/>
      <c r="Q861" s="39"/>
      <c r="R861" s="39"/>
      <c r="S861" s="39"/>
      <c r="U861" s="39"/>
      <c r="V861" s="39"/>
      <c r="W861" s="39"/>
      <c r="X861" s="39"/>
      <c r="Y861" s="39"/>
      <c r="Z861" s="39"/>
      <c r="AA861" s="39"/>
      <c r="AB861" s="39"/>
    </row>
    <row r="862">
      <c r="C862" s="39"/>
      <c r="J862" s="39"/>
      <c r="K862" s="39"/>
      <c r="O862" s="39"/>
      <c r="Q862" s="39"/>
      <c r="R862" s="39"/>
      <c r="S862" s="39"/>
      <c r="U862" s="39"/>
      <c r="V862" s="39"/>
      <c r="W862" s="39"/>
      <c r="X862" s="39"/>
      <c r="Y862" s="39"/>
      <c r="Z862" s="39"/>
      <c r="AA862" s="39"/>
      <c r="AB862" s="39"/>
    </row>
    <row r="863">
      <c r="C863" s="39"/>
      <c r="J863" s="39"/>
      <c r="K863" s="39"/>
      <c r="O863" s="39"/>
      <c r="Q863" s="39"/>
      <c r="R863" s="39"/>
      <c r="S863" s="39"/>
      <c r="U863" s="39"/>
      <c r="V863" s="39"/>
      <c r="W863" s="39"/>
      <c r="X863" s="39"/>
      <c r="Y863" s="39"/>
      <c r="Z863" s="39"/>
      <c r="AA863" s="39"/>
      <c r="AB863" s="39"/>
    </row>
    <row r="864">
      <c r="C864" s="39"/>
      <c r="J864" s="39"/>
      <c r="K864" s="39"/>
      <c r="O864" s="39"/>
      <c r="Q864" s="39"/>
      <c r="R864" s="39"/>
      <c r="S864" s="39"/>
      <c r="U864" s="39"/>
      <c r="V864" s="39"/>
      <c r="W864" s="39"/>
      <c r="X864" s="39"/>
      <c r="Y864" s="39"/>
      <c r="Z864" s="39"/>
      <c r="AA864" s="39"/>
      <c r="AB864" s="39"/>
    </row>
    <row r="865">
      <c r="C865" s="39"/>
      <c r="J865" s="39"/>
      <c r="K865" s="39"/>
      <c r="O865" s="39"/>
      <c r="Q865" s="39"/>
      <c r="R865" s="39"/>
      <c r="S865" s="39"/>
      <c r="U865" s="39"/>
      <c r="V865" s="39"/>
      <c r="W865" s="39"/>
      <c r="X865" s="39"/>
      <c r="Y865" s="39"/>
      <c r="Z865" s="39"/>
      <c r="AA865" s="39"/>
      <c r="AB865" s="39"/>
    </row>
    <row r="866">
      <c r="C866" s="39"/>
      <c r="J866" s="39"/>
      <c r="K866" s="39"/>
      <c r="O866" s="39"/>
      <c r="Q866" s="39"/>
      <c r="R866" s="39"/>
      <c r="S866" s="39"/>
      <c r="U866" s="39"/>
      <c r="V866" s="39"/>
      <c r="W866" s="39"/>
      <c r="X866" s="39"/>
      <c r="Y866" s="39"/>
      <c r="Z866" s="39"/>
      <c r="AA866" s="39"/>
      <c r="AB866" s="39"/>
    </row>
    <row r="867">
      <c r="C867" s="39"/>
      <c r="J867" s="39"/>
      <c r="K867" s="39"/>
      <c r="O867" s="39"/>
      <c r="Q867" s="39"/>
      <c r="R867" s="39"/>
      <c r="S867" s="39"/>
      <c r="U867" s="39"/>
      <c r="V867" s="39"/>
      <c r="W867" s="39"/>
      <c r="X867" s="39"/>
      <c r="Y867" s="39"/>
      <c r="Z867" s="39"/>
      <c r="AA867" s="39"/>
      <c r="AB867" s="39"/>
    </row>
    <row r="868">
      <c r="C868" s="39"/>
      <c r="J868" s="39"/>
      <c r="K868" s="39"/>
      <c r="O868" s="39"/>
      <c r="Q868" s="39"/>
      <c r="R868" s="39"/>
      <c r="S868" s="39"/>
      <c r="U868" s="39"/>
      <c r="V868" s="39"/>
      <c r="W868" s="39"/>
      <c r="X868" s="39"/>
      <c r="Y868" s="39"/>
      <c r="Z868" s="39"/>
      <c r="AA868" s="39"/>
      <c r="AB868" s="39"/>
    </row>
    <row r="869">
      <c r="C869" s="39"/>
      <c r="J869" s="39"/>
      <c r="K869" s="39"/>
      <c r="O869" s="39"/>
      <c r="Q869" s="39"/>
      <c r="R869" s="39"/>
      <c r="S869" s="39"/>
      <c r="U869" s="39"/>
      <c r="V869" s="39"/>
      <c r="W869" s="39"/>
      <c r="X869" s="39"/>
      <c r="Y869" s="39"/>
      <c r="Z869" s="39"/>
      <c r="AA869" s="39"/>
      <c r="AB869" s="39"/>
    </row>
    <row r="870">
      <c r="C870" s="39"/>
      <c r="J870" s="39"/>
      <c r="K870" s="39"/>
      <c r="O870" s="39"/>
      <c r="Q870" s="39"/>
      <c r="R870" s="39"/>
      <c r="S870" s="39"/>
      <c r="U870" s="39"/>
      <c r="V870" s="39"/>
      <c r="W870" s="39"/>
      <c r="X870" s="39"/>
      <c r="Y870" s="39"/>
      <c r="Z870" s="39"/>
      <c r="AA870" s="39"/>
      <c r="AB870" s="39"/>
    </row>
    <row r="871">
      <c r="C871" s="39"/>
      <c r="J871" s="39"/>
      <c r="K871" s="39"/>
      <c r="O871" s="39"/>
      <c r="Q871" s="39"/>
      <c r="R871" s="39"/>
      <c r="S871" s="39"/>
      <c r="U871" s="39"/>
      <c r="V871" s="39"/>
      <c r="W871" s="39"/>
      <c r="X871" s="39"/>
      <c r="Y871" s="39"/>
      <c r="Z871" s="39"/>
      <c r="AA871" s="39"/>
      <c r="AB871" s="39"/>
    </row>
    <row r="872">
      <c r="C872" s="39"/>
      <c r="J872" s="39"/>
      <c r="K872" s="39"/>
      <c r="O872" s="39"/>
      <c r="Q872" s="39"/>
      <c r="R872" s="39"/>
      <c r="S872" s="39"/>
      <c r="U872" s="39"/>
      <c r="V872" s="39"/>
      <c r="W872" s="39"/>
      <c r="X872" s="39"/>
      <c r="Y872" s="39"/>
      <c r="Z872" s="39"/>
      <c r="AA872" s="39"/>
      <c r="AB872" s="39"/>
    </row>
    <row r="873">
      <c r="C873" s="39"/>
      <c r="J873" s="39"/>
      <c r="K873" s="39"/>
      <c r="O873" s="39"/>
      <c r="Q873" s="39"/>
      <c r="R873" s="39"/>
      <c r="S873" s="39"/>
      <c r="U873" s="39"/>
      <c r="V873" s="39"/>
      <c r="W873" s="39"/>
      <c r="X873" s="39"/>
      <c r="Y873" s="39"/>
      <c r="Z873" s="39"/>
      <c r="AA873" s="39"/>
      <c r="AB873" s="39"/>
    </row>
    <row r="874">
      <c r="C874" s="39"/>
      <c r="J874" s="39"/>
      <c r="K874" s="39"/>
      <c r="O874" s="39"/>
      <c r="Q874" s="39"/>
      <c r="R874" s="39"/>
      <c r="S874" s="39"/>
      <c r="U874" s="39"/>
      <c r="V874" s="39"/>
      <c r="W874" s="39"/>
      <c r="X874" s="39"/>
      <c r="Y874" s="39"/>
      <c r="Z874" s="39"/>
      <c r="AA874" s="39"/>
      <c r="AB874" s="39"/>
    </row>
    <row r="875">
      <c r="C875" s="39"/>
      <c r="J875" s="39"/>
      <c r="K875" s="39"/>
      <c r="O875" s="39"/>
      <c r="Q875" s="39"/>
      <c r="R875" s="39"/>
      <c r="S875" s="39"/>
      <c r="U875" s="39"/>
      <c r="V875" s="39"/>
      <c r="W875" s="39"/>
      <c r="X875" s="39"/>
      <c r="Y875" s="39"/>
      <c r="Z875" s="39"/>
      <c r="AA875" s="39"/>
      <c r="AB875" s="39"/>
    </row>
    <row r="876">
      <c r="C876" s="39"/>
      <c r="J876" s="39"/>
      <c r="K876" s="39"/>
      <c r="O876" s="39"/>
      <c r="Q876" s="39"/>
      <c r="R876" s="39"/>
      <c r="S876" s="39"/>
      <c r="U876" s="39"/>
      <c r="V876" s="39"/>
      <c r="W876" s="39"/>
      <c r="X876" s="39"/>
      <c r="Y876" s="39"/>
      <c r="Z876" s="39"/>
      <c r="AA876" s="39"/>
      <c r="AB876" s="39"/>
    </row>
    <row r="877">
      <c r="C877" s="39"/>
      <c r="J877" s="39"/>
      <c r="K877" s="39"/>
      <c r="O877" s="39"/>
      <c r="Q877" s="39"/>
      <c r="R877" s="39"/>
      <c r="S877" s="39"/>
      <c r="U877" s="39"/>
      <c r="V877" s="39"/>
      <c r="W877" s="39"/>
      <c r="X877" s="39"/>
      <c r="Y877" s="39"/>
      <c r="Z877" s="39"/>
      <c r="AA877" s="39"/>
      <c r="AB877" s="39"/>
    </row>
    <row r="878">
      <c r="C878" s="39"/>
      <c r="J878" s="39"/>
      <c r="K878" s="39"/>
      <c r="O878" s="39"/>
      <c r="Q878" s="39"/>
      <c r="R878" s="39"/>
      <c r="S878" s="39"/>
      <c r="U878" s="39"/>
      <c r="V878" s="39"/>
      <c r="W878" s="39"/>
      <c r="X878" s="39"/>
      <c r="Y878" s="39"/>
      <c r="Z878" s="39"/>
      <c r="AA878" s="39"/>
      <c r="AB878" s="39"/>
    </row>
    <row r="879">
      <c r="C879" s="39"/>
      <c r="J879" s="39"/>
      <c r="K879" s="39"/>
      <c r="O879" s="39"/>
      <c r="Q879" s="39"/>
      <c r="R879" s="39"/>
      <c r="S879" s="39"/>
      <c r="U879" s="39"/>
      <c r="V879" s="39"/>
      <c r="W879" s="39"/>
      <c r="X879" s="39"/>
      <c r="Y879" s="39"/>
      <c r="Z879" s="39"/>
      <c r="AA879" s="39"/>
      <c r="AB879" s="39"/>
    </row>
    <row r="880">
      <c r="C880" s="39"/>
      <c r="J880" s="39"/>
      <c r="K880" s="39"/>
      <c r="O880" s="39"/>
      <c r="Q880" s="39"/>
      <c r="R880" s="39"/>
      <c r="S880" s="39"/>
      <c r="U880" s="39"/>
      <c r="V880" s="39"/>
      <c r="W880" s="39"/>
      <c r="X880" s="39"/>
      <c r="Y880" s="39"/>
      <c r="Z880" s="39"/>
      <c r="AA880" s="39"/>
      <c r="AB880" s="39"/>
    </row>
    <row r="881">
      <c r="C881" s="39"/>
      <c r="J881" s="39"/>
      <c r="K881" s="39"/>
      <c r="O881" s="39"/>
      <c r="Q881" s="39"/>
      <c r="R881" s="39"/>
      <c r="S881" s="39"/>
      <c r="U881" s="39"/>
      <c r="V881" s="39"/>
      <c r="W881" s="39"/>
      <c r="X881" s="39"/>
      <c r="Y881" s="39"/>
      <c r="Z881" s="39"/>
      <c r="AA881" s="39"/>
      <c r="AB881" s="39"/>
    </row>
    <row r="882">
      <c r="C882" s="39"/>
      <c r="J882" s="39"/>
      <c r="K882" s="39"/>
      <c r="O882" s="39"/>
      <c r="Q882" s="39"/>
      <c r="R882" s="39"/>
      <c r="S882" s="39"/>
      <c r="U882" s="39"/>
      <c r="V882" s="39"/>
      <c r="W882" s="39"/>
      <c r="X882" s="39"/>
      <c r="Y882" s="39"/>
      <c r="Z882" s="39"/>
      <c r="AA882" s="39"/>
      <c r="AB882" s="39"/>
    </row>
    <row r="883">
      <c r="C883" s="39"/>
      <c r="J883" s="39"/>
      <c r="K883" s="39"/>
      <c r="O883" s="39"/>
      <c r="Q883" s="39"/>
      <c r="R883" s="39"/>
      <c r="S883" s="39"/>
      <c r="U883" s="39"/>
      <c r="V883" s="39"/>
      <c r="W883" s="39"/>
      <c r="X883" s="39"/>
      <c r="Y883" s="39"/>
      <c r="Z883" s="39"/>
      <c r="AA883" s="39"/>
      <c r="AB883" s="39"/>
    </row>
    <row r="884">
      <c r="C884" s="39"/>
      <c r="J884" s="39"/>
      <c r="K884" s="39"/>
      <c r="O884" s="39"/>
      <c r="Q884" s="39"/>
      <c r="R884" s="39"/>
      <c r="S884" s="39"/>
      <c r="U884" s="39"/>
      <c r="V884" s="39"/>
      <c r="W884" s="39"/>
      <c r="X884" s="39"/>
      <c r="Y884" s="39"/>
      <c r="Z884" s="39"/>
      <c r="AA884" s="39"/>
      <c r="AB884" s="39"/>
    </row>
    <row r="885">
      <c r="C885" s="39"/>
      <c r="J885" s="39"/>
      <c r="K885" s="39"/>
      <c r="O885" s="39"/>
      <c r="Q885" s="39"/>
      <c r="R885" s="39"/>
      <c r="S885" s="39"/>
      <c r="U885" s="39"/>
      <c r="V885" s="39"/>
      <c r="W885" s="39"/>
      <c r="X885" s="39"/>
      <c r="Y885" s="39"/>
      <c r="Z885" s="39"/>
      <c r="AA885" s="39"/>
      <c r="AB885" s="39"/>
    </row>
    <row r="886">
      <c r="C886" s="39"/>
      <c r="J886" s="39"/>
      <c r="K886" s="39"/>
      <c r="O886" s="39"/>
      <c r="Q886" s="39"/>
      <c r="R886" s="39"/>
      <c r="S886" s="39"/>
      <c r="U886" s="39"/>
      <c r="V886" s="39"/>
      <c r="W886" s="39"/>
      <c r="X886" s="39"/>
      <c r="Y886" s="39"/>
      <c r="Z886" s="39"/>
      <c r="AA886" s="39"/>
      <c r="AB886" s="39"/>
    </row>
    <row r="887">
      <c r="C887" s="39"/>
      <c r="J887" s="39"/>
      <c r="K887" s="39"/>
      <c r="O887" s="39"/>
      <c r="Q887" s="39"/>
      <c r="R887" s="39"/>
      <c r="S887" s="39"/>
      <c r="U887" s="39"/>
      <c r="V887" s="39"/>
      <c r="W887" s="39"/>
      <c r="X887" s="39"/>
      <c r="Y887" s="39"/>
      <c r="Z887" s="39"/>
      <c r="AA887" s="39"/>
      <c r="AB887" s="39"/>
    </row>
    <row r="888">
      <c r="C888" s="39"/>
      <c r="J888" s="39"/>
      <c r="K888" s="39"/>
      <c r="O888" s="39"/>
      <c r="Q888" s="39"/>
      <c r="R888" s="39"/>
      <c r="S888" s="39"/>
      <c r="U888" s="39"/>
      <c r="V888" s="39"/>
      <c r="W888" s="39"/>
      <c r="X888" s="39"/>
      <c r="Y888" s="39"/>
      <c r="Z888" s="39"/>
      <c r="AA888" s="39"/>
      <c r="AB888" s="39"/>
    </row>
    <row r="889">
      <c r="C889" s="39"/>
      <c r="J889" s="39"/>
      <c r="K889" s="39"/>
      <c r="O889" s="39"/>
      <c r="Q889" s="39"/>
      <c r="R889" s="39"/>
      <c r="S889" s="39"/>
      <c r="U889" s="39"/>
      <c r="V889" s="39"/>
      <c r="W889" s="39"/>
      <c r="X889" s="39"/>
      <c r="Y889" s="39"/>
      <c r="Z889" s="39"/>
      <c r="AA889" s="39"/>
      <c r="AB889" s="39"/>
    </row>
    <row r="890">
      <c r="C890" s="39"/>
      <c r="J890" s="39"/>
      <c r="K890" s="39"/>
      <c r="O890" s="39"/>
      <c r="Q890" s="39"/>
      <c r="R890" s="39"/>
      <c r="S890" s="39"/>
      <c r="U890" s="39"/>
      <c r="V890" s="39"/>
      <c r="W890" s="39"/>
      <c r="X890" s="39"/>
      <c r="Y890" s="39"/>
      <c r="Z890" s="39"/>
      <c r="AA890" s="39"/>
      <c r="AB890" s="39"/>
    </row>
    <row r="891">
      <c r="C891" s="39"/>
      <c r="J891" s="39"/>
      <c r="K891" s="39"/>
      <c r="O891" s="39"/>
      <c r="Q891" s="39"/>
      <c r="R891" s="39"/>
      <c r="S891" s="39"/>
      <c r="U891" s="39"/>
      <c r="V891" s="39"/>
      <c r="W891" s="39"/>
      <c r="X891" s="39"/>
      <c r="Y891" s="39"/>
      <c r="Z891" s="39"/>
      <c r="AA891" s="39"/>
      <c r="AB891" s="39"/>
    </row>
    <row r="892">
      <c r="C892" s="39"/>
      <c r="J892" s="39"/>
      <c r="K892" s="39"/>
      <c r="O892" s="39"/>
      <c r="Q892" s="39"/>
      <c r="R892" s="39"/>
      <c r="S892" s="39"/>
      <c r="U892" s="39"/>
      <c r="V892" s="39"/>
      <c r="W892" s="39"/>
      <c r="X892" s="39"/>
      <c r="Y892" s="39"/>
      <c r="Z892" s="39"/>
      <c r="AA892" s="39"/>
      <c r="AB892" s="39"/>
    </row>
    <row r="893">
      <c r="C893" s="39"/>
      <c r="J893" s="39"/>
      <c r="K893" s="39"/>
      <c r="O893" s="39"/>
      <c r="Q893" s="39"/>
      <c r="R893" s="39"/>
      <c r="S893" s="39"/>
      <c r="U893" s="39"/>
      <c r="V893" s="39"/>
      <c r="W893" s="39"/>
      <c r="X893" s="39"/>
      <c r="Y893" s="39"/>
      <c r="Z893" s="39"/>
      <c r="AA893" s="39"/>
      <c r="AB893" s="39"/>
    </row>
    <row r="894">
      <c r="C894" s="39"/>
      <c r="J894" s="39"/>
      <c r="K894" s="39"/>
      <c r="O894" s="39"/>
      <c r="Q894" s="39"/>
      <c r="R894" s="39"/>
      <c r="S894" s="39"/>
      <c r="U894" s="39"/>
      <c r="V894" s="39"/>
      <c r="W894" s="39"/>
      <c r="X894" s="39"/>
      <c r="Y894" s="39"/>
      <c r="Z894" s="39"/>
      <c r="AA894" s="39"/>
      <c r="AB894" s="39"/>
    </row>
    <row r="895">
      <c r="C895" s="39"/>
      <c r="J895" s="39"/>
      <c r="K895" s="39"/>
      <c r="O895" s="39"/>
      <c r="Q895" s="39"/>
      <c r="R895" s="39"/>
      <c r="S895" s="39"/>
      <c r="U895" s="39"/>
      <c r="V895" s="39"/>
      <c r="W895" s="39"/>
      <c r="X895" s="39"/>
      <c r="Y895" s="39"/>
      <c r="Z895" s="39"/>
      <c r="AA895" s="39"/>
      <c r="AB895" s="39"/>
    </row>
    <row r="896">
      <c r="C896" s="39"/>
      <c r="J896" s="39"/>
      <c r="K896" s="39"/>
      <c r="O896" s="39"/>
      <c r="Q896" s="39"/>
      <c r="R896" s="39"/>
      <c r="S896" s="39"/>
      <c r="U896" s="39"/>
      <c r="V896" s="39"/>
      <c r="W896" s="39"/>
      <c r="X896" s="39"/>
      <c r="Y896" s="39"/>
      <c r="Z896" s="39"/>
      <c r="AA896" s="39"/>
      <c r="AB896" s="39"/>
    </row>
    <row r="897">
      <c r="C897" s="39"/>
      <c r="J897" s="39"/>
      <c r="K897" s="39"/>
      <c r="O897" s="39"/>
      <c r="Q897" s="39"/>
      <c r="R897" s="39"/>
      <c r="S897" s="39"/>
      <c r="U897" s="39"/>
      <c r="V897" s="39"/>
      <c r="W897" s="39"/>
      <c r="X897" s="39"/>
      <c r="Y897" s="39"/>
      <c r="Z897" s="39"/>
      <c r="AA897" s="39"/>
      <c r="AB897" s="39"/>
    </row>
    <row r="898">
      <c r="C898" s="39"/>
      <c r="J898" s="39"/>
      <c r="K898" s="39"/>
      <c r="O898" s="39"/>
      <c r="Q898" s="39"/>
      <c r="R898" s="39"/>
      <c r="S898" s="39"/>
      <c r="U898" s="39"/>
      <c r="V898" s="39"/>
      <c r="W898" s="39"/>
      <c r="X898" s="39"/>
      <c r="Y898" s="39"/>
      <c r="Z898" s="39"/>
      <c r="AA898" s="39"/>
      <c r="AB898" s="39"/>
    </row>
    <row r="899">
      <c r="C899" s="39"/>
      <c r="J899" s="39"/>
      <c r="K899" s="39"/>
      <c r="O899" s="39"/>
      <c r="Q899" s="39"/>
      <c r="R899" s="39"/>
      <c r="S899" s="39"/>
      <c r="U899" s="39"/>
      <c r="V899" s="39"/>
      <c r="W899" s="39"/>
      <c r="X899" s="39"/>
      <c r="Y899" s="39"/>
      <c r="Z899" s="39"/>
      <c r="AA899" s="39"/>
      <c r="AB899" s="39"/>
    </row>
    <row r="900">
      <c r="C900" s="39"/>
      <c r="J900" s="39"/>
      <c r="K900" s="39"/>
      <c r="O900" s="39"/>
      <c r="Q900" s="39"/>
      <c r="R900" s="39"/>
      <c r="S900" s="39"/>
      <c r="U900" s="39"/>
      <c r="V900" s="39"/>
      <c r="W900" s="39"/>
      <c r="X900" s="39"/>
      <c r="Y900" s="39"/>
      <c r="Z900" s="39"/>
      <c r="AA900" s="39"/>
      <c r="AB900" s="39"/>
    </row>
    <row r="901">
      <c r="C901" s="39"/>
      <c r="J901" s="39"/>
      <c r="K901" s="39"/>
      <c r="O901" s="39"/>
      <c r="Q901" s="39"/>
      <c r="R901" s="39"/>
      <c r="S901" s="39"/>
      <c r="U901" s="39"/>
      <c r="V901" s="39"/>
      <c r="W901" s="39"/>
      <c r="X901" s="39"/>
      <c r="Y901" s="39"/>
      <c r="Z901" s="39"/>
      <c r="AA901" s="39"/>
      <c r="AB901" s="39"/>
    </row>
    <row r="902">
      <c r="C902" s="39"/>
      <c r="J902" s="39"/>
      <c r="K902" s="39"/>
      <c r="O902" s="39"/>
      <c r="Q902" s="39"/>
      <c r="R902" s="39"/>
      <c r="S902" s="39"/>
      <c r="U902" s="39"/>
      <c r="V902" s="39"/>
      <c r="W902" s="39"/>
      <c r="X902" s="39"/>
      <c r="Y902" s="39"/>
      <c r="Z902" s="39"/>
      <c r="AA902" s="39"/>
      <c r="AB902" s="39"/>
    </row>
    <row r="903">
      <c r="C903" s="39"/>
      <c r="J903" s="39"/>
      <c r="K903" s="39"/>
      <c r="O903" s="39"/>
      <c r="Q903" s="39"/>
      <c r="R903" s="39"/>
      <c r="S903" s="39"/>
      <c r="U903" s="39"/>
      <c r="V903" s="39"/>
      <c r="W903" s="39"/>
      <c r="X903" s="39"/>
      <c r="Y903" s="39"/>
      <c r="Z903" s="39"/>
      <c r="AA903" s="39"/>
      <c r="AB903" s="39"/>
    </row>
    <row r="904">
      <c r="C904" s="39"/>
      <c r="J904" s="39"/>
      <c r="K904" s="39"/>
      <c r="O904" s="39"/>
      <c r="Q904" s="39"/>
      <c r="R904" s="39"/>
      <c r="S904" s="39"/>
      <c r="U904" s="39"/>
      <c r="V904" s="39"/>
      <c r="W904" s="39"/>
      <c r="X904" s="39"/>
      <c r="Y904" s="39"/>
      <c r="Z904" s="39"/>
      <c r="AA904" s="39"/>
      <c r="AB904" s="39"/>
    </row>
    <row r="905">
      <c r="C905" s="39"/>
      <c r="J905" s="39"/>
      <c r="K905" s="39"/>
      <c r="O905" s="39"/>
      <c r="Q905" s="39"/>
      <c r="R905" s="39"/>
      <c r="S905" s="39"/>
      <c r="U905" s="39"/>
      <c r="V905" s="39"/>
      <c r="W905" s="39"/>
      <c r="X905" s="39"/>
      <c r="Y905" s="39"/>
      <c r="Z905" s="39"/>
      <c r="AA905" s="39"/>
      <c r="AB905" s="39"/>
    </row>
    <row r="906">
      <c r="C906" s="39"/>
      <c r="J906" s="39"/>
      <c r="K906" s="39"/>
      <c r="O906" s="39"/>
      <c r="Q906" s="39"/>
      <c r="R906" s="39"/>
      <c r="S906" s="39"/>
      <c r="U906" s="39"/>
      <c r="V906" s="39"/>
      <c r="W906" s="39"/>
      <c r="X906" s="39"/>
      <c r="Y906" s="39"/>
      <c r="Z906" s="39"/>
      <c r="AA906" s="39"/>
      <c r="AB906" s="39"/>
    </row>
    <row r="907">
      <c r="C907" s="39"/>
      <c r="J907" s="39"/>
      <c r="K907" s="39"/>
      <c r="O907" s="39"/>
      <c r="Q907" s="39"/>
      <c r="R907" s="39"/>
      <c r="S907" s="39"/>
      <c r="U907" s="39"/>
      <c r="V907" s="39"/>
      <c r="W907" s="39"/>
      <c r="X907" s="39"/>
      <c r="Y907" s="39"/>
      <c r="Z907" s="39"/>
      <c r="AA907" s="39"/>
      <c r="AB907" s="39"/>
    </row>
    <row r="908">
      <c r="C908" s="39"/>
      <c r="J908" s="39"/>
      <c r="K908" s="39"/>
      <c r="O908" s="39"/>
      <c r="Q908" s="39"/>
      <c r="R908" s="39"/>
      <c r="S908" s="39"/>
      <c r="U908" s="39"/>
      <c r="V908" s="39"/>
      <c r="W908" s="39"/>
      <c r="X908" s="39"/>
      <c r="Y908" s="39"/>
      <c r="Z908" s="39"/>
      <c r="AA908" s="39"/>
      <c r="AB908" s="39"/>
    </row>
    <row r="909">
      <c r="C909" s="39"/>
      <c r="J909" s="39"/>
      <c r="K909" s="39"/>
      <c r="O909" s="39"/>
      <c r="Q909" s="39"/>
      <c r="R909" s="39"/>
      <c r="S909" s="39"/>
      <c r="U909" s="39"/>
      <c r="V909" s="39"/>
      <c r="W909" s="39"/>
      <c r="X909" s="39"/>
      <c r="Y909" s="39"/>
      <c r="Z909" s="39"/>
      <c r="AA909" s="39"/>
      <c r="AB909" s="39"/>
    </row>
    <row r="910">
      <c r="C910" s="39"/>
      <c r="J910" s="39"/>
      <c r="K910" s="39"/>
      <c r="O910" s="39"/>
      <c r="Q910" s="39"/>
      <c r="R910" s="39"/>
      <c r="S910" s="39"/>
      <c r="U910" s="39"/>
      <c r="V910" s="39"/>
      <c r="W910" s="39"/>
      <c r="X910" s="39"/>
      <c r="Y910" s="39"/>
      <c r="Z910" s="39"/>
      <c r="AA910" s="39"/>
      <c r="AB910" s="39"/>
    </row>
    <row r="911">
      <c r="C911" s="39"/>
      <c r="J911" s="39"/>
      <c r="K911" s="39"/>
      <c r="O911" s="39"/>
      <c r="Q911" s="39"/>
      <c r="R911" s="39"/>
      <c r="S911" s="39"/>
      <c r="U911" s="39"/>
      <c r="V911" s="39"/>
      <c r="W911" s="39"/>
      <c r="X911" s="39"/>
      <c r="Y911" s="39"/>
      <c r="Z911" s="39"/>
      <c r="AA911" s="39"/>
      <c r="AB911" s="39"/>
    </row>
    <row r="912">
      <c r="C912" s="39"/>
      <c r="J912" s="39"/>
      <c r="K912" s="39"/>
      <c r="O912" s="39"/>
      <c r="Q912" s="39"/>
      <c r="R912" s="39"/>
      <c r="S912" s="39"/>
      <c r="U912" s="39"/>
      <c r="V912" s="39"/>
      <c r="W912" s="39"/>
      <c r="X912" s="39"/>
      <c r="Y912" s="39"/>
      <c r="Z912" s="39"/>
      <c r="AA912" s="39"/>
      <c r="AB912" s="39"/>
    </row>
    <row r="913">
      <c r="C913" s="39"/>
      <c r="J913" s="39"/>
      <c r="K913" s="39"/>
      <c r="O913" s="39"/>
      <c r="Q913" s="39"/>
      <c r="R913" s="39"/>
      <c r="S913" s="39"/>
      <c r="U913" s="39"/>
      <c r="V913" s="39"/>
      <c r="W913" s="39"/>
      <c r="X913" s="39"/>
      <c r="Y913" s="39"/>
      <c r="Z913" s="39"/>
      <c r="AA913" s="39"/>
      <c r="AB913" s="39"/>
    </row>
    <row r="914">
      <c r="C914" s="39"/>
      <c r="J914" s="39"/>
      <c r="K914" s="39"/>
      <c r="O914" s="39"/>
      <c r="Q914" s="39"/>
      <c r="R914" s="39"/>
      <c r="S914" s="39"/>
      <c r="U914" s="39"/>
      <c r="V914" s="39"/>
      <c r="W914" s="39"/>
      <c r="X914" s="39"/>
      <c r="Y914" s="39"/>
      <c r="Z914" s="39"/>
      <c r="AA914" s="39"/>
      <c r="AB914" s="39"/>
    </row>
    <row r="915">
      <c r="C915" s="39"/>
      <c r="J915" s="39"/>
      <c r="K915" s="39"/>
      <c r="O915" s="39"/>
      <c r="Q915" s="39"/>
      <c r="R915" s="39"/>
      <c r="S915" s="39"/>
      <c r="U915" s="39"/>
      <c r="V915" s="39"/>
      <c r="W915" s="39"/>
      <c r="X915" s="39"/>
      <c r="Y915" s="39"/>
      <c r="Z915" s="39"/>
      <c r="AA915" s="39"/>
      <c r="AB915" s="39"/>
    </row>
    <row r="916">
      <c r="C916" s="39"/>
      <c r="J916" s="39"/>
      <c r="K916" s="39"/>
      <c r="O916" s="39"/>
      <c r="Q916" s="39"/>
      <c r="R916" s="39"/>
      <c r="S916" s="39"/>
      <c r="U916" s="39"/>
      <c r="V916" s="39"/>
      <c r="W916" s="39"/>
      <c r="X916" s="39"/>
      <c r="Y916" s="39"/>
      <c r="Z916" s="39"/>
      <c r="AA916" s="39"/>
      <c r="AB916" s="39"/>
    </row>
    <row r="917">
      <c r="C917" s="39"/>
      <c r="J917" s="39"/>
      <c r="K917" s="39"/>
      <c r="O917" s="39"/>
      <c r="Q917" s="39"/>
      <c r="R917" s="39"/>
      <c r="S917" s="39"/>
      <c r="U917" s="39"/>
      <c r="V917" s="39"/>
      <c r="W917" s="39"/>
      <c r="X917" s="39"/>
      <c r="Y917" s="39"/>
      <c r="Z917" s="39"/>
      <c r="AA917" s="39"/>
      <c r="AB917" s="39"/>
    </row>
    <row r="918">
      <c r="C918" s="39"/>
      <c r="J918" s="39"/>
      <c r="K918" s="39"/>
      <c r="O918" s="39"/>
      <c r="Q918" s="39"/>
      <c r="R918" s="39"/>
      <c r="S918" s="39"/>
      <c r="U918" s="39"/>
      <c r="V918" s="39"/>
      <c r="W918" s="39"/>
      <c r="X918" s="39"/>
      <c r="Y918" s="39"/>
      <c r="Z918" s="39"/>
      <c r="AA918" s="39"/>
      <c r="AB918" s="39"/>
    </row>
    <row r="919">
      <c r="C919" s="39"/>
      <c r="J919" s="39"/>
      <c r="K919" s="39"/>
      <c r="O919" s="39"/>
      <c r="Q919" s="39"/>
      <c r="R919" s="39"/>
      <c r="S919" s="39"/>
      <c r="U919" s="39"/>
      <c r="V919" s="39"/>
      <c r="W919" s="39"/>
      <c r="X919" s="39"/>
      <c r="Y919" s="39"/>
      <c r="Z919" s="39"/>
      <c r="AA919" s="39"/>
      <c r="AB919" s="39"/>
    </row>
    <row r="920">
      <c r="C920" s="39"/>
      <c r="J920" s="39"/>
      <c r="K920" s="39"/>
      <c r="O920" s="39"/>
      <c r="Q920" s="39"/>
      <c r="R920" s="39"/>
      <c r="S920" s="39"/>
      <c r="U920" s="39"/>
      <c r="V920" s="39"/>
      <c r="W920" s="39"/>
      <c r="X920" s="39"/>
      <c r="Y920" s="39"/>
      <c r="Z920" s="39"/>
      <c r="AA920" s="39"/>
      <c r="AB920" s="39"/>
    </row>
    <row r="921">
      <c r="C921" s="39"/>
      <c r="J921" s="39"/>
      <c r="K921" s="39"/>
      <c r="O921" s="39"/>
      <c r="Q921" s="39"/>
      <c r="R921" s="39"/>
      <c r="S921" s="39"/>
      <c r="U921" s="39"/>
      <c r="V921" s="39"/>
      <c r="W921" s="39"/>
      <c r="X921" s="39"/>
      <c r="Y921" s="39"/>
      <c r="Z921" s="39"/>
      <c r="AA921" s="39"/>
      <c r="AB921" s="39"/>
    </row>
    <row r="922">
      <c r="C922" s="39"/>
      <c r="J922" s="39"/>
      <c r="K922" s="39"/>
      <c r="O922" s="39"/>
      <c r="Q922" s="39"/>
      <c r="R922" s="39"/>
      <c r="S922" s="39"/>
      <c r="U922" s="39"/>
      <c r="V922" s="39"/>
      <c r="W922" s="39"/>
      <c r="X922" s="39"/>
      <c r="Y922" s="39"/>
      <c r="Z922" s="39"/>
      <c r="AA922" s="39"/>
      <c r="AB922" s="39"/>
    </row>
    <row r="923">
      <c r="C923" s="39"/>
      <c r="J923" s="39"/>
      <c r="K923" s="39"/>
      <c r="O923" s="39"/>
      <c r="Q923" s="39"/>
      <c r="R923" s="39"/>
      <c r="S923" s="39"/>
      <c r="U923" s="39"/>
      <c r="V923" s="39"/>
      <c r="W923" s="39"/>
      <c r="X923" s="39"/>
      <c r="Y923" s="39"/>
      <c r="Z923" s="39"/>
      <c r="AA923" s="39"/>
      <c r="AB923" s="39"/>
    </row>
    <row r="924">
      <c r="C924" s="39"/>
      <c r="J924" s="39"/>
      <c r="K924" s="39"/>
      <c r="O924" s="39"/>
      <c r="Q924" s="39"/>
      <c r="R924" s="39"/>
      <c r="S924" s="39"/>
      <c r="U924" s="39"/>
      <c r="V924" s="39"/>
      <c r="W924" s="39"/>
      <c r="X924" s="39"/>
      <c r="Y924" s="39"/>
      <c r="Z924" s="39"/>
      <c r="AA924" s="39"/>
      <c r="AB924" s="39"/>
    </row>
    <row r="925">
      <c r="C925" s="39"/>
      <c r="J925" s="39"/>
      <c r="K925" s="39"/>
      <c r="O925" s="39"/>
      <c r="Q925" s="39"/>
      <c r="R925" s="39"/>
      <c r="S925" s="39"/>
      <c r="U925" s="39"/>
      <c r="V925" s="39"/>
      <c r="W925" s="39"/>
      <c r="X925" s="39"/>
      <c r="Y925" s="39"/>
      <c r="Z925" s="39"/>
      <c r="AA925" s="39"/>
      <c r="AB925" s="39"/>
    </row>
    <row r="926">
      <c r="C926" s="39"/>
      <c r="J926" s="39"/>
      <c r="K926" s="39"/>
      <c r="O926" s="39"/>
      <c r="Q926" s="39"/>
      <c r="R926" s="39"/>
      <c r="S926" s="39"/>
      <c r="U926" s="39"/>
      <c r="V926" s="39"/>
      <c r="W926" s="39"/>
      <c r="X926" s="39"/>
      <c r="Y926" s="39"/>
      <c r="Z926" s="39"/>
      <c r="AA926" s="39"/>
      <c r="AB926" s="39"/>
    </row>
    <row r="927">
      <c r="C927" s="39"/>
      <c r="J927" s="39"/>
      <c r="K927" s="39"/>
      <c r="O927" s="39"/>
      <c r="Q927" s="39"/>
      <c r="R927" s="39"/>
      <c r="S927" s="39"/>
      <c r="U927" s="39"/>
      <c r="V927" s="39"/>
      <c r="W927" s="39"/>
      <c r="X927" s="39"/>
      <c r="Y927" s="39"/>
      <c r="Z927" s="39"/>
      <c r="AA927" s="39"/>
      <c r="AB927" s="39"/>
    </row>
    <row r="928">
      <c r="C928" s="39"/>
      <c r="J928" s="39"/>
      <c r="K928" s="39"/>
      <c r="O928" s="39"/>
      <c r="Q928" s="39"/>
      <c r="R928" s="39"/>
      <c r="S928" s="39"/>
      <c r="U928" s="39"/>
      <c r="V928" s="39"/>
      <c r="W928" s="39"/>
      <c r="X928" s="39"/>
      <c r="Y928" s="39"/>
      <c r="Z928" s="39"/>
      <c r="AA928" s="39"/>
      <c r="AB928" s="39"/>
    </row>
    <row r="929">
      <c r="C929" s="39"/>
      <c r="J929" s="39"/>
      <c r="K929" s="39"/>
      <c r="O929" s="39"/>
      <c r="Q929" s="39"/>
      <c r="R929" s="39"/>
      <c r="S929" s="39"/>
      <c r="U929" s="39"/>
      <c r="V929" s="39"/>
      <c r="W929" s="39"/>
      <c r="X929" s="39"/>
      <c r="Y929" s="39"/>
      <c r="Z929" s="39"/>
      <c r="AA929" s="39"/>
      <c r="AB929" s="39"/>
    </row>
    <row r="930">
      <c r="C930" s="39"/>
      <c r="J930" s="39"/>
      <c r="K930" s="39"/>
      <c r="O930" s="39"/>
      <c r="Q930" s="39"/>
      <c r="R930" s="39"/>
      <c r="S930" s="39"/>
      <c r="U930" s="39"/>
      <c r="V930" s="39"/>
      <c r="W930" s="39"/>
      <c r="X930" s="39"/>
      <c r="Y930" s="39"/>
      <c r="Z930" s="39"/>
      <c r="AA930" s="39"/>
      <c r="AB930" s="39"/>
    </row>
    <row r="931">
      <c r="C931" s="39"/>
      <c r="J931" s="39"/>
      <c r="K931" s="39"/>
      <c r="O931" s="39"/>
      <c r="Q931" s="39"/>
      <c r="R931" s="39"/>
      <c r="S931" s="39"/>
      <c r="U931" s="39"/>
      <c r="V931" s="39"/>
      <c r="W931" s="39"/>
      <c r="X931" s="39"/>
      <c r="Y931" s="39"/>
      <c r="Z931" s="39"/>
      <c r="AA931" s="39"/>
      <c r="AB931" s="39"/>
    </row>
    <row r="932">
      <c r="C932" s="39"/>
      <c r="J932" s="39"/>
      <c r="K932" s="39"/>
      <c r="O932" s="39"/>
      <c r="Q932" s="39"/>
      <c r="R932" s="39"/>
      <c r="S932" s="39"/>
      <c r="U932" s="39"/>
      <c r="V932" s="39"/>
      <c r="W932" s="39"/>
      <c r="X932" s="39"/>
      <c r="Y932" s="39"/>
      <c r="Z932" s="39"/>
      <c r="AA932" s="39"/>
      <c r="AB932" s="39"/>
    </row>
    <row r="933">
      <c r="C933" s="39"/>
      <c r="J933" s="39"/>
      <c r="K933" s="39"/>
      <c r="O933" s="39"/>
      <c r="Q933" s="39"/>
      <c r="R933" s="39"/>
      <c r="S933" s="39"/>
      <c r="U933" s="39"/>
      <c r="V933" s="39"/>
      <c r="W933" s="39"/>
      <c r="X933" s="39"/>
      <c r="Y933" s="39"/>
      <c r="Z933" s="39"/>
      <c r="AA933" s="39"/>
      <c r="AB933" s="39"/>
    </row>
    <row r="934">
      <c r="C934" s="39"/>
      <c r="J934" s="39"/>
      <c r="K934" s="39"/>
      <c r="O934" s="39"/>
      <c r="Q934" s="39"/>
      <c r="R934" s="39"/>
      <c r="S934" s="39"/>
      <c r="U934" s="39"/>
      <c r="V934" s="39"/>
      <c r="W934" s="39"/>
      <c r="X934" s="39"/>
      <c r="Y934" s="39"/>
      <c r="Z934" s="39"/>
      <c r="AA934" s="39"/>
      <c r="AB934" s="39"/>
    </row>
    <row r="935">
      <c r="C935" s="39"/>
      <c r="J935" s="39"/>
      <c r="K935" s="39"/>
      <c r="O935" s="39"/>
      <c r="Q935" s="39"/>
      <c r="R935" s="39"/>
      <c r="S935" s="39"/>
      <c r="U935" s="39"/>
      <c r="V935" s="39"/>
      <c r="W935" s="39"/>
      <c r="X935" s="39"/>
      <c r="Y935" s="39"/>
      <c r="Z935" s="39"/>
      <c r="AA935" s="39"/>
      <c r="AB935" s="39"/>
    </row>
    <row r="936">
      <c r="C936" s="39"/>
      <c r="J936" s="39"/>
      <c r="K936" s="39"/>
      <c r="O936" s="39"/>
      <c r="Q936" s="39"/>
      <c r="R936" s="39"/>
      <c r="S936" s="39"/>
      <c r="U936" s="39"/>
      <c r="V936" s="39"/>
      <c r="W936" s="39"/>
      <c r="X936" s="39"/>
      <c r="Y936" s="39"/>
      <c r="Z936" s="39"/>
      <c r="AA936" s="39"/>
      <c r="AB936" s="39"/>
    </row>
    <row r="937">
      <c r="C937" s="39"/>
      <c r="J937" s="39"/>
      <c r="K937" s="39"/>
      <c r="O937" s="39"/>
      <c r="Q937" s="39"/>
      <c r="R937" s="39"/>
      <c r="S937" s="39"/>
      <c r="U937" s="39"/>
      <c r="V937" s="39"/>
      <c r="W937" s="39"/>
      <c r="X937" s="39"/>
      <c r="Y937" s="39"/>
      <c r="Z937" s="39"/>
      <c r="AA937" s="39"/>
      <c r="AB937" s="39"/>
    </row>
    <row r="938">
      <c r="C938" s="39"/>
      <c r="J938" s="39"/>
      <c r="K938" s="39"/>
      <c r="O938" s="39"/>
      <c r="Q938" s="39"/>
      <c r="R938" s="39"/>
      <c r="S938" s="39"/>
      <c r="U938" s="39"/>
      <c r="V938" s="39"/>
      <c r="W938" s="39"/>
      <c r="X938" s="39"/>
      <c r="Y938" s="39"/>
      <c r="Z938" s="39"/>
      <c r="AA938" s="39"/>
      <c r="AB938" s="39"/>
    </row>
    <row r="939">
      <c r="C939" s="39"/>
      <c r="J939" s="39"/>
      <c r="K939" s="39"/>
      <c r="O939" s="39"/>
      <c r="Q939" s="39"/>
      <c r="R939" s="39"/>
      <c r="S939" s="39"/>
      <c r="U939" s="39"/>
      <c r="V939" s="39"/>
      <c r="W939" s="39"/>
      <c r="X939" s="39"/>
      <c r="Y939" s="39"/>
      <c r="Z939" s="39"/>
      <c r="AA939" s="39"/>
      <c r="AB939" s="39"/>
    </row>
    <row r="940">
      <c r="C940" s="39"/>
      <c r="J940" s="39"/>
      <c r="K940" s="39"/>
      <c r="O940" s="39"/>
      <c r="Q940" s="39"/>
      <c r="R940" s="39"/>
      <c r="S940" s="39"/>
      <c r="U940" s="39"/>
      <c r="V940" s="39"/>
      <c r="W940" s="39"/>
      <c r="X940" s="39"/>
      <c r="Y940" s="39"/>
      <c r="Z940" s="39"/>
      <c r="AA940" s="39"/>
      <c r="AB940" s="39"/>
    </row>
    <row r="941">
      <c r="C941" s="39"/>
      <c r="J941" s="39"/>
      <c r="K941" s="39"/>
      <c r="O941" s="39"/>
      <c r="Q941" s="39"/>
      <c r="R941" s="39"/>
      <c r="S941" s="39"/>
      <c r="U941" s="39"/>
      <c r="V941" s="39"/>
      <c r="W941" s="39"/>
      <c r="X941" s="39"/>
      <c r="Y941" s="39"/>
      <c r="Z941" s="39"/>
      <c r="AA941" s="39"/>
      <c r="AB941" s="39"/>
    </row>
    <row r="942">
      <c r="C942" s="39"/>
      <c r="J942" s="39"/>
      <c r="K942" s="39"/>
      <c r="O942" s="39"/>
      <c r="Q942" s="39"/>
      <c r="R942" s="39"/>
      <c r="S942" s="39"/>
      <c r="U942" s="39"/>
      <c r="V942" s="39"/>
      <c r="W942" s="39"/>
      <c r="X942" s="39"/>
      <c r="Y942" s="39"/>
      <c r="Z942" s="39"/>
      <c r="AA942" s="39"/>
      <c r="AB942" s="39"/>
    </row>
    <row r="943">
      <c r="C943" s="39"/>
      <c r="J943" s="39"/>
      <c r="K943" s="39"/>
      <c r="O943" s="39"/>
      <c r="Q943" s="39"/>
      <c r="R943" s="39"/>
      <c r="S943" s="39"/>
      <c r="U943" s="39"/>
      <c r="V943" s="39"/>
      <c r="W943" s="39"/>
      <c r="X943" s="39"/>
      <c r="Y943" s="39"/>
      <c r="Z943" s="39"/>
      <c r="AA943" s="39"/>
      <c r="AB943" s="39"/>
    </row>
    <row r="944">
      <c r="C944" s="39"/>
      <c r="J944" s="39"/>
      <c r="K944" s="39"/>
      <c r="O944" s="39"/>
      <c r="Q944" s="39"/>
      <c r="R944" s="39"/>
      <c r="S944" s="39"/>
      <c r="U944" s="39"/>
      <c r="V944" s="39"/>
      <c r="W944" s="39"/>
      <c r="X944" s="39"/>
      <c r="Y944" s="39"/>
      <c r="Z944" s="39"/>
      <c r="AA944" s="39"/>
      <c r="AB944" s="39"/>
    </row>
    <row r="945">
      <c r="C945" s="39"/>
      <c r="J945" s="39"/>
      <c r="K945" s="39"/>
      <c r="O945" s="39"/>
      <c r="Q945" s="39"/>
      <c r="R945" s="39"/>
      <c r="S945" s="39"/>
      <c r="U945" s="39"/>
      <c r="V945" s="39"/>
      <c r="W945" s="39"/>
      <c r="X945" s="39"/>
      <c r="Y945" s="39"/>
      <c r="Z945" s="39"/>
      <c r="AA945" s="39"/>
      <c r="AB945" s="39"/>
    </row>
    <row r="946">
      <c r="C946" s="39"/>
      <c r="J946" s="39"/>
      <c r="K946" s="39"/>
      <c r="O946" s="39"/>
      <c r="Q946" s="39"/>
      <c r="R946" s="39"/>
      <c r="S946" s="39"/>
      <c r="U946" s="39"/>
      <c r="V946" s="39"/>
      <c r="W946" s="39"/>
      <c r="X946" s="39"/>
      <c r="Y946" s="39"/>
      <c r="Z946" s="39"/>
      <c r="AA946" s="39"/>
      <c r="AB946" s="39"/>
    </row>
    <row r="947">
      <c r="C947" s="39"/>
      <c r="J947" s="39"/>
      <c r="K947" s="39"/>
      <c r="O947" s="39"/>
      <c r="Q947" s="39"/>
      <c r="R947" s="39"/>
      <c r="S947" s="39"/>
      <c r="U947" s="39"/>
      <c r="V947" s="39"/>
      <c r="W947" s="39"/>
      <c r="X947" s="39"/>
      <c r="Y947" s="39"/>
      <c r="Z947" s="39"/>
      <c r="AA947" s="39"/>
      <c r="AB947" s="39"/>
    </row>
    <row r="948">
      <c r="C948" s="39"/>
      <c r="J948" s="39"/>
      <c r="K948" s="39"/>
      <c r="O948" s="39"/>
      <c r="Q948" s="39"/>
      <c r="R948" s="39"/>
      <c r="S948" s="39"/>
      <c r="U948" s="39"/>
      <c r="V948" s="39"/>
      <c r="W948" s="39"/>
      <c r="X948" s="39"/>
      <c r="Y948" s="39"/>
      <c r="Z948" s="39"/>
      <c r="AA948" s="39"/>
      <c r="AB948" s="39"/>
    </row>
    <row r="949">
      <c r="C949" s="39"/>
      <c r="J949" s="39"/>
      <c r="K949" s="39"/>
      <c r="O949" s="39"/>
      <c r="Q949" s="39"/>
      <c r="R949" s="39"/>
      <c r="S949" s="39"/>
      <c r="U949" s="39"/>
      <c r="V949" s="39"/>
      <c r="W949" s="39"/>
      <c r="X949" s="39"/>
      <c r="Y949" s="39"/>
      <c r="Z949" s="39"/>
      <c r="AA949" s="39"/>
      <c r="AB949" s="39"/>
    </row>
    <row r="950">
      <c r="C950" s="39"/>
      <c r="J950" s="39"/>
      <c r="K950" s="39"/>
      <c r="O950" s="39"/>
      <c r="Q950" s="39"/>
      <c r="R950" s="39"/>
      <c r="S950" s="39"/>
      <c r="U950" s="39"/>
      <c r="V950" s="39"/>
      <c r="W950" s="39"/>
      <c r="X950" s="39"/>
      <c r="Y950" s="39"/>
      <c r="Z950" s="39"/>
      <c r="AA950" s="39"/>
      <c r="AB950" s="39"/>
    </row>
    <row r="951">
      <c r="C951" s="39"/>
      <c r="J951" s="39"/>
      <c r="K951" s="39"/>
      <c r="O951" s="39"/>
      <c r="Q951" s="39"/>
      <c r="R951" s="39"/>
      <c r="S951" s="39"/>
      <c r="U951" s="39"/>
      <c r="V951" s="39"/>
      <c r="W951" s="39"/>
      <c r="X951" s="39"/>
      <c r="Y951" s="39"/>
      <c r="Z951" s="39"/>
      <c r="AA951" s="39"/>
      <c r="AB951" s="39"/>
    </row>
    <row r="952">
      <c r="C952" s="39"/>
      <c r="J952" s="39"/>
      <c r="K952" s="39"/>
      <c r="O952" s="39"/>
      <c r="Q952" s="39"/>
      <c r="R952" s="39"/>
      <c r="S952" s="39"/>
      <c r="U952" s="39"/>
      <c r="V952" s="39"/>
      <c r="W952" s="39"/>
      <c r="X952" s="39"/>
      <c r="Y952" s="39"/>
      <c r="Z952" s="39"/>
      <c r="AA952" s="39"/>
      <c r="AB952" s="39"/>
    </row>
    <row r="953">
      <c r="C953" s="39"/>
      <c r="J953" s="39"/>
      <c r="K953" s="39"/>
      <c r="O953" s="39"/>
      <c r="Q953" s="39"/>
      <c r="R953" s="39"/>
      <c r="S953" s="39"/>
      <c r="U953" s="39"/>
      <c r="V953" s="39"/>
      <c r="W953" s="39"/>
      <c r="X953" s="39"/>
      <c r="Y953" s="39"/>
      <c r="Z953" s="39"/>
      <c r="AA953" s="39"/>
      <c r="AB953" s="39"/>
    </row>
    <row r="954">
      <c r="C954" s="39"/>
      <c r="J954" s="39"/>
      <c r="K954" s="39"/>
      <c r="O954" s="39"/>
      <c r="Q954" s="39"/>
      <c r="R954" s="39"/>
      <c r="S954" s="39"/>
      <c r="U954" s="39"/>
      <c r="V954" s="39"/>
      <c r="W954" s="39"/>
      <c r="X954" s="39"/>
      <c r="Y954" s="39"/>
      <c r="Z954" s="39"/>
      <c r="AA954" s="39"/>
      <c r="AB954" s="39"/>
    </row>
    <row r="955">
      <c r="C955" s="39"/>
      <c r="J955" s="39"/>
      <c r="K955" s="39"/>
      <c r="O955" s="39"/>
      <c r="Q955" s="39"/>
      <c r="R955" s="39"/>
      <c r="S955" s="39"/>
      <c r="U955" s="39"/>
      <c r="V955" s="39"/>
      <c r="W955" s="39"/>
      <c r="X955" s="39"/>
      <c r="Y955" s="39"/>
      <c r="Z955" s="39"/>
      <c r="AA955" s="39"/>
      <c r="AB955" s="39"/>
    </row>
    <row r="956">
      <c r="C956" s="39"/>
      <c r="J956" s="39"/>
      <c r="K956" s="39"/>
      <c r="O956" s="39"/>
      <c r="Q956" s="39"/>
      <c r="R956" s="39"/>
      <c r="S956" s="39"/>
      <c r="U956" s="39"/>
      <c r="V956" s="39"/>
      <c r="W956" s="39"/>
      <c r="X956" s="39"/>
      <c r="Y956" s="39"/>
      <c r="Z956" s="39"/>
      <c r="AA956" s="39"/>
      <c r="AB956" s="39"/>
    </row>
    <row r="957">
      <c r="C957" s="39"/>
      <c r="J957" s="39"/>
      <c r="K957" s="39"/>
      <c r="O957" s="39"/>
      <c r="Q957" s="39"/>
      <c r="R957" s="39"/>
      <c r="S957" s="39"/>
      <c r="U957" s="39"/>
      <c r="V957" s="39"/>
      <c r="W957" s="39"/>
      <c r="X957" s="39"/>
      <c r="Y957" s="39"/>
      <c r="Z957" s="39"/>
      <c r="AA957" s="39"/>
      <c r="AB957" s="39"/>
    </row>
    <row r="958">
      <c r="C958" s="39"/>
      <c r="J958" s="39"/>
      <c r="K958" s="39"/>
      <c r="O958" s="39"/>
      <c r="Q958" s="39"/>
      <c r="R958" s="39"/>
      <c r="S958" s="39"/>
      <c r="U958" s="39"/>
      <c r="V958" s="39"/>
      <c r="W958" s="39"/>
      <c r="X958" s="39"/>
      <c r="Y958" s="39"/>
      <c r="Z958" s="39"/>
      <c r="AA958" s="39"/>
      <c r="AB958" s="39"/>
    </row>
    <row r="959">
      <c r="C959" s="39"/>
      <c r="J959" s="39"/>
      <c r="K959" s="39"/>
      <c r="O959" s="39"/>
      <c r="Q959" s="39"/>
      <c r="R959" s="39"/>
      <c r="S959" s="39"/>
      <c r="U959" s="39"/>
      <c r="V959" s="39"/>
      <c r="W959" s="39"/>
      <c r="X959" s="39"/>
      <c r="Y959" s="39"/>
      <c r="Z959" s="39"/>
      <c r="AA959" s="39"/>
      <c r="AB959" s="39"/>
    </row>
    <row r="960">
      <c r="C960" s="39"/>
      <c r="J960" s="39"/>
      <c r="K960" s="39"/>
      <c r="O960" s="39"/>
      <c r="Q960" s="39"/>
      <c r="R960" s="39"/>
      <c r="S960" s="39"/>
      <c r="U960" s="39"/>
      <c r="V960" s="39"/>
      <c r="W960" s="39"/>
      <c r="X960" s="39"/>
      <c r="Y960" s="39"/>
      <c r="Z960" s="39"/>
      <c r="AA960" s="39"/>
      <c r="AB960" s="39"/>
    </row>
    <row r="961">
      <c r="C961" s="39"/>
      <c r="J961" s="39"/>
      <c r="K961" s="39"/>
      <c r="O961" s="39"/>
      <c r="Q961" s="39"/>
      <c r="R961" s="39"/>
      <c r="S961" s="39"/>
      <c r="U961" s="39"/>
      <c r="V961" s="39"/>
      <c r="W961" s="39"/>
      <c r="X961" s="39"/>
      <c r="Y961" s="39"/>
      <c r="Z961" s="39"/>
      <c r="AA961" s="39"/>
      <c r="AB961" s="39"/>
    </row>
    <row r="962">
      <c r="C962" s="39"/>
      <c r="J962" s="39"/>
      <c r="K962" s="39"/>
      <c r="O962" s="39"/>
      <c r="Q962" s="39"/>
      <c r="R962" s="39"/>
      <c r="S962" s="39"/>
      <c r="U962" s="39"/>
      <c r="V962" s="39"/>
      <c r="W962" s="39"/>
      <c r="X962" s="39"/>
      <c r="Y962" s="39"/>
      <c r="Z962" s="39"/>
      <c r="AA962" s="39"/>
      <c r="AB962" s="39"/>
    </row>
    <row r="963">
      <c r="C963" s="39"/>
      <c r="J963" s="39"/>
      <c r="K963" s="39"/>
      <c r="O963" s="39"/>
      <c r="Q963" s="39"/>
      <c r="R963" s="39"/>
      <c r="S963" s="39"/>
      <c r="U963" s="39"/>
      <c r="V963" s="39"/>
      <c r="W963" s="39"/>
      <c r="X963" s="39"/>
      <c r="Y963" s="39"/>
      <c r="Z963" s="39"/>
      <c r="AA963" s="39"/>
      <c r="AB963" s="39"/>
    </row>
    <row r="964">
      <c r="C964" s="39"/>
      <c r="J964" s="39"/>
      <c r="K964" s="39"/>
      <c r="O964" s="39"/>
      <c r="Q964" s="39"/>
      <c r="R964" s="39"/>
      <c r="S964" s="39"/>
      <c r="U964" s="39"/>
      <c r="V964" s="39"/>
      <c r="W964" s="39"/>
      <c r="X964" s="39"/>
      <c r="Y964" s="39"/>
      <c r="Z964" s="39"/>
      <c r="AA964" s="39"/>
      <c r="AB964" s="39"/>
    </row>
    <row r="965">
      <c r="C965" s="39"/>
      <c r="J965" s="39"/>
      <c r="K965" s="39"/>
      <c r="O965" s="39"/>
      <c r="Q965" s="39"/>
      <c r="R965" s="39"/>
      <c r="S965" s="39"/>
      <c r="U965" s="39"/>
      <c r="V965" s="39"/>
      <c r="W965" s="39"/>
      <c r="X965" s="39"/>
      <c r="Y965" s="39"/>
      <c r="Z965" s="39"/>
      <c r="AA965" s="39"/>
      <c r="AB965" s="39"/>
    </row>
    <row r="966">
      <c r="C966" s="39"/>
      <c r="J966" s="39"/>
      <c r="K966" s="39"/>
      <c r="O966" s="39"/>
      <c r="Q966" s="39"/>
      <c r="R966" s="39"/>
      <c r="S966" s="39"/>
      <c r="U966" s="39"/>
      <c r="V966" s="39"/>
      <c r="W966" s="39"/>
      <c r="X966" s="39"/>
      <c r="Y966" s="39"/>
      <c r="Z966" s="39"/>
      <c r="AA966" s="39"/>
      <c r="AB966" s="39"/>
    </row>
    <row r="967">
      <c r="C967" s="39"/>
      <c r="J967" s="39"/>
      <c r="K967" s="39"/>
      <c r="O967" s="39"/>
      <c r="Q967" s="39"/>
      <c r="R967" s="39"/>
      <c r="S967" s="39"/>
      <c r="U967" s="39"/>
      <c r="V967" s="39"/>
      <c r="W967" s="39"/>
      <c r="X967" s="39"/>
      <c r="Y967" s="39"/>
      <c r="Z967" s="39"/>
      <c r="AA967" s="39"/>
      <c r="AB967" s="39"/>
    </row>
    <row r="968">
      <c r="C968" s="39"/>
      <c r="J968" s="39"/>
      <c r="K968" s="39"/>
      <c r="O968" s="39"/>
      <c r="Q968" s="39"/>
      <c r="R968" s="39"/>
      <c r="S968" s="39"/>
      <c r="U968" s="39"/>
      <c r="V968" s="39"/>
      <c r="W968" s="39"/>
      <c r="X968" s="39"/>
      <c r="Y968" s="39"/>
      <c r="Z968" s="39"/>
      <c r="AA968" s="39"/>
      <c r="AB968" s="39"/>
    </row>
    <row r="969">
      <c r="C969" s="39"/>
      <c r="J969" s="39"/>
      <c r="K969" s="39"/>
      <c r="O969" s="39"/>
      <c r="Q969" s="39"/>
      <c r="R969" s="39"/>
      <c r="S969" s="39"/>
      <c r="U969" s="39"/>
      <c r="V969" s="39"/>
      <c r="W969" s="39"/>
      <c r="X969" s="39"/>
      <c r="Y969" s="39"/>
      <c r="Z969" s="39"/>
      <c r="AA969" s="39"/>
      <c r="AB969" s="39"/>
    </row>
    <row r="970">
      <c r="C970" s="39"/>
      <c r="J970" s="39"/>
      <c r="K970" s="39"/>
      <c r="O970" s="39"/>
      <c r="Q970" s="39"/>
      <c r="R970" s="39"/>
      <c r="S970" s="39"/>
      <c r="U970" s="39"/>
      <c r="V970" s="39"/>
      <c r="W970" s="39"/>
      <c r="X970" s="39"/>
      <c r="Y970" s="39"/>
      <c r="Z970" s="39"/>
      <c r="AA970" s="39"/>
      <c r="AB970" s="39"/>
    </row>
    <row r="971">
      <c r="C971" s="39"/>
      <c r="J971" s="39"/>
      <c r="K971" s="39"/>
      <c r="O971" s="39"/>
      <c r="Q971" s="39"/>
      <c r="R971" s="39"/>
      <c r="S971" s="39"/>
      <c r="U971" s="39"/>
      <c r="V971" s="39"/>
      <c r="W971" s="39"/>
      <c r="X971" s="39"/>
      <c r="Y971" s="39"/>
      <c r="Z971" s="39"/>
      <c r="AA971" s="39"/>
      <c r="AB971" s="39"/>
    </row>
    <row r="972">
      <c r="C972" s="39"/>
      <c r="J972" s="39"/>
      <c r="K972" s="39"/>
      <c r="O972" s="39"/>
      <c r="Q972" s="39"/>
      <c r="R972" s="39"/>
      <c r="S972" s="39"/>
      <c r="U972" s="39"/>
      <c r="V972" s="39"/>
      <c r="W972" s="39"/>
      <c r="X972" s="39"/>
      <c r="Y972" s="39"/>
      <c r="Z972" s="39"/>
      <c r="AA972" s="39"/>
      <c r="AB972" s="39"/>
    </row>
    <row r="973">
      <c r="C973" s="39"/>
      <c r="J973" s="39"/>
      <c r="K973" s="39"/>
      <c r="O973" s="39"/>
      <c r="Q973" s="39"/>
      <c r="R973" s="39"/>
      <c r="S973" s="39"/>
      <c r="U973" s="39"/>
      <c r="V973" s="39"/>
      <c r="W973" s="39"/>
      <c r="X973" s="39"/>
      <c r="Y973" s="39"/>
      <c r="Z973" s="39"/>
      <c r="AA973" s="39"/>
      <c r="AB973" s="39"/>
    </row>
    <row r="974">
      <c r="C974" s="39"/>
      <c r="J974" s="39"/>
      <c r="K974" s="39"/>
      <c r="O974" s="39"/>
      <c r="Q974" s="39"/>
      <c r="R974" s="39"/>
      <c r="S974" s="39"/>
      <c r="U974" s="39"/>
      <c r="V974" s="39"/>
      <c r="W974" s="39"/>
      <c r="X974" s="39"/>
      <c r="Y974" s="39"/>
      <c r="Z974" s="39"/>
      <c r="AA974" s="39"/>
      <c r="AB974" s="39"/>
    </row>
    <row r="975">
      <c r="C975" s="39"/>
      <c r="J975" s="39"/>
      <c r="K975" s="39"/>
      <c r="O975" s="39"/>
      <c r="Q975" s="39"/>
      <c r="R975" s="39"/>
      <c r="S975" s="39"/>
      <c r="U975" s="39"/>
      <c r="V975" s="39"/>
      <c r="W975" s="39"/>
      <c r="X975" s="39"/>
      <c r="Y975" s="39"/>
      <c r="Z975" s="39"/>
      <c r="AA975" s="39"/>
      <c r="AB975" s="39"/>
    </row>
    <row r="976">
      <c r="C976" s="39"/>
      <c r="J976" s="39"/>
      <c r="K976" s="39"/>
      <c r="O976" s="39"/>
      <c r="Q976" s="39"/>
      <c r="R976" s="39"/>
      <c r="S976" s="39"/>
      <c r="U976" s="39"/>
      <c r="V976" s="39"/>
      <c r="W976" s="39"/>
      <c r="X976" s="39"/>
      <c r="Y976" s="39"/>
      <c r="Z976" s="39"/>
      <c r="AA976" s="39"/>
      <c r="AB976" s="39"/>
    </row>
    <row r="977">
      <c r="C977" s="39"/>
      <c r="J977" s="39"/>
      <c r="K977" s="39"/>
      <c r="O977" s="39"/>
      <c r="Q977" s="39"/>
      <c r="R977" s="39"/>
      <c r="S977" s="39"/>
      <c r="U977" s="39"/>
      <c r="V977" s="39"/>
      <c r="W977" s="39"/>
      <c r="X977" s="39"/>
      <c r="Y977" s="39"/>
      <c r="Z977" s="39"/>
      <c r="AA977" s="39"/>
      <c r="AB977" s="39"/>
    </row>
    <row r="978">
      <c r="C978" s="39"/>
      <c r="J978" s="39"/>
      <c r="K978" s="39"/>
      <c r="O978" s="39"/>
      <c r="Q978" s="39"/>
      <c r="R978" s="39"/>
      <c r="S978" s="39"/>
      <c r="U978" s="39"/>
      <c r="V978" s="39"/>
      <c r="W978" s="39"/>
      <c r="X978" s="39"/>
      <c r="Y978" s="39"/>
      <c r="Z978" s="39"/>
      <c r="AA978" s="39"/>
      <c r="AB978" s="39"/>
    </row>
    <row r="979">
      <c r="C979" s="39"/>
      <c r="J979" s="39"/>
      <c r="K979" s="39"/>
      <c r="O979" s="39"/>
      <c r="Q979" s="39"/>
      <c r="R979" s="39"/>
      <c r="S979" s="39"/>
      <c r="U979" s="39"/>
      <c r="V979" s="39"/>
      <c r="W979" s="39"/>
      <c r="X979" s="39"/>
      <c r="Y979" s="39"/>
      <c r="Z979" s="39"/>
      <c r="AA979" s="39"/>
      <c r="AB979" s="39"/>
    </row>
    <row r="980">
      <c r="C980" s="39"/>
      <c r="J980" s="39"/>
      <c r="K980" s="39"/>
      <c r="O980" s="39"/>
      <c r="Q980" s="39"/>
      <c r="R980" s="39"/>
      <c r="S980" s="39"/>
      <c r="U980" s="39"/>
      <c r="V980" s="39"/>
      <c r="W980" s="39"/>
      <c r="X980" s="39"/>
      <c r="Y980" s="39"/>
      <c r="Z980" s="39"/>
      <c r="AA980" s="39"/>
      <c r="AB980" s="39"/>
    </row>
    <row r="981">
      <c r="C981" s="39"/>
      <c r="J981" s="39"/>
      <c r="K981" s="39"/>
      <c r="O981" s="39"/>
      <c r="Q981" s="39"/>
      <c r="R981" s="39"/>
      <c r="S981" s="39"/>
      <c r="U981" s="39"/>
      <c r="V981" s="39"/>
      <c r="W981" s="39"/>
      <c r="X981" s="39"/>
      <c r="Y981" s="39"/>
      <c r="Z981" s="39"/>
      <c r="AA981" s="39"/>
      <c r="AB981" s="39"/>
    </row>
    <row r="982">
      <c r="C982" s="39"/>
      <c r="J982" s="39"/>
      <c r="K982" s="39"/>
      <c r="O982" s="39"/>
      <c r="Q982" s="39"/>
      <c r="R982" s="39"/>
      <c r="S982" s="39"/>
      <c r="U982" s="39"/>
      <c r="V982" s="39"/>
      <c r="W982" s="39"/>
      <c r="X982" s="39"/>
      <c r="Y982" s="39"/>
      <c r="Z982" s="39"/>
      <c r="AA982" s="39"/>
      <c r="AB982" s="39"/>
    </row>
    <row r="983">
      <c r="C983" s="39"/>
      <c r="J983" s="39"/>
      <c r="K983" s="39"/>
      <c r="O983" s="39"/>
      <c r="Q983" s="39"/>
      <c r="R983" s="39"/>
      <c r="S983" s="39"/>
      <c r="U983" s="39"/>
      <c r="V983" s="39"/>
      <c r="W983" s="39"/>
      <c r="X983" s="39"/>
      <c r="Y983" s="39"/>
      <c r="Z983" s="39"/>
      <c r="AA983" s="39"/>
      <c r="AB983" s="39"/>
    </row>
    <row r="984">
      <c r="C984" s="39"/>
      <c r="J984" s="39"/>
      <c r="K984" s="39"/>
      <c r="O984" s="39"/>
      <c r="Q984" s="39"/>
      <c r="R984" s="39"/>
      <c r="S984" s="39"/>
      <c r="U984" s="39"/>
      <c r="V984" s="39"/>
      <c r="W984" s="39"/>
      <c r="X984" s="39"/>
      <c r="Y984" s="39"/>
      <c r="Z984" s="39"/>
      <c r="AA984" s="39"/>
      <c r="AB984" s="39"/>
    </row>
    <row r="985">
      <c r="C985" s="39"/>
      <c r="J985" s="39"/>
      <c r="K985" s="39"/>
      <c r="O985" s="39"/>
      <c r="Q985" s="39"/>
      <c r="R985" s="39"/>
      <c r="S985" s="39"/>
      <c r="U985" s="39"/>
      <c r="V985" s="39"/>
      <c r="W985" s="39"/>
      <c r="X985" s="39"/>
      <c r="Y985" s="39"/>
      <c r="Z985" s="39"/>
      <c r="AA985" s="39"/>
      <c r="AB985" s="39"/>
    </row>
    <row r="986">
      <c r="C986" s="39"/>
      <c r="J986" s="39"/>
      <c r="K986" s="39"/>
      <c r="O986" s="39"/>
      <c r="Q986" s="39"/>
      <c r="R986" s="39"/>
      <c r="S986" s="39"/>
      <c r="U986" s="39"/>
      <c r="V986" s="39"/>
      <c r="W986" s="39"/>
      <c r="X986" s="39"/>
      <c r="Y986" s="39"/>
      <c r="Z986" s="39"/>
      <c r="AA986" s="39"/>
      <c r="AB986" s="39"/>
    </row>
    <row r="987">
      <c r="C987" s="39"/>
      <c r="J987" s="39"/>
      <c r="K987" s="39"/>
      <c r="O987" s="39"/>
      <c r="Q987" s="39"/>
      <c r="R987" s="39"/>
      <c r="S987" s="39"/>
      <c r="U987" s="39"/>
      <c r="V987" s="39"/>
      <c r="W987" s="39"/>
      <c r="X987" s="39"/>
      <c r="Y987" s="39"/>
      <c r="Z987" s="39"/>
      <c r="AA987" s="39"/>
      <c r="AB987" s="39"/>
    </row>
    <row r="988">
      <c r="C988" s="39"/>
      <c r="J988" s="39"/>
      <c r="K988" s="39"/>
      <c r="O988" s="39"/>
      <c r="Q988" s="39"/>
      <c r="R988" s="39"/>
      <c r="S988" s="39"/>
      <c r="U988" s="39"/>
      <c r="V988" s="39"/>
      <c r="W988" s="39"/>
      <c r="X988" s="39"/>
      <c r="Y988" s="39"/>
      <c r="Z988" s="39"/>
      <c r="AA988" s="39"/>
      <c r="AB988" s="39"/>
    </row>
    <row r="989">
      <c r="C989" s="39"/>
      <c r="J989" s="39"/>
      <c r="K989" s="39"/>
      <c r="O989" s="39"/>
      <c r="Q989" s="39"/>
      <c r="R989" s="39"/>
      <c r="S989" s="39"/>
      <c r="U989" s="39"/>
      <c r="V989" s="39"/>
      <c r="W989" s="39"/>
      <c r="X989" s="39"/>
      <c r="Y989" s="39"/>
      <c r="Z989" s="39"/>
      <c r="AA989" s="39"/>
      <c r="AB989" s="39"/>
    </row>
    <row r="990">
      <c r="C990" s="39"/>
      <c r="J990" s="39"/>
      <c r="K990" s="39"/>
      <c r="O990" s="39"/>
      <c r="Q990" s="39"/>
      <c r="R990" s="39"/>
      <c r="S990" s="39"/>
      <c r="U990" s="39"/>
      <c r="V990" s="39"/>
      <c r="W990" s="39"/>
      <c r="X990" s="39"/>
      <c r="Y990" s="39"/>
      <c r="Z990" s="39"/>
      <c r="AA990" s="39"/>
      <c r="AB990" s="39"/>
    </row>
    <row r="991">
      <c r="C991" s="39"/>
      <c r="J991" s="39"/>
      <c r="K991" s="39"/>
      <c r="O991" s="39"/>
      <c r="Q991" s="39"/>
      <c r="R991" s="39"/>
      <c r="S991" s="39"/>
      <c r="U991" s="39"/>
      <c r="V991" s="39"/>
      <c r="W991" s="39"/>
      <c r="X991" s="39"/>
      <c r="Y991" s="39"/>
      <c r="Z991" s="39"/>
      <c r="AA991" s="39"/>
      <c r="AB991" s="39"/>
    </row>
    <row r="992">
      <c r="C992" s="39"/>
      <c r="J992" s="39"/>
      <c r="K992" s="39"/>
      <c r="O992" s="39"/>
      <c r="Q992" s="39"/>
      <c r="R992" s="39"/>
      <c r="S992" s="39"/>
      <c r="U992" s="39"/>
      <c r="V992" s="39"/>
      <c r="W992" s="39"/>
      <c r="X992" s="39"/>
      <c r="Y992" s="39"/>
      <c r="Z992" s="39"/>
      <c r="AA992" s="39"/>
      <c r="AB992" s="39"/>
    </row>
    <row r="993">
      <c r="C993" s="39"/>
      <c r="J993" s="39"/>
      <c r="K993" s="39"/>
      <c r="O993" s="39"/>
      <c r="Q993" s="39"/>
      <c r="R993" s="39"/>
      <c r="S993" s="39"/>
      <c r="U993" s="39"/>
      <c r="V993" s="39"/>
      <c r="W993" s="39"/>
      <c r="X993" s="39"/>
      <c r="Y993" s="39"/>
      <c r="Z993" s="39"/>
      <c r="AA993" s="39"/>
      <c r="AB993" s="39"/>
    </row>
    <row r="994">
      <c r="C994" s="39"/>
      <c r="J994" s="39"/>
      <c r="K994" s="39"/>
      <c r="O994" s="39"/>
      <c r="Q994" s="39"/>
      <c r="R994" s="39"/>
      <c r="S994" s="39"/>
      <c r="U994" s="39"/>
      <c r="V994" s="39"/>
      <c r="W994" s="39"/>
      <c r="X994" s="39"/>
      <c r="Y994" s="39"/>
      <c r="Z994" s="39"/>
      <c r="AA994" s="39"/>
      <c r="AB994" s="39"/>
    </row>
    <row r="995">
      <c r="C995" s="39"/>
      <c r="J995" s="39"/>
      <c r="K995" s="39"/>
      <c r="O995" s="39"/>
      <c r="Q995" s="39"/>
      <c r="R995" s="39"/>
      <c r="S995" s="39"/>
      <c r="U995" s="39"/>
      <c r="V995" s="39"/>
      <c r="W995" s="39"/>
      <c r="X995" s="39"/>
      <c r="Y995" s="39"/>
      <c r="Z995" s="39"/>
      <c r="AA995" s="39"/>
      <c r="AB995" s="39"/>
    </row>
    <row r="996">
      <c r="C996" s="39"/>
      <c r="J996" s="39"/>
      <c r="K996" s="39"/>
      <c r="O996" s="39"/>
      <c r="Q996" s="39"/>
      <c r="R996" s="39"/>
      <c r="S996" s="39"/>
      <c r="U996" s="39"/>
      <c r="V996" s="39"/>
      <c r="W996" s="39"/>
      <c r="X996" s="39"/>
      <c r="Y996" s="39"/>
      <c r="Z996" s="39"/>
      <c r="AA996" s="39"/>
      <c r="AB996" s="39"/>
    </row>
    <row r="997">
      <c r="C997" s="39"/>
      <c r="J997" s="39"/>
      <c r="K997" s="39"/>
      <c r="O997" s="39"/>
      <c r="Q997" s="39"/>
      <c r="R997" s="39"/>
      <c r="S997" s="39"/>
      <c r="U997" s="39"/>
      <c r="V997" s="39"/>
      <c r="W997" s="39"/>
      <c r="X997" s="39"/>
      <c r="Y997" s="39"/>
      <c r="Z997" s="39"/>
      <c r="AA997" s="39"/>
      <c r="AB997" s="39"/>
    </row>
    <row r="998">
      <c r="C998" s="39"/>
      <c r="J998" s="39"/>
      <c r="K998" s="39"/>
      <c r="O998" s="39"/>
      <c r="Q998" s="39"/>
      <c r="R998" s="39"/>
      <c r="S998" s="39"/>
      <c r="U998" s="39"/>
      <c r="V998" s="39"/>
      <c r="W998" s="39"/>
      <c r="X998" s="39"/>
      <c r="Y998" s="39"/>
      <c r="Z998" s="39"/>
      <c r="AA998" s="39"/>
      <c r="AB998" s="39"/>
    </row>
  </sheetData>
  <dataValidations>
    <dataValidation type="list" allowBlank="1" showErrorMessage="1" sqref="I21:L21">
      <formula1>"Yes,No,Relevant/Validate"</formula1>
    </dataValidation>
    <dataValidation type="list" allowBlank="1" showErrorMessage="1" sqref="H21">
      <formula1>"Clinical trial,Research"</formula1>
    </dataValidation>
  </dataValidations>
  <hyperlinks>
    <hyperlink r:id="rId1" ref="E10"/>
    <hyperlink r:id="rId2" ref="E11"/>
    <hyperlink r:id="rId3" ref="E12"/>
    <hyperlink r:id="rId4" ref="E13"/>
    <hyperlink r:id="rId5" ref="E16"/>
    <hyperlink r:id="rId6" ref="E1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6.63"/>
    <col customWidth="1" min="2" max="2" width="17.88"/>
    <col customWidth="1" min="3" max="3" width="37.63"/>
    <col customWidth="1" min="4" max="4" width="25.13"/>
    <col customWidth="1" min="5" max="5" width="35.88"/>
    <col customWidth="1" min="6" max="8" width="26.63"/>
    <col customWidth="1" min="9" max="9" width="36.0"/>
    <col customWidth="1" min="10" max="11" width="26.63"/>
    <col customWidth="1" min="12" max="12" width="28.75"/>
    <col customWidth="1" min="13" max="16" width="26.63"/>
    <col customWidth="1" min="17" max="17" width="47.75"/>
    <col customWidth="1" min="18" max="25" width="26.63"/>
    <col customWidth="1" min="26" max="26" width="33.88"/>
    <col customWidth="1" min="27" max="27" width="31.88"/>
    <col customWidth="1" min="28" max="28" width="32.0"/>
    <col customWidth="1" min="29" max="34" width="26.63"/>
  </cols>
  <sheetData>
    <row r="1" ht="39.75" customHeight="1">
      <c r="A1" s="286" t="s">
        <v>4592</v>
      </c>
      <c r="B1" s="286" t="s">
        <v>1</v>
      </c>
      <c r="C1" s="286" t="s">
        <v>4593</v>
      </c>
      <c r="D1" s="286" t="s">
        <v>4594</v>
      </c>
      <c r="E1" s="286" t="s">
        <v>4595</v>
      </c>
      <c r="F1" s="286" t="s">
        <v>4596</v>
      </c>
      <c r="G1" s="286" t="s">
        <v>4597</v>
      </c>
      <c r="H1" s="286" t="s">
        <v>4598</v>
      </c>
      <c r="I1" s="286" t="s">
        <v>7</v>
      </c>
      <c r="J1" s="286" t="s">
        <v>3274</v>
      </c>
      <c r="K1" s="286" t="s">
        <v>4329</v>
      </c>
      <c r="L1" s="286" t="s">
        <v>4599</v>
      </c>
      <c r="M1" s="286" t="s">
        <v>4600</v>
      </c>
      <c r="N1" s="286" t="s">
        <v>4601</v>
      </c>
      <c r="O1" s="286" t="s">
        <v>4602</v>
      </c>
      <c r="P1" s="286" t="s">
        <v>4603</v>
      </c>
      <c r="Q1" s="286" t="s">
        <v>4604</v>
      </c>
      <c r="R1" s="286" t="s">
        <v>4605</v>
      </c>
      <c r="S1" s="286" t="s">
        <v>4606</v>
      </c>
      <c r="T1" s="286" t="s">
        <v>4607</v>
      </c>
      <c r="U1" s="286" t="s">
        <v>4608</v>
      </c>
      <c r="V1" s="286" t="s">
        <v>4609</v>
      </c>
      <c r="W1" s="286" t="s">
        <v>4610</v>
      </c>
      <c r="X1" s="286" t="s">
        <v>4611</v>
      </c>
      <c r="Y1" s="286" t="s">
        <v>4612</v>
      </c>
      <c r="Z1" s="286" t="s">
        <v>4613</v>
      </c>
      <c r="AA1" s="286" t="s">
        <v>4614</v>
      </c>
      <c r="AB1" s="286" t="s">
        <v>4615</v>
      </c>
      <c r="AC1" s="286" t="s">
        <v>4616</v>
      </c>
      <c r="AD1" s="286" t="s">
        <v>4617</v>
      </c>
      <c r="AE1" s="286" t="s">
        <v>4618</v>
      </c>
      <c r="AF1" s="286" t="s">
        <v>4619</v>
      </c>
      <c r="AG1" s="286" t="s">
        <v>4620</v>
      </c>
      <c r="AH1" s="286" t="s">
        <v>4621</v>
      </c>
    </row>
    <row r="2">
      <c r="A2" s="287" t="s">
        <v>4347</v>
      </c>
      <c r="B2" s="287" t="s">
        <v>4256</v>
      </c>
      <c r="C2" s="288">
        <v>2021.0</v>
      </c>
      <c r="D2" s="287" t="s">
        <v>1678</v>
      </c>
      <c r="E2" s="287" t="s">
        <v>1327</v>
      </c>
      <c r="F2" s="287" t="s">
        <v>1679</v>
      </c>
      <c r="G2" s="287" t="s">
        <v>1680</v>
      </c>
      <c r="H2" s="287" t="s">
        <v>1270</v>
      </c>
      <c r="I2" s="287" t="s">
        <v>67</v>
      </c>
      <c r="J2" s="287" t="s">
        <v>3359</v>
      </c>
      <c r="K2" s="287" t="s">
        <v>4370</v>
      </c>
      <c r="L2" s="287" t="s">
        <v>4622</v>
      </c>
      <c r="M2" s="287" t="s">
        <v>4372</v>
      </c>
      <c r="N2" s="287" t="s">
        <v>4443</v>
      </c>
      <c r="O2" s="288">
        <v>42675.0</v>
      </c>
      <c r="P2" s="288">
        <v>43435.0</v>
      </c>
      <c r="Q2" s="287" t="s">
        <v>4374</v>
      </c>
      <c r="R2" s="287" t="s">
        <v>4375</v>
      </c>
      <c r="S2" s="287" t="s">
        <v>4376</v>
      </c>
      <c r="T2" s="287" t="s">
        <v>4377</v>
      </c>
      <c r="U2" s="287" t="s">
        <v>4623</v>
      </c>
      <c r="V2" s="287" t="s">
        <v>4379</v>
      </c>
      <c r="W2" s="287" t="s">
        <v>4380</v>
      </c>
      <c r="X2" s="289" t="s">
        <v>4624</v>
      </c>
      <c r="Y2" s="287" t="s">
        <v>4382</v>
      </c>
      <c r="Z2" s="287" t="s">
        <v>4361</v>
      </c>
      <c r="AA2" s="287" t="s">
        <v>4383</v>
      </c>
      <c r="AB2" s="287" t="s">
        <v>4384</v>
      </c>
      <c r="AC2" s="287" t="s">
        <v>4385</v>
      </c>
      <c r="AD2" s="287" t="s">
        <v>3378</v>
      </c>
      <c r="AE2" s="287" t="s">
        <v>4625</v>
      </c>
      <c r="AF2" s="287" t="s">
        <v>4626</v>
      </c>
      <c r="AG2" s="287" t="s">
        <v>4361</v>
      </c>
      <c r="AH2" s="288">
        <v>24.0</v>
      </c>
    </row>
    <row r="3">
      <c r="A3" s="290" t="s">
        <v>4369</v>
      </c>
      <c r="B3" s="290" t="s">
        <v>4627</v>
      </c>
      <c r="C3" s="291">
        <v>2024.0</v>
      </c>
      <c r="D3" s="290" t="s">
        <v>80</v>
      </c>
      <c r="E3" s="290" t="s">
        <v>81</v>
      </c>
      <c r="F3" s="292" t="s">
        <v>82</v>
      </c>
      <c r="G3" s="290" t="s">
        <v>4628</v>
      </c>
      <c r="H3" s="290" t="s">
        <v>18</v>
      </c>
      <c r="I3" s="290" t="s">
        <v>19</v>
      </c>
      <c r="J3" s="290" t="s">
        <v>3359</v>
      </c>
      <c r="K3" s="290" t="s">
        <v>4471</v>
      </c>
      <c r="L3" s="290" t="s">
        <v>4629</v>
      </c>
      <c r="M3" s="290" t="s">
        <v>4473</v>
      </c>
      <c r="N3" s="290" t="s">
        <v>4474</v>
      </c>
      <c r="O3" s="291">
        <v>43800.0</v>
      </c>
      <c r="P3" s="290" t="s">
        <v>4475</v>
      </c>
      <c r="Q3" s="290" t="s">
        <v>4476</v>
      </c>
      <c r="R3" s="290" t="s">
        <v>4477</v>
      </c>
      <c r="S3" s="290" t="s">
        <v>4453</v>
      </c>
      <c r="T3" s="290" t="s">
        <v>4478</v>
      </c>
      <c r="U3" s="290" t="s">
        <v>4623</v>
      </c>
      <c r="V3" s="290" t="s">
        <v>4479</v>
      </c>
      <c r="W3" s="290" t="s">
        <v>4398</v>
      </c>
      <c r="X3" s="290" t="s">
        <v>4480</v>
      </c>
      <c r="Y3" s="290" t="s">
        <v>3378</v>
      </c>
      <c r="Z3" s="290" t="s">
        <v>4361</v>
      </c>
      <c r="AA3" s="290" t="s">
        <v>4481</v>
      </c>
      <c r="AB3" s="290" t="s">
        <v>4630</v>
      </c>
      <c r="AC3" s="290" t="s">
        <v>4483</v>
      </c>
      <c r="AD3" s="290" t="s">
        <v>3378</v>
      </c>
      <c r="AE3" s="290" t="s">
        <v>4631</v>
      </c>
      <c r="AF3" s="290" t="s">
        <v>4632</v>
      </c>
      <c r="AG3" s="290" t="s">
        <v>4361</v>
      </c>
      <c r="AH3" s="291">
        <v>6.0</v>
      </c>
    </row>
    <row r="4">
      <c r="A4" s="287" t="s">
        <v>4386</v>
      </c>
      <c r="B4" s="287" t="s">
        <v>4633</v>
      </c>
      <c r="C4" s="288">
        <v>2022.0</v>
      </c>
      <c r="D4" s="287" t="s">
        <v>178</v>
      </c>
      <c r="E4" s="287" t="s">
        <v>59</v>
      </c>
      <c r="F4" s="293" t="s">
        <v>179</v>
      </c>
      <c r="G4" s="287" t="s">
        <v>180</v>
      </c>
      <c r="H4" s="287" t="s">
        <v>18</v>
      </c>
      <c r="I4" s="287" t="s">
        <v>19</v>
      </c>
      <c r="J4" s="287" t="s">
        <v>3359</v>
      </c>
      <c r="K4" s="287" t="s">
        <v>3378</v>
      </c>
      <c r="L4" s="287" t="s">
        <v>3362</v>
      </c>
      <c r="M4" s="287" t="s">
        <v>4444</v>
      </c>
      <c r="N4" s="287" t="s">
        <v>4485</v>
      </c>
      <c r="O4" s="288">
        <v>43221.0</v>
      </c>
      <c r="P4" s="287" t="s">
        <v>4486</v>
      </c>
      <c r="Q4" s="287" t="s">
        <v>4487</v>
      </c>
      <c r="R4" s="287" t="s">
        <v>4488</v>
      </c>
      <c r="S4" s="287" t="s">
        <v>4489</v>
      </c>
      <c r="T4" s="287" t="s">
        <v>4634</v>
      </c>
      <c r="U4" s="287" t="s">
        <v>4491</v>
      </c>
      <c r="V4" s="287" t="s">
        <v>4492</v>
      </c>
      <c r="W4" s="287" t="s">
        <v>4398</v>
      </c>
      <c r="X4" s="287" t="s">
        <v>4493</v>
      </c>
      <c r="Y4" s="287" t="s">
        <v>4494</v>
      </c>
      <c r="Z4" s="287" t="s">
        <v>4361</v>
      </c>
      <c r="AA4" s="287" t="s">
        <v>3378</v>
      </c>
      <c r="AB4" s="287" t="s">
        <v>4495</v>
      </c>
      <c r="AC4" s="287" t="s">
        <v>4496</v>
      </c>
      <c r="AD4" s="287" t="s">
        <v>3378</v>
      </c>
      <c r="AE4" s="287" t="s">
        <v>4625</v>
      </c>
      <c r="AF4" s="287" t="s">
        <v>4626</v>
      </c>
      <c r="AG4" s="287" t="s">
        <v>4361</v>
      </c>
      <c r="AH4" s="288">
        <v>21.0</v>
      </c>
    </row>
    <row r="5">
      <c r="A5" s="290" t="s">
        <v>4405</v>
      </c>
      <c r="B5" s="290" t="s">
        <v>4635</v>
      </c>
      <c r="C5" s="291">
        <v>2024.0</v>
      </c>
      <c r="D5" s="290" t="s">
        <v>3248</v>
      </c>
      <c r="E5" s="290" t="s">
        <v>112</v>
      </c>
      <c r="F5" s="290" t="s">
        <v>3249</v>
      </c>
      <c r="G5" s="290" t="s">
        <v>4563</v>
      </c>
      <c r="H5" s="290" t="s">
        <v>1348</v>
      </c>
      <c r="I5" s="290" t="s">
        <v>19</v>
      </c>
      <c r="J5" s="290" t="s">
        <v>3359</v>
      </c>
      <c r="K5" s="290" t="s">
        <v>3378</v>
      </c>
      <c r="L5" s="290" t="s">
        <v>4636</v>
      </c>
      <c r="M5" s="290" t="s">
        <v>4565</v>
      </c>
      <c r="N5" s="290" t="s">
        <v>3605</v>
      </c>
      <c r="O5" s="290" t="s">
        <v>3362</v>
      </c>
      <c r="P5" s="290" t="s">
        <v>3362</v>
      </c>
      <c r="Q5" s="290" t="s">
        <v>4431</v>
      </c>
      <c r="R5" s="290" t="s">
        <v>4566</v>
      </c>
      <c r="S5" s="290" t="s">
        <v>4567</v>
      </c>
      <c r="T5" s="290" t="s">
        <v>4568</v>
      </c>
      <c r="U5" s="290" t="s">
        <v>4524</v>
      </c>
      <c r="V5" s="290" t="s">
        <v>4569</v>
      </c>
      <c r="W5" s="290" t="s">
        <v>4570</v>
      </c>
      <c r="X5" s="290" t="s">
        <v>3362</v>
      </c>
      <c r="Y5" s="290" t="s">
        <v>4571</v>
      </c>
      <c r="Z5" s="290" t="s">
        <v>4572</v>
      </c>
      <c r="AA5" s="290" t="s">
        <v>4637</v>
      </c>
      <c r="AB5" s="290" t="s">
        <v>4574</v>
      </c>
      <c r="AC5" s="290" t="s">
        <v>4575</v>
      </c>
      <c r="AD5" s="290" t="s">
        <v>3378</v>
      </c>
      <c r="AE5" s="290" t="s">
        <v>4631</v>
      </c>
      <c r="AF5" s="290" t="s">
        <v>4638</v>
      </c>
      <c r="AG5" s="290" t="s">
        <v>4361</v>
      </c>
      <c r="AH5" s="291">
        <v>9.0</v>
      </c>
    </row>
    <row r="6">
      <c r="A6" s="294" t="s">
        <v>4407</v>
      </c>
      <c r="B6" s="294" t="s">
        <v>4116</v>
      </c>
      <c r="C6" s="31">
        <v>2022.0</v>
      </c>
      <c r="D6" s="294" t="s">
        <v>1627</v>
      </c>
      <c r="E6" s="294" t="s">
        <v>1327</v>
      </c>
      <c r="F6" s="294" t="s">
        <v>1628</v>
      </c>
      <c r="G6" s="294" t="s">
        <v>4639</v>
      </c>
      <c r="H6" s="294" t="s">
        <v>1270</v>
      </c>
      <c r="I6" s="294" t="s">
        <v>67</v>
      </c>
      <c r="J6" s="294" t="s">
        <v>3359</v>
      </c>
      <c r="K6" s="294" t="s">
        <v>3432</v>
      </c>
      <c r="L6" s="294" t="s">
        <v>4640</v>
      </c>
      <c r="M6" s="294" t="s">
        <v>4641</v>
      </c>
      <c r="N6" s="294" t="s">
        <v>4642</v>
      </c>
      <c r="O6" s="294" t="s">
        <v>3362</v>
      </c>
      <c r="P6" s="294" t="s">
        <v>3362</v>
      </c>
      <c r="Q6" s="294" t="s">
        <v>4643</v>
      </c>
      <c r="R6" s="294" t="s">
        <v>4644</v>
      </c>
      <c r="S6" s="294" t="s">
        <v>4522</v>
      </c>
      <c r="T6" s="294" t="s">
        <v>4645</v>
      </c>
      <c r="U6" s="294" t="s">
        <v>4646</v>
      </c>
      <c r="V6" s="294" t="s">
        <v>4626</v>
      </c>
      <c r="W6" s="294" t="s">
        <v>3382</v>
      </c>
      <c r="X6" s="294" t="s">
        <v>3362</v>
      </c>
      <c r="Y6" s="294" t="s">
        <v>3378</v>
      </c>
      <c r="Z6" s="294" t="s">
        <v>4361</v>
      </c>
      <c r="AA6" s="294" t="s">
        <v>4647</v>
      </c>
      <c r="AB6" s="294" t="s">
        <v>4648</v>
      </c>
      <c r="AC6" s="294" t="s">
        <v>4649</v>
      </c>
      <c r="AD6" s="294" t="s">
        <v>20</v>
      </c>
      <c r="AE6" s="294" t="s">
        <v>4631</v>
      </c>
      <c r="AF6" s="294" t="s">
        <v>4626</v>
      </c>
      <c r="AG6" s="294" t="s">
        <v>4361</v>
      </c>
      <c r="AH6" s="31">
        <v>1.0</v>
      </c>
    </row>
    <row r="7">
      <c r="A7" s="290" t="s">
        <v>4446</v>
      </c>
      <c r="B7" s="290" t="s">
        <v>4301</v>
      </c>
      <c r="C7" s="291">
        <v>2020.0</v>
      </c>
      <c r="D7" s="290" t="s">
        <v>373</v>
      </c>
      <c r="E7" s="290" t="s">
        <v>24</v>
      </c>
      <c r="F7" s="290" t="s">
        <v>4302</v>
      </c>
      <c r="G7" s="290" t="s">
        <v>4650</v>
      </c>
      <c r="H7" s="290" t="s">
        <v>4651</v>
      </c>
      <c r="I7" s="290" t="s">
        <v>4652</v>
      </c>
      <c r="J7" s="290" t="s">
        <v>3359</v>
      </c>
      <c r="K7" s="290" t="s">
        <v>4306</v>
      </c>
      <c r="L7" s="290" t="s">
        <v>4653</v>
      </c>
      <c r="M7" s="290" t="s">
        <v>4518</v>
      </c>
      <c r="N7" s="290" t="s">
        <v>4625</v>
      </c>
      <c r="O7" s="290" t="s">
        <v>3369</v>
      </c>
      <c r="P7" s="290" t="s">
        <v>3369</v>
      </c>
      <c r="Q7" s="290" t="s">
        <v>4654</v>
      </c>
      <c r="R7" s="290" t="s">
        <v>4655</v>
      </c>
      <c r="S7" s="290" t="s">
        <v>4656</v>
      </c>
      <c r="T7" s="290" t="s">
        <v>4657</v>
      </c>
      <c r="U7" s="290" t="s">
        <v>4658</v>
      </c>
      <c r="V7" s="290" t="s">
        <v>4659</v>
      </c>
      <c r="W7" s="290" t="s">
        <v>4660</v>
      </c>
      <c r="X7" s="290" t="s">
        <v>4661</v>
      </c>
      <c r="Y7" s="290" t="s">
        <v>4662</v>
      </c>
      <c r="Z7" s="290" t="s">
        <v>4361</v>
      </c>
      <c r="AA7" s="290" t="s">
        <v>4663</v>
      </c>
      <c r="AB7" s="290" t="s">
        <v>4664</v>
      </c>
      <c r="AC7" s="290" t="s">
        <v>4665</v>
      </c>
      <c r="AD7" s="290" t="s">
        <v>20</v>
      </c>
      <c r="AE7" s="290" t="s">
        <v>4625</v>
      </c>
      <c r="AF7" s="290" t="s">
        <v>4626</v>
      </c>
      <c r="AG7" s="290" t="s">
        <v>4361</v>
      </c>
      <c r="AH7" s="291">
        <v>20.0</v>
      </c>
    </row>
    <row r="8">
      <c r="C8" s="39"/>
      <c r="J8" s="39"/>
      <c r="K8" s="39"/>
      <c r="O8" s="39"/>
      <c r="Q8" s="39"/>
      <c r="R8" s="39"/>
      <c r="S8" s="39"/>
      <c r="U8" s="39"/>
      <c r="V8" s="39"/>
      <c r="W8" s="39"/>
      <c r="X8" s="39"/>
      <c r="Y8" s="39"/>
      <c r="Z8" s="39"/>
      <c r="AA8" s="39"/>
      <c r="AB8" s="39"/>
    </row>
    <row r="9">
      <c r="A9" s="294"/>
      <c r="B9" s="294"/>
      <c r="C9" s="294"/>
      <c r="D9" s="294"/>
      <c r="E9" s="294"/>
      <c r="F9" s="294"/>
      <c r="G9" s="294"/>
      <c r="H9" s="294"/>
      <c r="I9" s="294"/>
      <c r="J9" s="294"/>
      <c r="K9" s="294"/>
      <c r="L9" s="294"/>
      <c r="M9" s="294"/>
      <c r="N9" s="294"/>
      <c r="O9" s="294"/>
      <c r="P9" s="294"/>
      <c r="Q9" s="294"/>
      <c r="R9" s="294"/>
      <c r="S9" s="294"/>
      <c r="T9" s="294"/>
      <c r="U9" s="294"/>
      <c r="V9" s="294"/>
      <c r="W9" s="294"/>
      <c r="X9" s="294"/>
      <c r="Y9" s="294"/>
      <c r="Z9" s="294"/>
      <c r="AA9" s="294"/>
      <c r="AB9" s="294"/>
      <c r="AC9" s="294"/>
      <c r="AD9" s="294"/>
      <c r="AE9" s="294"/>
      <c r="AF9" s="294"/>
      <c r="AG9" s="294"/>
      <c r="AH9" s="294"/>
    </row>
    <row r="10">
      <c r="A10" s="294"/>
      <c r="B10" s="294"/>
      <c r="C10" s="31"/>
      <c r="D10" s="294"/>
      <c r="E10" s="294"/>
      <c r="F10" s="294"/>
      <c r="G10" s="294"/>
      <c r="H10" s="294"/>
      <c r="I10" s="294"/>
      <c r="J10" s="294"/>
      <c r="K10" s="294"/>
      <c r="L10" s="294"/>
      <c r="M10" s="294"/>
      <c r="N10" s="294"/>
      <c r="O10" s="31"/>
      <c r="P10" s="31"/>
      <c r="Q10" s="294"/>
      <c r="R10" s="294"/>
      <c r="S10" s="294"/>
      <c r="T10" s="294"/>
      <c r="U10" s="294"/>
      <c r="V10" s="294"/>
      <c r="W10" s="294"/>
      <c r="X10" s="294"/>
      <c r="Y10" s="294"/>
      <c r="Z10" s="294"/>
      <c r="AA10" s="294"/>
      <c r="AB10" s="294"/>
      <c r="AC10" s="294"/>
      <c r="AD10" s="294"/>
      <c r="AE10" s="294"/>
      <c r="AF10" s="294"/>
      <c r="AG10" s="294"/>
      <c r="AH10" s="31"/>
    </row>
    <row r="11">
      <c r="A11" s="294"/>
      <c r="B11" s="294"/>
      <c r="C11" s="31"/>
      <c r="D11" s="294"/>
      <c r="E11" s="294"/>
      <c r="F11" s="294"/>
      <c r="G11" s="294"/>
      <c r="H11" s="294"/>
      <c r="I11" s="294"/>
      <c r="J11" s="294"/>
      <c r="K11" s="294"/>
      <c r="L11" s="294"/>
      <c r="M11" s="294"/>
      <c r="N11" s="294"/>
      <c r="O11" s="31"/>
      <c r="P11" s="294"/>
      <c r="Q11" s="294"/>
      <c r="R11" s="294"/>
      <c r="S11" s="294"/>
      <c r="T11" s="294"/>
      <c r="U11" s="294"/>
      <c r="V11" s="294"/>
      <c r="W11" s="294"/>
      <c r="X11" s="294"/>
      <c r="Y11" s="294"/>
      <c r="Z11" s="294"/>
      <c r="AA11" s="294"/>
      <c r="AB11" s="294"/>
      <c r="AC11" s="294"/>
      <c r="AD11" s="294"/>
      <c r="AE11" s="294"/>
      <c r="AF11" s="294"/>
      <c r="AG11" s="294"/>
      <c r="AH11" s="31"/>
    </row>
    <row r="12">
      <c r="A12" s="294"/>
      <c r="B12" s="294"/>
      <c r="C12" s="31"/>
      <c r="D12" s="294"/>
      <c r="E12" s="294"/>
      <c r="F12" s="294"/>
      <c r="G12" s="294"/>
      <c r="H12" s="294"/>
      <c r="I12" s="294"/>
      <c r="J12" s="294"/>
      <c r="K12" s="294"/>
      <c r="L12" s="294"/>
      <c r="M12" s="294"/>
      <c r="N12" s="294"/>
      <c r="O12" s="31"/>
      <c r="P12" s="294"/>
      <c r="Q12" s="294"/>
      <c r="R12" s="294"/>
      <c r="S12" s="294"/>
      <c r="T12" s="294"/>
      <c r="U12" s="294"/>
      <c r="V12" s="294"/>
      <c r="W12" s="294"/>
      <c r="X12" s="294"/>
      <c r="Y12" s="294"/>
      <c r="Z12" s="294"/>
      <c r="AA12" s="294"/>
      <c r="AB12" s="294"/>
      <c r="AC12" s="294"/>
      <c r="AD12" s="294"/>
      <c r="AE12" s="294"/>
      <c r="AF12" s="294"/>
      <c r="AG12" s="294"/>
      <c r="AH12" s="31"/>
    </row>
    <row r="13">
      <c r="A13" s="294"/>
      <c r="B13" s="294"/>
      <c r="C13" s="31"/>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294"/>
      <c r="AE13" s="294"/>
      <c r="AF13" s="294"/>
      <c r="AG13" s="294"/>
      <c r="AH13" s="31"/>
    </row>
    <row r="14">
      <c r="A14" s="294"/>
      <c r="B14" s="294"/>
      <c r="C14" s="31"/>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31"/>
    </row>
    <row r="15">
      <c r="A15" s="294"/>
      <c r="B15" s="294"/>
      <c r="C15" s="31"/>
      <c r="D15" s="294"/>
      <c r="E15" s="294"/>
      <c r="F15" s="294"/>
      <c r="G15" s="294"/>
      <c r="H15" s="294"/>
      <c r="I15" s="294"/>
      <c r="J15" s="294"/>
      <c r="K15" s="294"/>
      <c r="L15" s="294"/>
      <c r="M15" s="294"/>
      <c r="N15" s="294"/>
      <c r="O15" s="294"/>
      <c r="P15" s="294"/>
      <c r="Q15" s="294"/>
      <c r="R15" s="294"/>
      <c r="S15" s="294"/>
      <c r="T15" s="294"/>
      <c r="U15" s="294"/>
      <c r="V15" s="294"/>
      <c r="W15" s="294"/>
      <c r="X15" s="294"/>
      <c r="Y15" s="294"/>
      <c r="Z15" s="294"/>
      <c r="AA15" s="294"/>
      <c r="AB15" s="294"/>
      <c r="AC15" s="294"/>
      <c r="AD15" s="294"/>
      <c r="AE15" s="294"/>
      <c r="AF15" s="294"/>
      <c r="AG15" s="294"/>
      <c r="AH15" s="31"/>
    </row>
    <row r="16">
      <c r="C16" s="39"/>
      <c r="J16" s="39"/>
      <c r="K16" s="39"/>
      <c r="O16" s="39"/>
      <c r="Q16" s="39"/>
      <c r="R16" s="39"/>
      <c r="S16" s="39"/>
      <c r="U16" s="39"/>
      <c r="V16" s="39"/>
      <c r="W16" s="39"/>
      <c r="X16" s="39"/>
      <c r="Y16" s="39"/>
      <c r="Z16" s="39"/>
      <c r="AA16" s="39"/>
      <c r="AB16" s="39"/>
    </row>
    <row r="17">
      <c r="C17" s="39"/>
      <c r="J17" s="39"/>
      <c r="K17" s="39"/>
      <c r="O17" s="39"/>
      <c r="Q17" s="39"/>
      <c r="R17" s="39"/>
      <c r="S17" s="39"/>
      <c r="U17" s="39"/>
      <c r="V17" s="39"/>
      <c r="W17" s="39"/>
      <c r="X17" s="39"/>
      <c r="Y17" s="39"/>
      <c r="Z17" s="39"/>
      <c r="AA17" s="39"/>
      <c r="AB17" s="39"/>
    </row>
    <row r="18">
      <c r="C18" s="39"/>
      <c r="J18" s="39"/>
      <c r="K18" s="39"/>
      <c r="O18" s="39"/>
      <c r="Q18" s="39"/>
      <c r="R18" s="39"/>
      <c r="S18" s="39"/>
      <c r="U18" s="39"/>
      <c r="V18" s="39"/>
      <c r="W18" s="39"/>
      <c r="X18" s="39"/>
      <c r="Y18" s="39"/>
      <c r="Z18" s="39"/>
      <c r="AA18" s="39"/>
      <c r="AB18" s="39"/>
    </row>
    <row r="19">
      <c r="C19" s="39"/>
      <c r="J19" s="39"/>
      <c r="K19" s="39"/>
      <c r="O19" s="39"/>
      <c r="Q19" s="39"/>
      <c r="R19" s="39"/>
      <c r="S19" s="39"/>
      <c r="U19" s="39"/>
      <c r="V19" s="39"/>
      <c r="W19" s="39"/>
      <c r="X19" s="39"/>
      <c r="Y19" s="39"/>
      <c r="Z19" s="39"/>
      <c r="AA19" s="39"/>
      <c r="AB19" s="39"/>
    </row>
    <row r="20">
      <c r="C20" s="39"/>
      <c r="J20" s="39"/>
      <c r="K20" s="39"/>
      <c r="O20" s="39"/>
      <c r="Q20" s="39"/>
      <c r="R20" s="39"/>
      <c r="S20" s="39"/>
      <c r="U20" s="39"/>
      <c r="V20" s="39"/>
      <c r="W20" s="39"/>
      <c r="X20" s="39"/>
      <c r="Y20" s="39"/>
      <c r="Z20" s="39"/>
      <c r="AA20" s="39"/>
      <c r="AB20" s="39"/>
    </row>
    <row r="21">
      <c r="C21" s="39"/>
      <c r="J21" s="39"/>
      <c r="K21" s="39"/>
      <c r="O21" s="39"/>
      <c r="Q21" s="39"/>
      <c r="R21" s="39"/>
      <c r="S21" s="39"/>
      <c r="U21" s="39"/>
      <c r="V21" s="39"/>
      <c r="W21" s="39"/>
      <c r="X21" s="39"/>
      <c r="Y21" s="39"/>
      <c r="Z21" s="39"/>
      <c r="AA21" s="39"/>
      <c r="AB21" s="39"/>
    </row>
    <row r="22">
      <c r="C22" s="39"/>
      <c r="J22" s="39"/>
      <c r="K22" s="39"/>
      <c r="O22" s="39"/>
      <c r="Q22" s="39"/>
      <c r="R22" s="39"/>
      <c r="S22" s="39"/>
      <c r="U22" s="39"/>
      <c r="V22" s="39"/>
      <c r="W22" s="39"/>
      <c r="X22" s="39"/>
      <c r="Y22" s="39"/>
      <c r="Z22" s="39"/>
      <c r="AA22" s="39"/>
      <c r="AB22" s="39"/>
    </row>
    <row r="23">
      <c r="C23" s="39"/>
      <c r="J23" s="39"/>
      <c r="K23" s="39"/>
      <c r="O23" s="39"/>
      <c r="Q23" s="39"/>
      <c r="R23" s="39"/>
      <c r="S23" s="39"/>
      <c r="U23" s="39"/>
      <c r="V23" s="39"/>
      <c r="W23" s="39"/>
      <c r="X23" s="39"/>
      <c r="Y23" s="39"/>
      <c r="Z23" s="39"/>
      <c r="AA23" s="39"/>
      <c r="AB23" s="39"/>
    </row>
    <row r="24">
      <c r="C24" s="39"/>
      <c r="J24" s="39"/>
      <c r="K24" s="39"/>
      <c r="O24" s="39"/>
      <c r="Q24" s="39"/>
      <c r="R24" s="39"/>
      <c r="S24" s="39"/>
      <c r="U24" s="39"/>
      <c r="V24" s="39"/>
      <c r="W24" s="39"/>
      <c r="X24" s="39"/>
      <c r="Y24" s="39"/>
      <c r="Z24" s="39"/>
      <c r="AA24" s="39"/>
      <c r="AB24" s="39"/>
    </row>
    <row r="25">
      <c r="C25" s="39"/>
      <c r="J25" s="39"/>
      <c r="K25" s="39"/>
      <c r="O25" s="39"/>
      <c r="Q25" s="39"/>
      <c r="R25" s="39"/>
      <c r="S25" s="39"/>
      <c r="U25" s="39"/>
      <c r="V25" s="39"/>
      <c r="W25" s="39"/>
      <c r="X25" s="39"/>
      <c r="Y25" s="39"/>
      <c r="Z25" s="39"/>
      <c r="AA25" s="39"/>
      <c r="AB25" s="39"/>
    </row>
    <row r="26">
      <c r="C26" s="39"/>
      <c r="J26" s="39"/>
      <c r="K26" s="39"/>
      <c r="O26" s="39"/>
      <c r="Q26" s="39"/>
      <c r="R26" s="39"/>
      <c r="S26" s="39"/>
      <c r="U26" s="39"/>
      <c r="V26" s="39"/>
      <c r="W26" s="39"/>
      <c r="X26" s="39"/>
      <c r="Y26" s="39"/>
      <c r="Z26" s="39"/>
      <c r="AA26" s="39"/>
      <c r="AB26" s="39"/>
    </row>
    <row r="27">
      <c r="C27" s="39"/>
      <c r="J27" s="39"/>
      <c r="K27" s="39"/>
      <c r="O27" s="39"/>
      <c r="Q27" s="39"/>
      <c r="R27" s="39"/>
      <c r="S27" s="39"/>
      <c r="U27" s="39"/>
      <c r="V27" s="39"/>
      <c r="W27" s="39"/>
      <c r="X27" s="39"/>
      <c r="Y27" s="39"/>
      <c r="Z27" s="39"/>
      <c r="AA27" s="39"/>
      <c r="AB27" s="39"/>
    </row>
    <row r="28">
      <c r="C28" s="39"/>
      <c r="J28" s="39"/>
      <c r="K28" s="39"/>
      <c r="O28" s="39"/>
      <c r="Q28" s="39"/>
      <c r="R28" s="39"/>
      <c r="S28" s="39"/>
      <c r="U28" s="39"/>
      <c r="V28" s="39"/>
      <c r="W28" s="39"/>
      <c r="X28" s="39"/>
      <c r="Y28" s="39"/>
      <c r="Z28" s="39"/>
      <c r="AA28" s="39"/>
      <c r="AB28" s="39"/>
    </row>
    <row r="29">
      <c r="C29" s="39"/>
      <c r="J29" s="39"/>
      <c r="K29" s="39"/>
      <c r="O29" s="39"/>
      <c r="Q29" s="39"/>
      <c r="R29" s="39"/>
      <c r="S29" s="39"/>
      <c r="U29" s="39"/>
      <c r="V29" s="39"/>
      <c r="W29" s="39"/>
      <c r="X29" s="39"/>
      <c r="Y29" s="39"/>
      <c r="Z29" s="39"/>
      <c r="AA29" s="39"/>
      <c r="AB29" s="39"/>
    </row>
    <row r="30">
      <c r="C30" s="39"/>
      <c r="J30" s="39"/>
      <c r="K30" s="39"/>
      <c r="O30" s="39"/>
      <c r="Q30" s="39"/>
      <c r="R30" s="39"/>
      <c r="S30" s="39"/>
      <c r="U30" s="39"/>
      <c r="V30" s="39"/>
      <c r="W30" s="39"/>
      <c r="X30" s="39"/>
      <c r="Y30" s="39"/>
      <c r="Z30" s="39"/>
      <c r="AA30" s="39"/>
      <c r="AB30" s="39"/>
    </row>
    <row r="31">
      <c r="C31" s="39"/>
      <c r="J31" s="39"/>
      <c r="K31" s="39"/>
      <c r="O31" s="39"/>
      <c r="Q31" s="39"/>
      <c r="R31" s="39"/>
      <c r="S31" s="39"/>
      <c r="U31" s="39"/>
      <c r="V31" s="39"/>
      <c r="W31" s="39"/>
      <c r="X31" s="39"/>
      <c r="Y31" s="39"/>
      <c r="Z31" s="39"/>
      <c r="AA31" s="39"/>
      <c r="AB31" s="39"/>
    </row>
    <row r="32">
      <c r="C32" s="39"/>
      <c r="J32" s="39"/>
      <c r="K32" s="39"/>
      <c r="O32" s="39"/>
      <c r="Q32" s="39"/>
      <c r="R32" s="39"/>
      <c r="S32" s="39"/>
      <c r="U32" s="39"/>
      <c r="V32" s="39"/>
      <c r="W32" s="39"/>
      <c r="X32" s="39"/>
      <c r="Y32" s="39"/>
      <c r="Z32" s="39"/>
      <c r="AA32" s="39"/>
      <c r="AB32" s="39"/>
    </row>
    <row r="33">
      <c r="C33" s="39"/>
      <c r="J33" s="39"/>
      <c r="K33" s="39"/>
      <c r="O33" s="39"/>
      <c r="Q33" s="39"/>
      <c r="R33" s="39"/>
      <c r="S33" s="39"/>
      <c r="U33" s="39"/>
      <c r="V33" s="39"/>
      <c r="W33" s="39"/>
      <c r="X33" s="39"/>
      <c r="Y33" s="39"/>
      <c r="Z33" s="39"/>
      <c r="AA33" s="39"/>
      <c r="AB33" s="39"/>
    </row>
    <row r="34">
      <c r="C34" s="39"/>
      <c r="J34" s="39"/>
      <c r="K34" s="39"/>
      <c r="O34" s="39"/>
      <c r="Q34" s="39"/>
      <c r="R34" s="39"/>
      <c r="S34" s="39"/>
      <c r="U34" s="39"/>
      <c r="V34" s="39"/>
      <c r="W34" s="39"/>
      <c r="X34" s="39"/>
      <c r="Y34" s="39"/>
      <c r="Z34" s="39"/>
      <c r="AA34" s="39"/>
      <c r="AB34" s="39"/>
    </row>
    <row r="35">
      <c r="C35" s="39"/>
      <c r="J35" s="39"/>
      <c r="K35" s="39"/>
      <c r="O35" s="39"/>
      <c r="Q35" s="39"/>
      <c r="R35" s="39"/>
      <c r="S35" s="39"/>
      <c r="U35" s="39"/>
      <c r="V35" s="39"/>
      <c r="W35" s="39"/>
      <c r="X35" s="39"/>
      <c r="Y35" s="39"/>
      <c r="Z35" s="39"/>
      <c r="AA35" s="39"/>
      <c r="AB35" s="39"/>
    </row>
    <row r="36">
      <c r="C36" s="39"/>
      <c r="J36" s="39"/>
      <c r="K36" s="39"/>
      <c r="O36" s="39"/>
      <c r="Q36" s="39"/>
      <c r="R36" s="39"/>
      <c r="S36" s="39"/>
      <c r="U36" s="39"/>
      <c r="V36" s="39"/>
      <c r="W36" s="39"/>
      <c r="X36" s="39"/>
      <c r="Y36" s="39"/>
      <c r="Z36" s="39"/>
      <c r="AA36" s="39"/>
      <c r="AB36" s="39"/>
    </row>
    <row r="37">
      <c r="C37" s="39"/>
      <c r="J37" s="39"/>
      <c r="K37" s="39"/>
      <c r="O37" s="39"/>
      <c r="Q37" s="39"/>
      <c r="R37" s="39"/>
      <c r="S37" s="39"/>
      <c r="U37" s="39"/>
      <c r="V37" s="39"/>
      <c r="W37" s="39"/>
      <c r="X37" s="39"/>
      <c r="Y37" s="39"/>
      <c r="Z37" s="39"/>
      <c r="AA37" s="39"/>
      <c r="AB37" s="39"/>
    </row>
    <row r="38">
      <c r="C38" s="39"/>
      <c r="J38" s="39"/>
      <c r="K38" s="39"/>
      <c r="O38" s="39"/>
      <c r="Q38" s="39"/>
      <c r="R38" s="39"/>
      <c r="S38" s="39"/>
      <c r="U38" s="39"/>
      <c r="V38" s="39"/>
      <c r="W38" s="39"/>
      <c r="X38" s="39"/>
      <c r="Y38" s="39"/>
      <c r="Z38" s="39"/>
      <c r="AA38" s="39"/>
      <c r="AB38" s="39"/>
    </row>
    <row r="39">
      <c r="C39" s="39"/>
      <c r="J39" s="39"/>
      <c r="K39" s="39"/>
      <c r="O39" s="39"/>
      <c r="Q39" s="39"/>
      <c r="R39" s="39"/>
      <c r="S39" s="39"/>
      <c r="U39" s="39"/>
      <c r="V39" s="39"/>
      <c r="W39" s="39"/>
      <c r="X39" s="39"/>
      <c r="Y39" s="39"/>
      <c r="Z39" s="39"/>
      <c r="AA39" s="39"/>
      <c r="AB39" s="39"/>
    </row>
    <row r="40">
      <c r="C40" s="39"/>
      <c r="J40" s="39"/>
      <c r="K40" s="39"/>
      <c r="O40" s="39"/>
      <c r="Q40" s="39"/>
      <c r="R40" s="39"/>
      <c r="S40" s="39"/>
      <c r="U40" s="39"/>
      <c r="V40" s="39"/>
      <c r="W40" s="39"/>
      <c r="X40" s="39"/>
      <c r="Y40" s="39"/>
      <c r="Z40" s="39"/>
      <c r="AA40" s="39"/>
      <c r="AB40" s="39"/>
    </row>
    <row r="41">
      <c r="C41" s="39"/>
      <c r="J41" s="39"/>
      <c r="K41" s="39"/>
      <c r="O41" s="39"/>
      <c r="Q41" s="39"/>
      <c r="R41" s="39"/>
      <c r="S41" s="39"/>
      <c r="U41" s="39"/>
      <c r="V41" s="39"/>
      <c r="W41" s="39"/>
      <c r="X41" s="39"/>
      <c r="Y41" s="39"/>
      <c r="Z41" s="39"/>
      <c r="AA41" s="39"/>
      <c r="AB41" s="39"/>
    </row>
    <row r="42">
      <c r="C42" s="39"/>
      <c r="J42" s="39"/>
      <c r="K42" s="39"/>
      <c r="O42" s="39"/>
      <c r="Q42" s="39"/>
      <c r="R42" s="39"/>
      <c r="S42" s="39"/>
      <c r="U42" s="39"/>
      <c r="V42" s="39"/>
      <c r="W42" s="39"/>
      <c r="X42" s="39"/>
      <c r="Y42" s="39"/>
      <c r="Z42" s="39"/>
      <c r="AA42" s="39"/>
      <c r="AB42" s="39"/>
    </row>
    <row r="43">
      <c r="C43" s="39"/>
      <c r="J43" s="39"/>
      <c r="K43" s="39"/>
      <c r="O43" s="39"/>
      <c r="Q43" s="39"/>
      <c r="R43" s="39"/>
      <c r="S43" s="39"/>
      <c r="U43" s="39"/>
      <c r="V43" s="39"/>
      <c r="W43" s="39"/>
      <c r="X43" s="39"/>
      <c r="Y43" s="39"/>
      <c r="Z43" s="39"/>
      <c r="AA43" s="39"/>
      <c r="AB43" s="39"/>
    </row>
    <row r="44">
      <c r="C44" s="39"/>
      <c r="J44" s="39"/>
      <c r="K44" s="39"/>
      <c r="O44" s="39"/>
      <c r="Q44" s="39"/>
      <c r="R44" s="39"/>
      <c r="S44" s="39"/>
      <c r="U44" s="39"/>
      <c r="V44" s="39"/>
      <c r="W44" s="39"/>
      <c r="X44" s="39"/>
      <c r="Y44" s="39"/>
      <c r="Z44" s="39"/>
      <c r="AA44" s="39"/>
      <c r="AB44" s="39"/>
    </row>
    <row r="45">
      <c r="C45" s="39"/>
      <c r="J45" s="39"/>
      <c r="K45" s="39"/>
      <c r="O45" s="39"/>
      <c r="Q45" s="39"/>
      <c r="R45" s="39"/>
      <c r="S45" s="39"/>
      <c r="U45" s="39"/>
      <c r="V45" s="39"/>
      <c r="W45" s="39"/>
      <c r="X45" s="39"/>
      <c r="Y45" s="39"/>
      <c r="Z45" s="39"/>
      <c r="AA45" s="39"/>
      <c r="AB45" s="39"/>
    </row>
    <row r="46">
      <c r="C46" s="39"/>
      <c r="J46" s="39"/>
      <c r="K46" s="39"/>
      <c r="O46" s="39"/>
      <c r="Q46" s="39"/>
      <c r="R46" s="39"/>
      <c r="S46" s="39"/>
      <c r="U46" s="39"/>
      <c r="V46" s="39"/>
      <c r="W46" s="39"/>
      <c r="X46" s="39"/>
      <c r="Y46" s="39"/>
      <c r="Z46" s="39"/>
      <c r="AA46" s="39"/>
      <c r="AB46" s="39"/>
    </row>
    <row r="47">
      <c r="C47" s="39"/>
      <c r="J47" s="39"/>
      <c r="K47" s="39"/>
      <c r="O47" s="39"/>
      <c r="Q47" s="39"/>
      <c r="R47" s="39"/>
      <c r="S47" s="39"/>
      <c r="U47" s="39"/>
      <c r="V47" s="39"/>
      <c r="W47" s="39"/>
      <c r="X47" s="39"/>
      <c r="Y47" s="39"/>
      <c r="Z47" s="39"/>
      <c r="AA47" s="39"/>
      <c r="AB47" s="39"/>
    </row>
    <row r="48">
      <c r="C48" s="39"/>
      <c r="J48" s="39"/>
      <c r="K48" s="39"/>
      <c r="O48" s="39"/>
      <c r="Q48" s="39"/>
      <c r="R48" s="39"/>
      <c r="S48" s="39"/>
      <c r="U48" s="39"/>
      <c r="V48" s="39"/>
      <c r="W48" s="39"/>
      <c r="X48" s="39"/>
      <c r="Y48" s="39"/>
      <c r="Z48" s="39"/>
      <c r="AA48" s="39"/>
      <c r="AB48" s="39"/>
    </row>
    <row r="49">
      <c r="C49" s="39"/>
      <c r="J49" s="39"/>
      <c r="K49" s="39"/>
      <c r="O49" s="39"/>
      <c r="Q49" s="39"/>
      <c r="R49" s="39"/>
      <c r="S49" s="39"/>
      <c r="U49" s="39"/>
      <c r="V49" s="39"/>
      <c r="W49" s="39"/>
      <c r="X49" s="39"/>
      <c r="Y49" s="39"/>
      <c r="Z49" s="39"/>
      <c r="AA49" s="39"/>
      <c r="AB49" s="39"/>
    </row>
    <row r="50">
      <c r="C50" s="39"/>
      <c r="J50" s="39"/>
      <c r="K50" s="39"/>
      <c r="O50" s="39"/>
      <c r="Q50" s="39"/>
      <c r="R50" s="39"/>
      <c r="S50" s="39"/>
      <c r="U50" s="39"/>
      <c r="V50" s="39"/>
      <c r="W50" s="39"/>
      <c r="X50" s="39"/>
      <c r="Y50" s="39"/>
      <c r="Z50" s="39"/>
      <c r="AA50" s="39"/>
      <c r="AB50" s="39"/>
    </row>
    <row r="51">
      <c r="C51" s="39"/>
      <c r="J51" s="39"/>
      <c r="K51" s="39"/>
      <c r="O51" s="39"/>
      <c r="Q51" s="39"/>
      <c r="R51" s="39"/>
      <c r="S51" s="39"/>
      <c r="U51" s="39"/>
      <c r="V51" s="39"/>
      <c r="W51" s="39"/>
      <c r="X51" s="39"/>
      <c r="Y51" s="39"/>
      <c r="Z51" s="39"/>
      <c r="AA51" s="39"/>
      <c r="AB51" s="39"/>
    </row>
    <row r="52">
      <c r="C52" s="39"/>
      <c r="J52" s="39"/>
      <c r="K52" s="39"/>
      <c r="O52" s="39"/>
      <c r="Q52" s="39"/>
      <c r="R52" s="39"/>
      <c r="S52" s="39"/>
      <c r="U52" s="39"/>
      <c r="V52" s="39"/>
      <c r="W52" s="39"/>
      <c r="X52" s="39"/>
      <c r="Y52" s="39"/>
      <c r="Z52" s="39"/>
      <c r="AA52" s="39"/>
      <c r="AB52" s="39"/>
    </row>
    <row r="53">
      <c r="C53" s="39"/>
      <c r="J53" s="39"/>
      <c r="K53" s="39"/>
      <c r="O53" s="39"/>
      <c r="Q53" s="39"/>
      <c r="R53" s="39"/>
      <c r="S53" s="39"/>
      <c r="U53" s="39"/>
      <c r="V53" s="39"/>
      <c r="W53" s="39"/>
      <c r="X53" s="39"/>
      <c r="Y53" s="39"/>
      <c r="Z53" s="39"/>
      <c r="AA53" s="39"/>
      <c r="AB53" s="39"/>
    </row>
    <row r="54">
      <c r="C54" s="39"/>
      <c r="J54" s="39"/>
      <c r="K54" s="39"/>
      <c r="O54" s="39"/>
      <c r="Q54" s="39"/>
      <c r="R54" s="39"/>
      <c r="S54" s="39"/>
      <c r="U54" s="39"/>
      <c r="V54" s="39"/>
      <c r="W54" s="39"/>
      <c r="X54" s="39"/>
      <c r="Y54" s="39"/>
      <c r="Z54" s="39"/>
      <c r="AA54" s="39"/>
      <c r="AB54" s="39"/>
    </row>
    <row r="55">
      <c r="C55" s="39"/>
      <c r="J55" s="39"/>
      <c r="K55" s="39"/>
      <c r="O55" s="39"/>
      <c r="Q55" s="39"/>
      <c r="R55" s="39"/>
      <c r="S55" s="39"/>
      <c r="U55" s="39"/>
      <c r="V55" s="39"/>
      <c r="W55" s="39"/>
      <c r="X55" s="39"/>
      <c r="Y55" s="39"/>
      <c r="Z55" s="39"/>
      <c r="AA55" s="39"/>
      <c r="AB55" s="39"/>
    </row>
    <row r="56">
      <c r="C56" s="39"/>
      <c r="J56" s="39"/>
      <c r="K56" s="39"/>
      <c r="O56" s="39"/>
      <c r="Q56" s="39"/>
      <c r="R56" s="39"/>
      <c r="S56" s="39"/>
      <c r="U56" s="39"/>
      <c r="V56" s="39"/>
      <c r="W56" s="39"/>
      <c r="X56" s="39"/>
      <c r="Y56" s="39"/>
      <c r="Z56" s="39"/>
      <c r="AA56" s="39"/>
      <c r="AB56" s="39"/>
    </row>
    <row r="57">
      <c r="C57" s="39"/>
      <c r="J57" s="39"/>
      <c r="K57" s="39"/>
      <c r="O57" s="39"/>
      <c r="Q57" s="39"/>
      <c r="R57" s="39"/>
      <c r="S57" s="39"/>
      <c r="U57" s="39"/>
      <c r="V57" s="39"/>
      <c r="W57" s="39"/>
      <c r="X57" s="39"/>
      <c r="Y57" s="39"/>
      <c r="Z57" s="39"/>
      <c r="AA57" s="39"/>
      <c r="AB57" s="39"/>
    </row>
    <row r="58">
      <c r="C58" s="39"/>
      <c r="J58" s="39"/>
      <c r="K58" s="39"/>
      <c r="O58" s="39"/>
      <c r="Q58" s="39"/>
      <c r="R58" s="39"/>
      <c r="S58" s="39"/>
      <c r="U58" s="39"/>
      <c r="V58" s="39"/>
      <c r="W58" s="39"/>
      <c r="X58" s="39"/>
      <c r="Y58" s="39"/>
      <c r="Z58" s="39"/>
      <c r="AA58" s="39"/>
      <c r="AB58" s="39"/>
    </row>
    <row r="59">
      <c r="C59" s="39"/>
      <c r="J59" s="39"/>
      <c r="K59" s="39"/>
      <c r="O59" s="39"/>
      <c r="Q59" s="39"/>
      <c r="R59" s="39"/>
      <c r="S59" s="39"/>
      <c r="U59" s="39"/>
      <c r="V59" s="39"/>
      <c r="W59" s="39"/>
      <c r="X59" s="39"/>
      <c r="Y59" s="39"/>
      <c r="Z59" s="39"/>
      <c r="AA59" s="39"/>
      <c r="AB59" s="39"/>
    </row>
    <row r="60">
      <c r="C60" s="39"/>
      <c r="J60" s="39"/>
      <c r="K60" s="39"/>
      <c r="O60" s="39"/>
      <c r="Q60" s="39"/>
      <c r="R60" s="39"/>
      <c r="S60" s="39"/>
      <c r="U60" s="39"/>
      <c r="V60" s="39"/>
      <c r="W60" s="39"/>
      <c r="X60" s="39"/>
      <c r="Y60" s="39"/>
      <c r="Z60" s="39"/>
      <c r="AA60" s="39"/>
      <c r="AB60" s="39"/>
    </row>
    <row r="61">
      <c r="C61" s="39"/>
      <c r="J61" s="39"/>
      <c r="K61" s="39"/>
      <c r="O61" s="39"/>
      <c r="Q61" s="39"/>
      <c r="R61" s="39"/>
      <c r="S61" s="39"/>
      <c r="U61" s="39"/>
      <c r="V61" s="39"/>
      <c r="W61" s="39"/>
      <c r="X61" s="39"/>
      <c r="Y61" s="39"/>
      <c r="Z61" s="39"/>
      <c r="AA61" s="39"/>
      <c r="AB61" s="39"/>
    </row>
    <row r="62">
      <c r="C62" s="39"/>
      <c r="J62" s="39"/>
      <c r="K62" s="39"/>
      <c r="O62" s="39"/>
      <c r="Q62" s="39"/>
      <c r="R62" s="39"/>
      <c r="S62" s="39"/>
      <c r="U62" s="39"/>
      <c r="V62" s="39"/>
      <c r="W62" s="39"/>
      <c r="X62" s="39"/>
      <c r="Y62" s="39"/>
      <c r="Z62" s="39"/>
      <c r="AA62" s="39"/>
      <c r="AB62" s="39"/>
    </row>
    <row r="63">
      <c r="C63" s="39"/>
      <c r="J63" s="39"/>
      <c r="K63" s="39"/>
      <c r="O63" s="39"/>
      <c r="Q63" s="39"/>
      <c r="R63" s="39"/>
      <c r="S63" s="39"/>
      <c r="U63" s="39"/>
      <c r="V63" s="39"/>
      <c r="W63" s="39"/>
      <c r="X63" s="39"/>
      <c r="Y63" s="39"/>
      <c r="Z63" s="39"/>
      <c r="AA63" s="39"/>
      <c r="AB63" s="39"/>
    </row>
    <row r="64">
      <c r="C64" s="39"/>
      <c r="J64" s="39"/>
      <c r="K64" s="39"/>
      <c r="O64" s="39"/>
      <c r="Q64" s="39"/>
      <c r="R64" s="39"/>
      <c r="S64" s="39"/>
      <c r="U64" s="39"/>
      <c r="V64" s="39"/>
      <c r="W64" s="39"/>
      <c r="X64" s="39"/>
      <c r="Y64" s="39"/>
      <c r="Z64" s="39"/>
      <c r="AA64" s="39"/>
      <c r="AB64" s="39"/>
    </row>
    <row r="65">
      <c r="C65" s="39"/>
      <c r="J65" s="39"/>
      <c r="K65" s="39"/>
      <c r="O65" s="39"/>
      <c r="Q65" s="39"/>
      <c r="R65" s="39"/>
      <c r="S65" s="39"/>
      <c r="U65" s="39"/>
      <c r="V65" s="39"/>
      <c r="W65" s="39"/>
      <c r="X65" s="39"/>
      <c r="Y65" s="39"/>
      <c r="Z65" s="39"/>
      <c r="AA65" s="39"/>
      <c r="AB65" s="39"/>
    </row>
    <row r="66">
      <c r="C66" s="39"/>
      <c r="J66" s="39"/>
      <c r="K66" s="39"/>
      <c r="O66" s="39"/>
      <c r="Q66" s="39"/>
      <c r="R66" s="39"/>
      <c r="S66" s="39"/>
      <c r="U66" s="39"/>
      <c r="V66" s="39"/>
      <c r="W66" s="39"/>
      <c r="X66" s="39"/>
      <c r="Y66" s="39"/>
      <c r="Z66" s="39"/>
      <c r="AA66" s="39"/>
      <c r="AB66" s="39"/>
    </row>
    <row r="67">
      <c r="C67" s="39"/>
      <c r="J67" s="39"/>
      <c r="K67" s="39"/>
      <c r="O67" s="39"/>
      <c r="Q67" s="39"/>
      <c r="R67" s="39"/>
      <c r="S67" s="39"/>
      <c r="U67" s="39"/>
      <c r="V67" s="39"/>
      <c r="W67" s="39"/>
      <c r="X67" s="39"/>
      <c r="Y67" s="39"/>
      <c r="Z67" s="39"/>
      <c r="AA67" s="39"/>
      <c r="AB67" s="39"/>
    </row>
    <row r="68">
      <c r="C68" s="39"/>
      <c r="J68" s="39"/>
      <c r="K68" s="39"/>
      <c r="O68" s="39"/>
      <c r="Q68" s="39"/>
      <c r="R68" s="39"/>
      <c r="S68" s="39"/>
      <c r="U68" s="39"/>
      <c r="V68" s="39"/>
      <c r="W68" s="39"/>
      <c r="X68" s="39"/>
      <c r="Y68" s="39"/>
      <c r="Z68" s="39"/>
      <c r="AA68" s="39"/>
      <c r="AB68" s="39"/>
    </row>
    <row r="69">
      <c r="C69" s="39"/>
      <c r="J69" s="39"/>
      <c r="K69" s="39"/>
      <c r="O69" s="39"/>
      <c r="Q69" s="39"/>
      <c r="R69" s="39"/>
      <c r="S69" s="39"/>
      <c r="U69" s="39"/>
      <c r="V69" s="39"/>
      <c r="W69" s="39"/>
      <c r="X69" s="39"/>
      <c r="Y69" s="39"/>
      <c r="Z69" s="39"/>
      <c r="AA69" s="39"/>
      <c r="AB69" s="39"/>
    </row>
    <row r="70">
      <c r="C70" s="39"/>
      <c r="J70" s="39"/>
      <c r="K70" s="39"/>
      <c r="O70" s="39"/>
      <c r="Q70" s="39"/>
      <c r="R70" s="39"/>
      <c r="S70" s="39"/>
      <c r="U70" s="39"/>
      <c r="V70" s="39"/>
      <c r="W70" s="39"/>
      <c r="X70" s="39"/>
      <c r="Y70" s="39"/>
      <c r="Z70" s="39"/>
      <c r="AA70" s="39"/>
      <c r="AB70" s="39"/>
    </row>
    <row r="71">
      <c r="C71" s="39"/>
      <c r="J71" s="39"/>
      <c r="K71" s="39"/>
      <c r="O71" s="39"/>
      <c r="Q71" s="39"/>
      <c r="R71" s="39"/>
      <c r="S71" s="39"/>
      <c r="U71" s="39"/>
      <c r="V71" s="39"/>
      <c r="W71" s="39"/>
      <c r="X71" s="39"/>
      <c r="Y71" s="39"/>
      <c r="Z71" s="39"/>
      <c r="AA71" s="39"/>
      <c r="AB71" s="39"/>
    </row>
    <row r="72">
      <c r="C72" s="39"/>
      <c r="J72" s="39"/>
      <c r="K72" s="39"/>
      <c r="O72" s="39"/>
      <c r="Q72" s="39"/>
      <c r="R72" s="39"/>
      <c r="S72" s="39"/>
      <c r="U72" s="39"/>
      <c r="V72" s="39"/>
      <c r="W72" s="39"/>
      <c r="X72" s="39"/>
      <c r="Y72" s="39"/>
      <c r="Z72" s="39"/>
      <c r="AA72" s="39"/>
      <c r="AB72" s="39"/>
    </row>
    <row r="73">
      <c r="C73" s="39"/>
      <c r="J73" s="39"/>
      <c r="K73" s="39"/>
      <c r="O73" s="39"/>
      <c r="Q73" s="39"/>
      <c r="R73" s="39"/>
      <c r="S73" s="39"/>
      <c r="U73" s="39"/>
      <c r="V73" s="39"/>
      <c r="W73" s="39"/>
      <c r="X73" s="39"/>
      <c r="Y73" s="39"/>
      <c r="Z73" s="39"/>
      <c r="AA73" s="39"/>
      <c r="AB73" s="39"/>
    </row>
    <row r="74">
      <c r="C74" s="39"/>
      <c r="J74" s="39"/>
      <c r="K74" s="39"/>
      <c r="O74" s="39"/>
      <c r="Q74" s="39"/>
      <c r="R74" s="39"/>
      <c r="S74" s="39"/>
      <c r="U74" s="39"/>
      <c r="V74" s="39"/>
      <c r="W74" s="39"/>
      <c r="X74" s="39"/>
      <c r="Y74" s="39"/>
      <c r="Z74" s="39"/>
      <c r="AA74" s="39"/>
      <c r="AB74" s="39"/>
    </row>
    <row r="75">
      <c r="C75" s="39"/>
      <c r="J75" s="39"/>
      <c r="K75" s="39"/>
      <c r="O75" s="39"/>
      <c r="Q75" s="39"/>
      <c r="R75" s="39"/>
      <c r="S75" s="39"/>
      <c r="U75" s="39"/>
      <c r="V75" s="39"/>
      <c r="W75" s="39"/>
      <c r="X75" s="39"/>
      <c r="Y75" s="39"/>
      <c r="Z75" s="39"/>
      <c r="AA75" s="39"/>
      <c r="AB75" s="39"/>
    </row>
    <row r="76">
      <c r="C76" s="39"/>
      <c r="J76" s="39"/>
      <c r="K76" s="39"/>
      <c r="O76" s="39"/>
      <c r="Q76" s="39"/>
      <c r="R76" s="39"/>
      <c r="S76" s="39"/>
      <c r="U76" s="39"/>
      <c r="V76" s="39"/>
      <c r="W76" s="39"/>
      <c r="X76" s="39"/>
      <c r="Y76" s="39"/>
      <c r="Z76" s="39"/>
      <c r="AA76" s="39"/>
      <c r="AB76" s="39"/>
    </row>
    <row r="77">
      <c r="C77" s="39"/>
      <c r="J77" s="39"/>
      <c r="K77" s="39"/>
      <c r="O77" s="39"/>
      <c r="Q77" s="39"/>
      <c r="R77" s="39"/>
      <c r="S77" s="39"/>
      <c r="U77" s="39"/>
      <c r="V77" s="39"/>
      <c r="W77" s="39"/>
      <c r="X77" s="39"/>
      <c r="Y77" s="39"/>
      <c r="Z77" s="39"/>
      <c r="AA77" s="39"/>
      <c r="AB77" s="39"/>
    </row>
    <row r="78">
      <c r="C78" s="39"/>
      <c r="J78" s="39"/>
      <c r="K78" s="39"/>
      <c r="O78" s="39"/>
      <c r="Q78" s="39"/>
      <c r="R78" s="39"/>
      <c r="S78" s="39"/>
      <c r="U78" s="39"/>
      <c r="V78" s="39"/>
      <c r="W78" s="39"/>
      <c r="X78" s="39"/>
      <c r="Y78" s="39"/>
      <c r="Z78" s="39"/>
      <c r="AA78" s="39"/>
      <c r="AB78" s="39"/>
    </row>
    <row r="79">
      <c r="C79" s="39"/>
      <c r="J79" s="39"/>
      <c r="K79" s="39"/>
      <c r="O79" s="39"/>
      <c r="Q79" s="39"/>
      <c r="R79" s="39"/>
      <c r="S79" s="39"/>
      <c r="U79" s="39"/>
      <c r="V79" s="39"/>
      <c r="W79" s="39"/>
      <c r="X79" s="39"/>
      <c r="Y79" s="39"/>
      <c r="Z79" s="39"/>
      <c r="AA79" s="39"/>
      <c r="AB79" s="39"/>
    </row>
    <row r="80">
      <c r="C80" s="39"/>
      <c r="J80" s="39"/>
      <c r="K80" s="39"/>
      <c r="O80" s="39"/>
      <c r="Q80" s="39"/>
      <c r="R80" s="39"/>
      <c r="S80" s="39"/>
      <c r="U80" s="39"/>
      <c r="V80" s="39"/>
      <c r="W80" s="39"/>
      <c r="X80" s="39"/>
      <c r="Y80" s="39"/>
      <c r="Z80" s="39"/>
      <c r="AA80" s="39"/>
      <c r="AB80" s="39"/>
    </row>
    <row r="81">
      <c r="C81" s="39"/>
      <c r="J81" s="39"/>
      <c r="K81" s="39"/>
      <c r="O81" s="39"/>
      <c r="Q81" s="39"/>
      <c r="R81" s="39"/>
      <c r="S81" s="39"/>
      <c r="U81" s="39"/>
      <c r="V81" s="39"/>
      <c r="W81" s="39"/>
      <c r="X81" s="39"/>
      <c r="Y81" s="39"/>
      <c r="Z81" s="39"/>
      <c r="AA81" s="39"/>
      <c r="AB81" s="39"/>
    </row>
    <row r="82">
      <c r="C82" s="39"/>
      <c r="J82" s="39"/>
      <c r="K82" s="39"/>
      <c r="O82" s="39"/>
      <c r="Q82" s="39"/>
      <c r="R82" s="39"/>
      <c r="S82" s="39"/>
      <c r="U82" s="39"/>
      <c r="V82" s="39"/>
      <c r="W82" s="39"/>
      <c r="X82" s="39"/>
      <c r="Y82" s="39"/>
      <c r="Z82" s="39"/>
      <c r="AA82" s="39"/>
      <c r="AB82" s="39"/>
    </row>
    <row r="83">
      <c r="C83" s="39"/>
      <c r="J83" s="39"/>
      <c r="K83" s="39"/>
      <c r="O83" s="39"/>
      <c r="Q83" s="39"/>
      <c r="R83" s="39"/>
      <c r="S83" s="39"/>
      <c r="U83" s="39"/>
      <c r="V83" s="39"/>
      <c r="W83" s="39"/>
      <c r="X83" s="39"/>
      <c r="Y83" s="39"/>
      <c r="Z83" s="39"/>
      <c r="AA83" s="39"/>
      <c r="AB83" s="39"/>
    </row>
    <row r="84">
      <c r="C84" s="39"/>
      <c r="J84" s="39"/>
      <c r="K84" s="39"/>
      <c r="O84" s="39"/>
      <c r="Q84" s="39"/>
      <c r="R84" s="39"/>
      <c r="S84" s="39"/>
      <c r="U84" s="39"/>
      <c r="V84" s="39"/>
      <c r="W84" s="39"/>
      <c r="X84" s="39"/>
      <c r="Y84" s="39"/>
      <c r="Z84" s="39"/>
      <c r="AA84" s="39"/>
      <c r="AB84" s="39"/>
    </row>
    <row r="85">
      <c r="C85" s="39"/>
      <c r="J85" s="39"/>
      <c r="K85" s="39"/>
      <c r="O85" s="39"/>
      <c r="Q85" s="39"/>
      <c r="R85" s="39"/>
      <c r="S85" s="39"/>
      <c r="U85" s="39"/>
      <c r="V85" s="39"/>
      <c r="W85" s="39"/>
      <c r="X85" s="39"/>
      <c r="Y85" s="39"/>
      <c r="Z85" s="39"/>
      <c r="AA85" s="39"/>
      <c r="AB85" s="39"/>
    </row>
    <row r="86">
      <c r="C86" s="39"/>
      <c r="J86" s="39"/>
      <c r="K86" s="39"/>
      <c r="O86" s="39"/>
      <c r="Q86" s="39"/>
      <c r="R86" s="39"/>
      <c r="S86" s="39"/>
      <c r="U86" s="39"/>
      <c r="V86" s="39"/>
      <c r="W86" s="39"/>
      <c r="X86" s="39"/>
      <c r="Y86" s="39"/>
      <c r="Z86" s="39"/>
      <c r="AA86" s="39"/>
      <c r="AB86" s="39"/>
    </row>
    <row r="87">
      <c r="C87" s="39"/>
      <c r="J87" s="39"/>
      <c r="K87" s="39"/>
      <c r="O87" s="39"/>
      <c r="Q87" s="39"/>
      <c r="R87" s="39"/>
      <c r="S87" s="39"/>
      <c r="U87" s="39"/>
      <c r="V87" s="39"/>
      <c r="W87" s="39"/>
      <c r="X87" s="39"/>
      <c r="Y87" s="39"/>
      <c r="Z87" s="39"/>
      <c r="AA87" s="39"/>
      <c r="AB87" s="39"/>
    </row>
    <row r="88">
      <c r="C88" s="39"/>
      <c r="J88" s="39"/>
      <c r="K88" s="39"/>
      <c r="O88" s="39"/>
      <c r="Q88" s="39"/>
      <c r="R88" s="39"/>
      <c r="S88" s="39"/>
      <c r="U88" s="39"/>
      <c r="V88" s="39"/>
      <c r="W88" s="39"/>
      <c r="X88" s="39"/>
      <c r="Y88" s="39"/>
      <c r="Z88" s="39"/>
      <c r="AA88" s="39"/>
      <c r="AB88" s="39"/>
    </row>
    <row r="89">
      <c r="C89" s="39"/>
      <c r="J89" s="39"/>
      <c r="K89" s="39"/>
      <c r="O89" s="39"/>
      <c r="Q89" s="39"/>
      <c r="R89" s="39"/>
      <c r="S89" s="39"/>
      <c r="U89" s="39"/>
      <c r="V89" s="39"/>
      <c r="W89" s="39"/>
      <c r="X89" s="39"/>
      <c r="Y89" s="39"/>
      <c r="Z89" s="39"/>
      <c r="AA89" s="39"/>
      <c r="AB89" s="39"/>
    </row>
    <row r="90">
      <c r="C90" s="39"/>
      <c r="J90" s="39"/>
      <c r="K90" s="39"/>
      <c r="O90" s="39"/>
      <c r="Q90" s="39"/>
      <c r="R90" s="39"/>
      <c r="S90" s="39"/>
      <c r="U90" s="39"/>
      <c r="V90" s="39"/>
      <c r="W90" s="39"/>
      <c r="X90" s="39"/>
      <c r="Y90" s="39"/>
      <c r="Z90" s="39"/>
      <c r="AA90" s="39"/>
      <c r="AB90" s="39"/>
    </row>
    <row r="91">
      <c r="C91" s="39"/>
      <c r="J91" s="39"/>
      <c r="K91" s="39"/>
      <c r="O91" s="39"/>
      <c r="Q91" s="39"/>
      <c r="R91" s="39"/>
      <c r="S91" s="39"/>
      <c r="U91" s="39"/>
      <c r="V91" s="39"/>
      <c r="W91" s="39"/>
      <c r="X91" s="39"/>
      <c r="Y91" s="39"/>
      <c r="Z91" s="39"/>
      <c r="AA91" s="39"/>
      <c r="AB91" s="39"/>
    </row>
    <row r="92">
      <c r="C92" s="39"/>
      <c r="J92" s="39"/>
      <c r="K92" s="39"/>
      <c r="O92" s="39"/>
      <c r="Q92" s="39"/>
      <c r="R92" s="39"/>
      <c r="S92" s="39"/>
      <c r="U92" s="39"/>
      <c r="V92" s="39"/>
      <c r="W92" s="39"/>
      <c r="X92" s="39"/>
      <c r="Y92" s="39"/>
      <c r="Z92" s="39"/>
      <c r="AA92" s="39"/>
      <c r="AB92" s="39"/>
    </row>
    <row r="93">
      <c r="C93" s="39"/>
      <c r="J93" s="39"/>
      <c r="K93" s="39"/>
      <c r="O93" s="39"/>
      <c r="Q93" s="39"/>
      <c r="R93" s="39"/>
      <c r="S93" s="39"/>
      <c r="U93" s="39"/>
      <c r="V93" s="39"/>
      <c r="W93" s="39"/>
      <c r="X93" s="39"/>
      <c r="Y93" s="39"/>
      <c r="Z93" s="39"/>
      <c r="AA93" s="39"/>
      <c r="AB93" s="39"/>
    </row>
    <row r="94">
      <c r="C94" s="39"/>
      <c r="J94" s="39"/>
      <c r="K94" s="39"/>
      <c r="O94" s="39"/>
      <c r="Q94" s="39"/>
      <c r="R94" s="39"/>
      <c r="S94" s="39"/>
      <c r="U94" s="39"/>
      <c r="V94" s="39"/>
      <c r="W94" s="39"/>
      <c r="X94" s="39"/>
      <c r="Y94" s="39"/>
      <c r="Z94" s="39"/>
      <c r="AA94" s="39"/>
      <c r="AB94" s="39"/>
    </row>
    <row r="95">
      <c r="C95" s="39"/>
      <c r="J95" s="39"/>
      <c r="K95" s="39"/>
      <c r="O95" s="39"/>
      <c r="Q95" s="39"/>
      <c r="R95" s="39"/>
      <c r="S95" s="39"/>
      <c r="U95" s="39"/>
      <c r="V95" s="39"/>
      <c r="W95" s="39"/>
      <c r="X95" s="39"/>
      <c r="Y95" s="39"/>
      <c r="Z95" s="39"/>
      <c r="AA95" s="39"/>
      <c r="AB95" s="39"/>
    </row>
    <row r="96">
      <c r="C96" s="39"/>
      <c r="J96" s="39"/>
      <c r="K96" s="39"/>
      <c r="O96" s="39"/>
      <c r="Q96" s="39"/>
      <c r="R96" s="39"/>
      <c r="S96" s="39"/>
      <c r="U96" s="39"/>
      <c r="V96" s="39"/>
      <c r="W96" s="39"/>
      <c r="X96" s="39"/>
      <c r="Y96" s="39"/>
      <c r="Z96" s="39"/>
      <c r="AA96" s="39"/>
      <c r="AB96" s="39"/>
    </row>
    <row r="97">
      <c r="C97" s="39"/>
      <c r="J97" s="39"/>
      <c r="K97" s="39"/>
      <c r="O97" s="39"/>
      <c r="Q97" s="39"/>
      <c r="R97" s="39"/>
      <c r="S97" s="39"/>
      <c r="U97" s="39"/>
      <c r="V97" s="39"/>
      <c r="W97" s="39"/>
      <c r="X97" s="39"/>
      <c r="Y97" s="39"/>
      <c r="Z97" s="39"/>
      <c r="AA97" s="39"/>
      <c r="AB97" s="39"/>
    </row>
    <row r="98">
      <c r="C98" s="39"/>
      <c r="J98" s="39"/>
      <c r="K98" s="39"/>
      <c r="O98" s="39"/>
      <c r="Q98" s="39"/>
      <c r="R98" s="39"/>
      <c r="S98" s="39"/>
      <c r="U98" s="39"/>
      <c r="V98" s="39"/>
      <c r="W98" s="39"/>
      <c r="X98" s="39"/>
      <c r="Y98" s="39"/>
      <c r="Z98" s="39"/>
      <c r="AA98" s="39"/>
      <c r="AB98" s="39"/>
    </row>
    <row r="99">
      <c r="C99" s="39"/>
      <c r="J99" s="39"/>
      <c r="K99" s="39"/>
      <c r="O99" s="39"/>
      <c r="Q99" s="39"/>
      <c r="R99" s="39"/>
      <c r="S99" s="39"/>
      <c r="U99" s="39"/>
      <c r="V99" s="39"/>
      <c r="W99" s="39"/>
      <c r="X99" s="39"/>
      <c r="Y99" s="39"/>
      <c r="Z99" s="39"/>
      <c r="AA99" s="39"/>
      <c r="AB99" s="39"/>
    </row>
    <row r="100">
      <c r="C100" s="39"/>
      <c r="J100" s="39"/>
      <c r="K100" s="39"/>
      <c r="O100" s="39"/>
      <c r="Q100" s="39"/>
      <c r="R100" s="39"/>
      <c r="S100" s="39"/>
      <c r="U100" s="39"/>
      <c r="V100" s="39"/>
      <c r="W100" s="39"/>
      <c r="X100" s="39"/>
      <c r="Y100" s="39"/>
      <c r="Z100" s="39"/>
      <c r="AA100" s="39"/>
      <c r="AB100" s="39"/>
    </row>
    <row r="101">
      <c r="C101" s="39"/>
      <c r="J101" s="39"/>
      <c r="K101" s="39"/>
      <c r="O101" s="39"/>
      <c r="Q101" s="39"/>
      <c r="R101" s="39"/>
      <c r="S101" s="39"/>
      <c r="U101" s="39"/>
      <c r="V101" s="39"/>
      <c r="W101" s="39"/>
      <c r="X101" s="39"/>
      <c r="Y101" s="39"/>
      <c r="Z101" s="39"/>
      <c r="AA101" s="39"/>
      <c r="AB101" s="39"/>
    </row>
    <row r="102">
      <c r="C102" s="39"/>
      <c r="J102" s="39"/>
      <c r="K102" s="39"/>
      <c r="O102" s="39"/>
      <c r="Q102" s="39"/>
      <c r="R102" s="39"/>
      <c r="S102" s="39"/>
      <c r="U102" s="39"/>
      <c r="V102" s="39"/>
      <c r="W102" s="39"/>
      <c r="X102" s="39"/>
      <c r="Y102" s="39"/>
      <c r="Z102" s="39"/>
      <c r="AA102" s="39"/>
      <c r="AB102" s="39"/>
    </row>
    <row r="103">
      <c r="C103" s="39"/>
      <c r="J103" s="39"/>
      <c r="K103" s="39"/>
      <c r="O103" s="39"/>
      <c r="Q103" s="39"/>
      <c r="R103" s="39"/>
      <c r="S103" s="39"/>
      <c r="U103" s="39"/>
      <c r="V103" s="39"/>
      <c r="W103" s="39"/>
      <c r="X103" s="39"/>
      <c r="Y103" s="39"/>
      <c r="Z103" s="39"/>
      <c r="AA103" s="39"/>
      <c r="AB103" s="39"/>
    </row>
    <row r="104">
      <c r="C104" s="39"/>
      <c r="J104" s="39"/>
      <c r="K104" s="39"/>
      <c r="O104" s="39"/>
      <c r="Q104" s="39"/>
      <c r="R104" s="39"/>
      <c r="S104" s="39"/>
      <c r="U104" s="39"/>
      <c r="V104" s="39"/>
      <c r="W104" s="39"/>
      <c r="X104" s="39"/>
      <c r="Y104" s="39"/>
      <c r="Z104" s="39"/>
      <c r="AA104" s="39"/>
      <c r="AB104" s="39"/>
    </row>
    <row r="105">
      <c r="C105" s="39"/>
      <c r="J105" s="39"/>
      <c r="K105" s="39"/>
      <c r="O105" s="39"/>
      <c r="Q105" s="39"/>
      <c r="R105" s="39"/>
      <c r="S105" s="39"/>
      <c r="U105" s="39"/>
      <c r="V105" s="39"/>
      <c r="W105" s="39"/>
      <c r="X105" s="39"/>
      <c r="Y105" s="39"/>
      <c r="Z105" s="39"/>
      <c r="AA105" s="39"/>
      <c r="AB105" s="39"/>
    </row>
    <row r="106">
      <c r="C106" s="39"/>
      <c r="J106" s="39"/>
      <c r="K106" s="39"/>
      <c r="O106" s="39"/>
      <c r="Q106" s="39"/>
      <c r="R106" s="39"/>
      <c r="S106" s="39"/>
      <c r="U106" s="39"/>
      <c r="V106" s="39"/>
      <c r="W106" s="39"/>
      <c r="X106" s="39"/>
      <c r="Y106" s="39"/>
      <c r="Z106" s="39"/>
      <c r="AA106" s="39"/>
      <c r="AB106" s="39"/>
    </row>
    <row r="107">
      <c r="C107" s="39"/>
      <c r="J107" s="39"/>
      <c r="K107" s="39"/>
      <c r="O107" s="39"/>
      <c r="Q107" s="39"/>
      <c r="R107" s="39"/>
      <c r="S107" s="39"/>
      <c r="U107" s="39"/>
      <c r="V107" s="39"/>
      <c r="W107" s="39"/>
      <c r="X107" s="39"/>
      <c r="Y107" s="39"/>
      <c r="Z107" s="39"/>
      <c r="AA107" s="39"/>
      <c r="AB107" s="39"/>
    </row>
    <row r="108">
      <c r="C108" s="39"/>
      <c r="J108" s="39"/>
      <c r="K108" s="39"/>
      <c r="O108" s="39"/>
      <c r="Q108" s="39"/>
      <c r="R108" s="39"/>
      <c r="S108" s="39"/>
      <c r="U108" s="39"/>
      <c r="V108" s="39"/>
      <c r="W108" s="39"/>
      <c r="X108" s="39"/>
      <c r="Y108" s="39"/>
      <c r="Z108" s="39"/>
      <c r="AA108" s="39"/>
      <c r="AB108" s="39"/>
    </row>
    <row r="109">
      <c r="C109" s="39"/>
      <c r="J109" s="39"/>
      <c r="K109" s="39"/>
      <c r="O109" s="39"/>
      <c r="Q109" s="39"/>
      <c r="R109" s="39"/>
      <c r="S109" s="39"/>
      <c r="U109" s="39"/>
      <c r="V109" s="39"/>
      <c r="W109" s="39"/>
      <c r="X109" s="39"/>
      <c r="Y109" s="39"/>
      <c r="Z109" s="39"/>
      <c r="AA109" s="39"/>
      <c r="AB109" s="39"/>
    </row>
    <row r="110">
      <c r="C110" s="39"/>
      <c r="J110" s="39"/>
      <c r="K110" s="39"/>
      <c r="O110" s="39"/>
      <c r="Q110" s="39"/>
      <c r="R110" s="39"/>
      <c r="S110" s="39"/>
      <c r="U110" s="39"/>
      <c r="V110" s="39"/>
      <c r="W110" s="39"/>
      <c r="X110" s="39"/>
      <c r="Y110" s="39"/>
      <c r="Z110" s="39"/>
      <c r="AA110" s="39"/>
      <c r="AB110" s="39"/>
    </row>
    <row r="111">
      <c r="C111" s="39"/>
      <c r="J111" s="39"/>
      <c r="K111" s="39"/>
      <c r="O111" s="39"/>
      <c r="Q111" s="39"/>
      <c r="R111" s="39"/>
      <c r="S111" s="39"/>
      <c r="U111" s="39"/>
      <c r="V111" s="39"/>
      <c r="W111" s="39"/>
      <c r="X111" s="39"/>
      <c r="Y111" s="39"/>
      <c r="Z111" s="39"/>
      <c r="AA111" s="39"/>
      <c r="AB111" s="39"/>
    </row>
    <row r="112">
      <c r="C112" s="39"/>
      <c r="J112" s="39"/>
      <c r="K112" s="39"/>
      <c r="O112" s="39"/>
      <c r="Q112" s="39"/>
      <c r="R112" s="39"/>
      <c r="S112" s="39"/>
      <c r="U112" s="39"/>
      <c r="V112" s="39"/>
      <c r="W112" s="39"/>
      <c r="X112" s="39"/>
      <c r="Y112" s="39"/>
      <c r="Z112" s="39"/>
      <c r="AA112" s="39"/>
      <c r="AB112" s="39"/>
    </row>
    <row r="113">
      <c r="C113" s="39"/>
      <c r="J113" s="39"/>
      <c r="K113" s="39"/>
      <c r="O113" s="39"/>
      <c r="Q113" s="39"/>
      <c r="R113" s="39"/>
      <c r="S113" s="39"/>
      <c r="U113" s="39"/>
      <c r="V113" s="39"/>
      <c r="W113" s="39"/>
      <c r="X113" s="39"/>
      <c r="Y113" s="39"/>
      <c r="Z113" s="39"/>
      <c r="AA113" s="39"/>
      <c r="AB113" s="39"/>
    </row>
    <row r="114">
      <c r="C114" s="39"/>
      <c r="J114" s="39"/>
      <c r="K114" s="39"/>
      <c r="O114" s="39"/>
      <c r="Q114" s="39"/>
      <c r="R114" s="39"/>
      <c r="S114" s="39"/>
      <c r="U114" s="39"/>
      <c r="V114" s="39"/>
      <c r="W114" s="39"/>
      <c r="X114" s="39"/>
      <c r="Y114" s="39"/>
      <c r="Z114" s="39"/>
      <c r="AA114" s="39"/>
      <c r="AB114" s="39"/>
    </row>
    <row r="115">
      <c r="C115" s="39"/>
      <c r="J115" s="39"/>
      <c r="K115" s="39"/>
      <c r="O115" s="39"/>
      <c r="Q115" s="39"/>
      <c r="R115" s="39"/>
      <c r="S115" s="39"/>
      <c r="U115" s="39"/>
      <c r="V115" s="39"/>
      <c r="W115" s="39"/>
      <c r="X115" s="39"/>
      <c r="Y115" s="39"/>
      <c r="Z115" s="39"/>
      <c r="AA115" s="39"/>
      <c r="AB115" s="39"/>
    </row>
    <row r="116">
      <c r="C116" s="39"/>
      <c r="J116" s="39"/>
      <c r="K116" s="39"/>
      <c r="O116" s="39"/>
      <c r="Q116" s="39"/>
      <c r="R116" s="39"/>
      <c r="S116" s="39"/>
      <c r="U116" s="39"/>
      <c r="V116" s="39"/>
      <c r="W116" s="39"/>
      <c r="X116" s="39"/>
      <c r="Y116" s="39"/>
      <c r="Z116" s="39"/>
      <c r="AA116" s="39"/>
      <c r="AB116" s="39"/>
    </row>
    <row r="117">
      <c r="C117" s="39"/>
      <c r="J117" s="39"/>
      <c r="K117" s="39"/>
      <c r="O117" s="39"/>
      <c r="Q117" s="39"/>
      <c r="R117" s="39"/>
      <c r="S117" s="39"/>
      <c r="U117" s="39"/>
      <c r="V117" s="39"/>
      <c r="W117" s="39"/>
      <c r="X117" s="39"/>
      <c r="Y117" s="39"/>
      <c r="Z117" s="39"/>
      <c r="AA117" s="39"/>
      <c r="AB117" s="39"/>
    </row>
    <row r="118">
      <c r="C118" s="39"/>
      <c r="J118" s="39"/>
      <c r="K118" s="39"/>
      <c r="O118" s="39"/>
      <c r="Q118" s="39"/>
      <c r="R118" s="39"/>
      <c r="S118" s="39"/>
      <c r="U118" s="39"/>
      <c r="V118" s="39"/>
      <c r="W118" s="39"/>
      <c r="X118" s="39"/>
      <c r="Y118" s="39"/>
      <c r="Z118" s="39"/>
      <c r="AA118" s="39"/>
      <c r="AB118" s="39"/>
    </row>
    <row r="119">
      <c r="C119" s="39"/>
      <c r="J119" s="39"/>
      <c r="K119" s="39"/>
      <c r="O119" s="39"/>
      <c r="Q119" s="39"/>
      <c r="R119" s="39"/>
      <c r="S119" s="39"/>
      <c r="U119" s="39"/>
      <c r="V119" s="39"/>
      <c r="W119" s="39"/>
      <c r="X119" s="39"/>
      <c r="Y119" s="39"/>
      <c r="Z119" s="39"/>
      <c r="AA119" s="39"/>
      <c r="AB119" s="39"/>
    </row>
    <row r="120">
      <c r="C120" s="39"/>
      <c r="J120" s="39"/>
      <c r="K120" s="39"/>
      <c r="O120" s="39"/>
      <c r="Q120" s="39"/>
      <c r="R120" s="39"/>
      <c r="S120" s="39"/>
      <c r="U120" s="39"/>
      <c r="V120" s="39"/>
      <c r="W120" s="39"/>
      <c r="X120" s="39"/>
      <c r="Y120" s="39"/>
      <c r="Z120" s="39"/>
      <c r="AA120" s="39"/>
      <c r="AB120" s="39"/>
    </row>
    <row r="121">
      <c r="C121" s="39"/>
      <c r="J121" s="39"/>
      <c r="K121" s="39"/>
      <c r="O121" s="39"/>
      <c r="Q121" s="39"/>
      <c r="R121" s="39"/>
      <c r="S121" s="39"/>
      <c r="U121" s="39"/>
      <c r="V121" s="39"/>
      <c r="W121" s="39"/>
      <c r="X121" s="39"/>
      <c r="Y121" s="39"/>
      <c r="Z121" s="39"/>
      <c r="AA121" s="39"/>
      <c r="AB121" s="39"/>
    </row>
    <row r="122">
      <c r="C122" s="39"/>
      <c r="J122" s="39"/>
      <c r="K122" s="39"/>
      <c r="O122" s="39"/>
      <c r="Q122" s="39"/>
      <c r="R122" s="39"/>
      <c r="S122" s="39"/>
      <c r="U122" s="39"/>
      <c r="V122" s="39"/>
      <c r="W122" s="39"/>
      <c r="X122" s="39"/>
      <c r="Y122" s="39"/>
      <c r="Z122" s="39"/>
      <c r="AA122" s="39"/>
      <c r="AB122" s="39"/>
    </row>
    <row r="123">
      <c r="C123" s="39"/>
      <c r="J123" s="39"/>
      <c r="K123" s="39"/>
      <c r="O123" s="39"/>
      <c r="Q123" s="39"/>
      <c r="R123" s="39"/>
      <c r="S123" s="39"/>
      <c r="U123" s="39"/>
      <c r="V123" s="39"/>
      <c r="W123" s="39"/>
      <c r="X123" s="39"/>
      <c r="Y123" s="39"/>
      <c r="Z123" s="39"/>
      <c r="AA123" s="39"/>
      <c r="AB123" s="39"/>
    </row>
    <row r="124">
      <c r="C124" s="39"/>
      <c r="J124" s="39"/>
      <c r="K124" s="39"/>
      <c r="O124" s="39"/>
      <c r="Q124" s="39"/>
      <c r="R124" s="39"/>
      <c r="S124" s="39"/>
      <c r="U124" s="39"/>
      <c r="V124" s="39"/>
      <c r="W124" s="39"/>
      <c r="X124" s="39"/>
      <c r="Y124" s="39"/>
      <c r="Z124" s="39"/>
      <c r="AA124" s="39"/>
      <c r="AB124" s="39"/>
    </row>
    <row r="125">
      <c r="C125" s="39"/>
      <c r="J125" s="39"/>
      <c r="K125" s="39"/>
      <c r="O125" s="39"/>
      <c r="Q125" s="39"/>
      <c r="R125" s="39"/>
      <c r="S125" s="39"/>
      <c r="U125" s="39"/>
      <c r="V125" s="39"/>
      <c r="W125" s="39"/>
      <c r="X125" s="39"/>
      <c r="Y125" s="39"/>
      <c r="Z125" s="39"/>
      <c r="AA125" s="39"/>
      <c r="AB125" s="39"/>
    </row>
    <row r="126">
      <c r="C126" s="39"/>
      <c r="J126" s="39"/>
      <c r="K126" s="39"/>
      <c r="O126" s="39"/>
      <c r="Q126" s="39"/>
      <c r="R126" s="39"/>
      <c r="S126" s="39"/>
      <c r="U126" s="39"/>
      <c r="V126" s="39"/>
      <c r="W126" s="39"/>
      <c r="X126" s="39"/>
      <c r="Y126" s="39"/>
      <c r="Z126" s="39"/>
      <c r="AA126" s="39"/>
      <c r="AB126" s="39"/>
    </row>
    <row r="127">
      <c r="C127" s="39"/>
      <c r="J127" s="39"/>
      <c r="K127" s="39"/>
      <c r="O127" s="39"/>
      <c r="Q127" s="39"/>
      <c r="R127" s="39"/>
      <c r="S127" s="39"/>
      <c r="U127" s="39"/>
      <c r="V127" s="39"/>
      <c r="W127" s="39"/>
      <c r="X127" s="39"/>
      <c r="Y127" s="39"/>
      <c r="Z127" s="39"/>
      <c r="AA127" s="39"/>
      <c r="AB127" s="39"/>
    </row>
    <row r="128">
      <c r="C128" s="39"/>
      <c r="J128" s="39"/>
      <c r="K128" s="39"/>
      <c r="O128" s="39"/>
      <c r="Q128" s="39"/>
      <c r="R128" s="39"/>
      <c r="S128" s="39"/>
      <c r="U128" s="39"/>
      <c r="V128" s="39"/>
      <c r="W128" s="39"/>
      <c r="X128" s="39"/>
      <c r="Y128" s="39"/>
      <c r="Z128" s="39"/>
      <c r="AA128" s="39"/>
      <c r="AB128" s="39"/>
    </row>
    <row r="129">
      <c r="C129" s="39"/>
      <c r="J129" s="39"/>
      <c r="K129" s="39"/>
      <c r="O129" s="39"/>
      <c r="Q129" s="39"/>
      <c r="R129" s="39"/>
      <c r="S129" s="39"/>
      <c r="U129" s="39"/>
      <c r="V129" s="39"/>
      <c r="W129" s="39"/>
      <c r="X129" s="39"/>
      <c r="Y129" s="39"/>
      <c r="Z129" s="39"/>
      <c r="AA129" s="39"/>
      <c r="AB129" s="39"/>
    </row>
    <row r="130">
      <c r="C130" s="39"/>
      <c r="J130" s="39"/>
      <c r="K130" s="39"/>
      <c r="O130" s="39"/>
      <c r="Q130" s="39"/>
      <c r="R130" s="39"/>
      <c r="S130" s="39"/>
      <c r="U130" s="39"/>
      <c r="V130" s="39"/>
      <c r="W130" s="39"/>
      <c r="X130" s="39"/>
      <c r="Y130" s="39"/>
      <c r="Z130" s="39"/>
      <c r="AA130" s="39"/>
      <c r="AB130" s="39"/>
    </row>
    <row r="131">
      <c r="C131" s="39"/>
      <c r="J131" s="39"/>
      <c r="K131" s="39"/>
      <c r="O131" s="39"/>
      <c r="Q131" s="39"/>
      <c r="R131" s="39"/>
      <c r="S131" s="39"/>
      <c r="U131" s="39"/>
      <c r="V131" s="39"/>
      <c r="W131" s="39"/>
      <c r="X131" s="39"/>
      <c r="Y131" s="39"/>
      <c r="Z131" s="39"/>
      <c r="AA131" s="39"/>
      <c r="AB131" s="39"/>
    </row>
    <row r="132">
      <c r="C132" s="39"/>
      <c r="J132" s="39"/>
      <c r="K132" s="39"/>
      <c r="O132" s="39"/>
      <c r="Q132" s="39"/>
      <c r="R132" s="39"/>
      <c r="S132" s="39"/>
      <c r="U132" s="39"/>
      <c r="V132" s="39"/>
      <c r="W132" s="39"/>
      <c r="X132" s="39"/>
      <c r="Y132" s="39"/>
      <c r="Z132" s="39"/>
      <c r="AA132" s="39"/>
      <c r="AB132" s="39"/>
    </row>
    <row r="133">
      <c r="C133" s="39"/>
      <c r="J133" s="39"/>
      <c r="K133" s="39"/>
      <c r="O133" s="39"/>
      <c r="Q133" s="39"/>
      <c r="R133" s="39"/>
      <c r="S133" s="39"/>
      <c r="U133" s="39"/>
      <c r="V133" s="39"/>
      <c r="W133" s="39"/>
      <c r="X133" s="39"/>
      <c r="Y133" s="39"/>
      <c r="Z133" s="39"/>
      <c r="AA133" s="39"/>
      <c r="AB133" s="39"/>
    </row>
    <row r="134">
      <c r="C134" s="39"/>
      <c r="J134" s="39"/>
      <c r="K134" s="39"/>
      <c r="O134" s="39"/>
      <c r="Q134" s="39"/>
      <c r="R134" s="39"/>
      <c r="S134" s="39"/>
      <c r="U134" s="39"/>
      <c r="V134" s="39"/>
      <c r="W134" s="39"/>
      <c r="X134" s="39"/>
      <c r="Y134" s="39"/>
      <c r="Z134" s="39"/>
      <c r="AA134" s="39"/>
      <c r="AB134" s="39"/>
    </row>
    <row r="135">
      <c r="C135" s="39"/>
      <c r="J135" s="39"/>
      <c r="K135" s="39"/>
      <c r="O135" s="39"/>
      <c r="Q135" s="39"/>
      <c r="R135" s="39"/>
      <c r="S135" s="39"/>
      <c r="U135" s="39"/>
      <c r="V135" s="39"/>
      <c r="W135" s="39"/>
      <c r="X135" s="39"/>
      <c r="Y135" s="39"/>
      <c r="Z135" s="39"/>
      <c r="AA135" s="39"/>
      <c r="AB135" s="39"/>
    </row>
    <row r="136">
      <c r="C136" s="39"/>
      <c r="J136" s="39"/>
      <c r="K136" s="39"/>
      <c r="O136" s="39"/>
      <c r="Q136" s="39"/>
      <c r="R136" s="39"/>
      <c r="S136" s="39"/>
      <c r="U136" s="39"/>
      <c r="V136" s="39"/>
      <c r="W136" s="39"/>
      <c r="X136" s="39"/>
      <c r="Y136" s="39"/>
      <c r="Z136" s="39"/>
      <c r="AA136" s="39"/>
      <c r="AB136" s="39"/>
    </row>
    <row r="137">
      <c r="C137" s="39"/>
      <c r="J137" s="39"/>
      <c r="K137" s="39"/>
      <c r="O137" s="39"/>
      <c r="Q137" s="39"/>
      <c r="R137" s="39"/>
      <c r="S137" s="39"/>
      <c r="U137" s="39"/>
      <c r="V137" s="39"/>
      <c r="W137" s="39"/>
      <c r="X137" s="39"/>
      <c r="Y137" s="39"/>
      <c r="Z137" s="39"/>
      <c r="AA137" s="39"/>
      <c r="AB137" s="39"/>
    </row>
    <row r="138">
      <c r="C138" s="39"/>
      <c r="J138" s="39"/>
      <c r="K138" s="39"/>
      <c r="O138" s="39"/>
      <c r="Q138" s="39"/>
      <c r="R138" s="39"/>
      <c r="S138" s="39"/>
      <c r="U138" s="39"/>
      <c r="V138" s="39"/>
      <c r="W138" s="39"/>
      <c r="X138" s="39"/>
      <c r="Y138" s="39"/>
      <c r="Z138" s="39"/>
      <c r="AA138" s="39"/>
      <c r="AB138" s="39"/>
    </row>
    <row r="139">
      <c r="C139" s="39"/>
      <c r="J139" s="39"/>
      <c r="K139" s="39"/>
      <c r="O139" s="39"/>
      <c r="Q139" s="39"/>
      <c r="R139" s="39"/>
      <c r="S139" s="39"/>
      <c r="U139" s="39"/>
      <c r="V139" s="39"/>
      <c r="W139" s="39"/>
      <c r="X139" s="39"/>
      <c r="Y139" s="39"/>
      <c r="Z139" s="39"/>
      <c r="AA139" s="39"/>
      <c r="AB139" s="39"/>
    </row>
    <row r="140">
      <c r="C140" s="39"/>
      <c r="J140" s="39"/>
      <c r="K140" s="39"/>
      <c r="O140" s="39"/>
      <c r="Q140" s="39"/>
      <c r="R140" s="39"/>
      <c r="S140" s="39"/>
      <c r="U140" s="39"/>
      <c r="V140" s="39"/>
      <c r="W140" s="39"/>
      <c r="X140" s="39"/>
      <c r="Y140" s="39"/>
      <c r="Z140" s="39"/>
      <c r="AA140" s="39"/>
      <c r="AB140" s="39"/>
    </row>
    <row r="141">
      <c r="C141" s="39"/>
      <c r="J141" s="39"/>
      <c r="K141" s="39"/>
      <c r="O141" s="39"/>
      <c r="Q141" s="39"/>
      <c r="R141" s="39"/>
      <c r="S141" s="39"/>
      <c r="U141" s="39"/>
      <c r="V141" s="39"/>
      <c r="W141" s="39"/>
      <c r="X141" s="39"/>
      <c r="Y141" s="39"/>
      <c r="Z141" s="39"/>
      <c r="AA141" s="39"/>
      <c r="AB141" s="39"/>
    </row>
    <row r="142">
      <c r="C142" s="39"/>
      <c r="J142" s="39"/>
      <c r="K142" s="39"/>
      <c r="O142" s="39"/>
      <c r="Q142" s="39"/>
      <c r="R142" s="39"/>
      <c r="S142" s="39"/>
      <c r="U142" s="39"/>
      <c r="V142" s="39"/>
      <c r="W142" s="39"/>
      <c r="X142" s="39"/>
      <c r="Y142" s="39"/>
      <c r="Z142" s="39"/>
      <c r="AA142" s="39"/>
      <c r="AB142" s="39"/>
    </row>
    <row r="143">
      <c r="C143" s="39"/>
      <c r="J143" s="39"/>
      <c r="K143" s="39"/>
      <c r="O143" s="39"/>
      <c r="Q143" s="39"/>
      <c r="R143" s="39"/>
      <c r="S143" s="39"/>
      <c r="U143" s="39"/>
      <c r="V143" s="39"/>
      <c r="W143" s="39"/>
      <c r="X143" s="39"/>
      <c r="Y143" s="39"/>
      <c r="Z143" s="39"/>
      <c r="AA143" s="39"/>
      <c r="AB143" s="39"/>
    </row>
    <row r="144">
      <c r="C144" s="39"/>
      <c r="J144" s="39"/>
      <c r="K144" s="39"/>
      <c r="O144" s="39"/>
      <c r="Q144" s="39"/>
      <c r="R144" s="39"/>
      <c r="S144" s="39"/>
      <c r="U144" s="39"/>
      <c r="V144" s="39"/>
      <c r="W144" s="39"/>
      <c r="X144" s="39"/>
      <c r="Y144" s="39"/>
      <c r="Z144" s="39"/>
      <c r="AA144" s="39"/>
      <c r="AB144" s="39"/>
    </row>
    <row r="145">
      <c r="C145" s="39"/>
      <c r="J145" s="39"/>
      <c r="K145" s="39"/>
      <c r="O145" s="39"/>
      <c r="Q145" s="39"/>
      <c r="R145" s="39"/>
      <c r="S145" s="39"/>
      <c r="U145" s="39"/>
      <c r="V145" s="39"/>
      <c r="W145" s="39"/>
      <c r="X145" s="39"/>
      <c r="Y145" s="39"/>
      <c r="Z145" s="39"/>
      <c r="AA145" s="39"/>
      <c r="AB145" s="39"/>
    </row>
    <row r="146">
      <c r="C146" s="39"/>
      <c r="J146" s="39"/>
      <c r="K146" s="39"/>
      <c r="O146" s="39"/>
      <c r="Q146" s="39"/>
      <c r="R146" s="39"/>
      <c r="S146" s="39"/>
      <c r="U146" s="39"/>
      <c r="V146" s="39"/>
      <c r="W146" s="39"/>
      <c r="X146" s="39"/>
      <c r="Y146" s="39"/>
      <c r="Z146" s="39"/>
      <c r="AA146" s="39"/>
      <c r="AB146" s="39"/>
    </row>
    <row r="147">
      <c r="C147" s="39"/>
      <c r="J147" s="39"/>
      <c r="K147" s="39"/>
      <c r="O147" s="39"/>
      <c r="Q147" s="39"/>
      <c r="R147" s="39"/>
      <c r="S147" s="39"/>
      <c r="U147" s="39"/>
      <c r="V147" s="39"/>
      <c r="W147" s="39"/>
      <c r="X147" s="39"/>
      <c r="Y147" s="39"/>
      <c r="Z147" s="39"/>
      <c r="AA147" s="39"/>
      <c r="AB147" s="39"/>
    </row>
    <row r="148">
      <c r="C148" s="39"/>
      <c r="J148" s="39"/>
      <c r="K148" s="39"/>
      <c r="O148" s="39"/>
      <c r="Q148" s="39"/>
      <c r="R148" s="39"/>
      <c r="S148" s="39"/>
      <c r="U148" s="39"/>
      <c r="V148" s="39"/>
      <c r="W148" s="39"/>
      <c r="X148" s="39"/>
      <c r="Y148" s="39"/>
      <c r="Z148" s="39"/>
      <c r="AA148" s="39"/>
      <c r="AB148" s="39"/>
    </row>
    <row r="149">
      <c r="C149" s="39"/>
      <c r="J149" s="39"/>
      <c r="K149" s="39"/>
      <c r="O149" s="39"/>
      <c r="Q149" s="39"/>
      <c r="R149" s="39"/>
      <c r="S149" s="39"/>
      <c r="U149" s="39"/>
      <c r="V149" s="39"/>
      <c r="W149" s="39"/>
      <c r="X149" s="39"/>
      <c r="Y149" s="39"/>
      <c r="Z149" s="39"/>
      <c r="AA149" s="39"/>
      <c r="AB149" s="39"/>
    </row>
    <row r="150">
      <c r="C150" s="39"/>
      <c r="J150" s="39"/>
      <c r="K150" s="39"/>
      <c r="O150" s="39"/>
      <c r="Q150" s="39"/>
      <c r="R150" s="39"/>
      <c r="S150" s="39"/>
      <c r="U150" s="39"/>
      <c r="V150" s="39"/>
      <c r="W150" s="39"/>
      <c r="X150" s="39"/>
      <c r="Y150" s="39"/>
      <c r="Z150" s="39"/>
      <c r="AA150" s="39"/>
      <c r="AB150" s="39"/>
    </row>
    <row r="151">
      <c r="C151" s="39"/>
      <c r="J151" s="39"/>
      <c r="K151" s="39"/>
      <c r="O151" s="39"/>
      <c r="Q151" s="39"/>
      <c r="R151" s="39"/>
      <c r="S151" s="39"/>
      <c r="U151" s="39"/>
      <c r="V151" s="39"/>
      <c r="W151" s="39"/>
      <c r="X151" s="39"/>
      <c r="Y151" s="39"/>
      <c r="Z151" s="39"/>
      <c r="AA151" s="39"/>
      <c r="AB151" s="39"/>
    </row>
    <row r="152">
      <c r="C152" s="39"/>
      <c r="J152" s="39"/>
      <c r="K152" s="39"/>
      <c r="O152" s="39"/>
      <c r="Q152" s="39"/>
      <c r="R152" s="39"/>
      <c r="S152" s="39"/>
      <c r="U152" s="39"/>
      <c r="V152" s="39"/>
      <c r="W152" s="39"/>
      <c r="X152" s="39"/>
      <c r="Y152" s="39"/>
      <c r="Z152" s="39"/>
      <c r="AA152" s="39"/>
      <c r="AB152" s="39"/>
    </row>
    <row r="153">
      <c r="C153" s="39"/>
      <c r="J153" s="39"/>
      <c r="K153" s="39"/>
      <c r="O153" s="39"/>
      <c r="Q153" s="39"/>
      <c r="R153" s="39"/>
      <c r="S153" s="39"/>
      <c r="U153" s="39"/>
      <c r="V153" s="39"/>
      <c r="W153" s="39"/>
      <c r="X153" s="39"/>
      <c r="Y153" s="39"/>
      <c r="Z153" s="39"/>
      <c r="AA153" s="39"/>
      <c r="AB153" s="39"/>
    </row>
    <row r="154">
      <c r="C154" s="39"/>
      <c r="J154" s="39"/>
      <c r="K154" s="39"/>
      <c r="O154" s="39"/>
      <c r="Q154" s="39"/>
      <c r="R154" s="39"/>
      <c r="S154" s="39"/>
      <c r="U154" s="39"/>
      <c r="V154" s="39"/>
      <c r="W154" s="39"/>
      <c r="X154" s="39"/>
      <c r="Y154" s="39"/>
      <c r="Z154" s="39"/>
      <c r="AA154" s="39"/>
      <c r="AB154" s="39"/>
    </row>
    <row r="155">
      <c r="C155" s="39"/>
      <c r="J155" s="39"/>
      <c r="K155" s="39"/>
      <c r="O155" s="39"/>
      <c r="Q155" s="39"/>
      <c r="R155" s="39"/>
      <c r="S155" s="39"/>
      <c r="U155" s="39"/>
      <c r="V155" s="39"/>
      <c r="W155" s="39"/>
      <c r="X155" s="39"/>
      <c r="Y155" s="39"/>
      <c r="Z155" s="39"/>
      <c r="AA155" s="39"/>
      <c r="AB155" s="39"/>
    </row>
    <row r="156">
      <c r="C156" s="39"/>
      <c r="J156" s="39"/>
      <c r="K156" s="39"/>
      <c r="O156" s="39"/>
      <c r="Q156" s="39"/>
      <c r="R156" s="39"/>
      <c r="S156" s="39"/>
      <c r="U156" s="39"/>
      <c r="V156" s="39"/>
      <c r="W156" s="39"/>
      <c r="X156" s="39"/>
      <c r="Y156" s="39"/>
      <c r="Z156" s="39"/>
      <c r="AA156" s="39"/>
      <c r="AB156" s="39"/>
    </row>
    <row r="157">
      <c r="C157" s="39"/>
      <c r="J157" s="39"/>
      <c r="K157" s="39"/>
      <c r="O157" s="39"/>
      <c r="Q157" s="39"/>
      <c r="R157" s="39"/>
      <c r="S157" s="39"/>
      <c r="U157" s="39"/>
      <c r="V157" s="39"/>
      <c r="W157" s="39"/>
      <c r="X157" s="39"/>
      <c r="Y157" s="39"/>
      <c r="Z157" s="39"/>
      <c r="AA157" s="39"/>
      <c r="AB157" s="39"/>
    </row>
    <row r="158">
      <c r="C158" s="39"/>
      <c r="J158" s="39"/>
      <c r="K158" s="39"/>
      <c r="O158" s="39"/>
      <c r="Q158" s="39"/>
      <c r="R158" s="39"/>
      <c r="S158" s="39"/>
      <c r="U158" s="39"/>
      <c r="V158" s="39"/>
      <c r="W158" s="39"/>
      <c r="X158" s="39"/>
      <c r="Y158" s="39"/>
      <c r="Z158" s="39"/>
      <c r="AA158" s="39"/>
      <c r="AB158" s="39"/>
    </row>
    <row r="159">
      <c r="C159" s="39"/>
      <c r="J159" s="39"/>
      <c r="K159" s="39"/>
      <c r="O159" s="39"/>
      <c r="Q159" s="39"/>
      <c r="R159" s="39"/>
      <c r="S159" s="39"/>
      <c r="U159" s="39"/>
      <c r="V159" s="39"/>
      <c r="W159" s="39"/>
      <c r="X159" s="39"/>
      <c r="Y159" s="39"/>
      <c r="Z159" s="39"/>
      <c r="AA159" s="39"/>
      <c r="AB159" s="39"/>
    </row>
    <row r="160">
      <c r="C160" s="39"/>
      <c r="J160" s="39"/>
      <c r="K160" s="39"/>
      <c r="O160" s="39"/>
      <c r="Q160" s="39"/>
      <c r="R160" s="39"/>
      <c r="S160" s="39"/>
      <c r="U160" s="39"/>
      <c r="V160" s="39"/>
      <c r="W160" s="39"/>
      <c r="X160" s="39"/>
      <c r="Y160" s="39"/>
      <c r="Z160" s="39"/>
      <c r="AA160" s="39"/>
      <c r="AB160" s="39"/>
    </row>
    <row r="161">
      <c r="C161" s="39"/>
      <c r="J161" s="39"/>
      <c r="K161" s="39"/>
      <c r="O161" s="39"/>
      <c r="Q161" s="39"/>
      <c r="R161" s="39"/>
      <c r="S161" s="39"/>
      <c r="U161" s="39"/>
      <c r="V161" s="39"/>
      <c r="W161" s="39"/>
      <c r="X161" s="39"/>
      <c r="Y161" s="39"/>
      <c r="Z161" s="39"/>
      <c r="AA161" s="39"/>
      <c r="AB161" s="39"/>
    </row>
    <row r="162">
      <c r="C162" s="39"/>
      <c r="J162" s="39"/>
      <c r="K162" s="39"/>
      <c r="O162" s="39"/>
      <c r="Q162" s="39"/>
      <c r="R162" s="39"/>
      <c r="S162" s="39"/>
      <c r="U162" s="39"/>
      <c r="V162" s="39"/>
      <c r="W162" s="39"/>
      <c r="X162" s="39"/>
      <c r="Y162" s="39"/>
      <c r="Z162" s="39"/>
      <c r="AA162" s="39"/>
      <c r="AB162" s="39"/>
    </row>
    <row r="163">
      <c r="C163" s="39"/>
      <c r="J163" s="39"/>
      <c r="K163" s="39"/>
      <c r="O163" s="39"/>
      <c r="Q163" s="39"/>
      <c r="R163" s="39"/>
      <c r="S163" s="39"/>
      <c r="U163" s="39"/>
      <c r="V163" s="39"/>
      <c r="W163" s="39"/>
      <c r="X163" s="39"/>
      <c r="Y163" s="39"/>
      <c r="Z163" s="39"/>
      <c r="AA163" s="39"/>
      <c r="AB163" s="39"/>
    </row>
    <row r="164">
      <c r="C164" s="39"/>
      <c r="J164" s="39"/>
      <c r="K164" s="39"/>
      <c r="O164" s="39"/>
      <c r="Q164" s="39"/>
      <c r="R164" s="39"/>
      <c r="S164" s="39"/>
      <c r="U164" s="39"/>
      <c r="V164" s="39"/>
      <c r="W164" s="39"/>
      <c r="X164" s="39"/>
      <c r="Y164" s="39"/>
      <c r="Z164" s="39"/>
      <c r="AA164" s="39"/>
      <c r="AB164" s="39"/>
    </row>
    <row r="165">
      <c r="C165" s="39"/>
      <c r="J165" s="39"/>
      <c r="K165" s="39"/>
      <c r="O165" s="39"/>
      <c r="Q165" s="39"/>
      <c r="R165" s="39"/>
      <c r="S165" s="39"/>
      <c r="U165" s="39"/>
      <c r="V165" s="39"/>
      <c r="W165" s="39"/>
      <c r="X165" s="39"/>
      <c r="Y165" s="39"/>
      <c r="Z165" s="39"/>
      <c r="AA165" s="39"/>
      <c r="AB165" s="39"/>
    </row>
    <row r="166">
      <c r="C166" s="39"/>
      <c r="J166" s="39"/>
      <c r="K166" s="39"/>
      <c r="O166" s="39"/>
      <c r="Q166" s="39"/>
      <c r="R166" s="39"/>
      <c r="S166" s="39"/>
      <c r="U166" s="39"/>
      <c r="V166" s="39"/>
      <c r="W166" s="39"/>
      <c r="X166" s="39"/>
      <c r="Y166" s="39"/>
      <c r="Z166" s="39"/>
      <c r="AA166" s="39"/>
      <c r="AB166" s="39"/>
    </row>
    <row r="167">
      <c r="C167" s="39"/>
      <c r="J167" s="39"/>
      <c r="K167" s="39"/>
      <c r="O167" s="39"/>
      <c r="Q167" s="39"/>
      <c r="R167" s="39"/>
      <c r="S167" s="39"/>
      <c r="U167" s="39"/>
      <c r="V167" s="39"/>
      <c r="W167" s="39"/>
      <c r="X167" s="39"/>
      <c r="Y167" s="39"/>
      <c r="Z167" s="39"/>
      <c r="AA167" s="39"/>
      <c r="AB167" s="39"/>
    </row>
    <row r="168">
      <c r="C168" s="39"/>
      <c r="J168" s="39"/>
      <c r="K168" s="39"/>
      <c r="O168" s="39"/>
      <c r="Q168" s="39"/>
      <c r="R168" s="39"/>
      <c r="S168" s="39"/>
      <c r="U168" s="39"/>
      <c r="V168" s="39"/>
      <c r="W168" s="39"/>
      <c r="X168" s="39"/>
      <c r="Y168" s="39"/>
      <c r="Z168" s="39"/>
      <c r="AA168" s="39"/>
      <c r="AB168" s="39"/>
    </row>
    <row r="169">
      <c r="C169" s="39"/>
      <c r="J169" s="39"/>
      <c r="K169" s="39"/>
      <c r="O169" s="39"/>
      <c r="Q169" s="39"/>
      <c r="R169" s="39"/>
      <c r="S169" s="39"/>
      <c r="U169" s="39"/>
      <c r="V169" s="39"/>
      <c r="W169" s="39"/>
      <c r="X169" s="39"/>
      <c r="Y169" s="39"/>
      <c r="Z169" s="39"/>
      <c r="AA169" s="39"/>
      <c r="AB169" s="39"/>
    </row>
    <row r="170">
      <c r="C170" s="39"/>
      <c r="J170" s="39"/>
      <c r="K170" s="39"/>
      <c r="O170" s="39"/>
      <c r="Q170" s="39"/>
      <c r="R170" s="39"/>
      <c r="S170" s="39"/>
      <c r="U170" s="39"/>
      <c r="V170" s="39"/>
      <c r="W170" s="39"/>
      <c r="X170" s="39"/>
      <c r="Y170" s="39"/>
      <c r="Z170" s="39"/>
      <c r="AA170" s="39"/>
      <c r="AB170" s="39"/>
    </row>
    <row r="171">
      <c r="C171" s="39"/>
      <c r="J171" s="39"/>
      <c r="K171" s="39"/>
      <c r="O171" s="39"/>
      <c r="Q171" s="39"/>
      <c r="R171" s="39"/>
      <c r="S171" s="39"/>
      <c r="U171" s="39"/>
      <c r="V171" s="39"/>
      <c r="W171" s="39"/>
      <c r="X171" s="39"/>
      <c r="Y171" s="39"/>
      <c r="Z171" s="39"/>
      <c r="AA171" s="39"/>
      <c r="AB171" s="39"/>
    </row>
    <row r="172">
      <c r="C172" s="39"/>
      <c r="J172" s="39"/>
      <c r="K172" s="39"/>
      <c r="O172" s="39"/>
      <c r="Q172" s="39"/>
      <c r="R172" s="39"/>
      <c r="S172" s="39"/>
      <c r="U172" s="39"/>
      <c r="V172" s="39"/>
      <c r="W172" s="39"/>
      <c r="X172" s="39"/>
      <c r="Y172" s="39"/>
      <c r="Z172" s="39"/>
      <c r="AA172" s="39"/>
      <c r="AB172" s="39"/>
    </row>
    <row r="173">
      <c r="C173" s="39"/>
      <c r="J173" s="39"/>
      <c r="K173" s="39"/>
      <c r="O173" s="39"/>
      <c r="Q173" s="39"/>
      <c r="R173" s="39"/>
      <c r="S173" s="39"/>
      <c r="U173" s="39"/>
      <c r="V173" s="39"/>
      <c r="W173" s="39"/>
      <c r="X173" s="39"/>
      <c r="Y173" s="39"/>
      <c r="Z173" s="39"/>
      <c r="AA173" s="39"/>
      <c r="AB173" s="39"/>
    </row>
    <row r="174">
      <c r="C174" s="39"/>
      <c r="J174" s="39"/>
      <c r="K174" s="39"/>
      <c r="O174" s="39"/>
      <c r="Q174" s="39"/>
      <c r="R174" s="39"/>
      <c r="S174" s="39"/>
      <c r="U174" s="39"/>
      <c r="V174" s="39"/>
      <c r="W174" s="39"/>
      <c r="X174" s="39"/>
      <c r="Y174" s="39"/>
      <c r="Z174" s="39"/>
      <c r="AA174" s="39"/>
      <c r="AB174" s="39"/>
    </row>
    <row r="175">
      <c r="C175" s="39"/>
      <c r="J175" s="39"/>
      <c r="K175" s="39"/>
      <c r="O175" s="39"/>
      <c r="Q175" s="39"/>
      <c r="R175" s="39"/>
      <c r="S175" s="39"/>
      <c r="U175" s="39"/>
      <c r="V175" s="39"/>
      <c r="W175" s="39"/>
      <c r="X175" s="39"/>
      <c r="Y175" s="39"/>
      <c r="Z175" s="39"/>
      <c r="AA175" s="39"/>
      <c r="AB175" s="39"/>
    </row>
    <row r="176">
      <c r="C176" s="39"/>
      <c r="J176" s="39"/>
      <c r="K176" s="39"/>
      <c r="O176" s="39"/>
      <c r="Q176" s="39"/>
      <c r="R176" s="39"/>
      <c r="S176" s="39"/>
      <c r="U176" s="39"/>
      <c r="V176" s="39"/>
      <c r="W176" s="39"/>
      <c r="X176" s="39"/>
      <c r="Y176" s="39"/>
      <c r="Z176" s="39"/>
      <c r="AA176" s="39"/>
      <c r="AB176" s="39"/>
    </row>
    <row r="177">
      <c r="C177" s="39"/>
      <c r="J177" s="39"/>
      <c r="K177" s="39"/>
      <c r="O177" s="39"/>
      <c r="Q177" s="39"/>
      <c r="R177" s="39"/>
      <c r="S177" s="39"/>
      <c r="U177" s="39"/>
      <c r="V177" s="39"/>
      <c r="W177" s="39"/>
      <c r="X177" s="39"/>
      <c r="Y177" s="39"/>
      <c r="Z177" s="39"/>
      <c r="AA177" s="39"/>
      <c r="AB177" s="39"/>
    </row>
    <row r="178">
      <c r="C178" s="39"/>
      <c r="J178" s="39"/>
      <c r="K178" s="39"/>
      <c r="O178" s="39"/>
      <c r="Q178" s="39"/>
      <c r="R178" s="39"/>
      <c r="S178" s="39"/>
      <c r="U178" s="39"/>
      <c r="V178" s="39"/>
      <c r="W178" s="39"/>
      <c r="X178" s="39"/>
      <c r="Y178" s="39"/>
      <c r="Z178" s="39"/>
      <c r="AA178" s="39"/>
      <c r="AB178" s="39"/>
    </row>
    <row r="179">
      <c r="C179" s="39"/>
      <c r="J179" s="39"/>
      <c r="K179" s="39"/>
      <c r="O179" s="39"/>
      <c r="Q179" s="39"/>
      <c r="R179" s="39"/>
      <c r="S179" s="39"/>
      <c r="U179" s="39"/>
      <c r="V179" s="39"/>
      <c r="W179" s="39"/>
      <c r="X179" s="39"/>
      <c r="Y179" s="39"/>
      <c r="Z179" s="39"/>
      <c r="AA179" s="39"/>
      <c r="AB179" s="39"/>
    </row>
    <row r="180">
      <c r="C180" s="39"/>
      <c r="J180" s="39"/>
      <c r="K180" s="39"/>
      <c r="O180" s="39"/>
      <c r="Q180" s="39"/>
      <c r="R180" s="39"/>
      <c r="S180" s="39"/>
      <c r="U180" s="39"/>
      <c r="V180" s="39"/>
      <c r="W180" s="39"/>
      <c r="X180" s="39"/>
      <c r="Y180" s="39"/>
      <c r="Z180" s="39"/>
      <c r="AA180" s="39"/>
      <c r="AB180" s="39"/>
    </row>
    <row r="181">
      <c r="C181" s="39"/>
      <c r="J181" s="39"/>
      <c r="K181" s="39"/>
      <c r="O181" s="39"/>
      <c r="Q181" s="39"/>
      <c r="R181" s="39"/>
      <c r="S181" s="39"/>
      <c r="U181" s="39"/>
      <c r="V181" s="39"/>
      <c r="W181" s="39"/>
      <c r="X181" s="39"/>
      <c r="Y181" s="39"/>
      <c r="Z181" s="39"/>
      <c r="AA181" s="39"/>
      <c r="AB181" s="39"/>
    </row>
    <row r="182">
      <c r="C182" s="39"/>
      <c r="J182" s="39"/>
      <c r="K182" s="39"/>
      <c r="O182" s="39"/>
      <c r="Q182" s="39"/>
      <c r="R182" s="39"/>
      <c r="S182" s="39"/>
      <c r="U182" s="39"/>
      <c r="V182" s="39"/>
      <c r="W182" s="39"/>
      <c r="X182" s="39"/>
      <c r="Y182" s="39"/>
      <c r="Z182" s="39"/>
      <c r="AA182" s="39"/>
      <c r="AB182" s="39"/>
    </row>
    <row r="183">
      <c r="C183" s="39"/>
      <c r="J183" s="39"/>
      <c r="K183" s="39"/>
      <c r="O183" s="39"/>
      <c r="Q183" s="39"/>
      <c r="R183" s="39"/>
      <c r="S183" s="39"/>
      <c r="U183" s="39"/>
      <c r="V183" s="39"/>
      <c r="W183" s="39"/>
      <c r="X183" s="39"/>
      <c r="Y183" s="39"/>
      <c r="Z183" s="39"/>
      <c r="AA183" s="39"/>
      <c r="AB183" s="39"/>
    </row>
    <row r="184">
      <c r="C184" s="39"/>
      <c r="J184" s="39"/>
      <c r="K184" s="39"/>
      <c r="O184" s="39"/>
      <c r="Q184" s="39"/>
      <c r="R184" s="39"/>
      <c r="S184" s="39"/>
      <c r="U184" s="39"/>
      <c r="V184" s="39"/>
      <c r="W184" s="39"/>
      <c r="X184" s="39"/>
      <c r="Y184" s="39"/>
      <c r="Z184" s="39"/>
      <c r="AA184" s="39"/>
      <c r="AB184" s="39"/>
    </row>
    <row r="185">
      <c r="C185" s="39"/>
      <c r="J185" s="39"/>
      <c r="K185" s="39"/>
      <c r="O185" s="39"/>
      <c r="Q185" s="39"/>
      <c r="R185" s="39"/>
      <c r="S185" s="39"/>
      <c r="U185" s="39"/>
      <c r="V185" s="39"/>
      <c r="W185" s="39"/>
      <c r="X185" s="39"/>
      <c r="Y185" s="39"/>
      <c r="Z185" s="39"/>
      <c r="AA185" s="39"/>
      <c r="AB185" s="39"/>
    </row>
    <row r="186">
      <c r="C186" s="39"/>
      <c r="J186" s="39"/>
      <c r="K186" s="39"/>
      <c r="O186" s="39"/>
      <c r="Q186" s="39"/>
      <c r="R186" s="39"/>
      <c r="S186" s="39"/>
      <c r="U186" s="39"/>
      <c r="V186" s="39"/>
      <c r="W186" s="39"/>
      <c r="X186" s="39"/>
      <c r="Y186" s="39"/>
      <c r="Z186" s="39"/>
      <c r="AA186" s="39"/>
      <c r="AB186" s="39"/>
    </row>
    <row r="187">
      <c r="C187" s="39"/>
      <c r="J187" s="39"/>
      <c r="K187" s="39"/>
      <c r="O187" s="39"/>
      <c r="Q187" s="39"/>
      <c r="R187" s="39"/>
      <c r="S187" s="39"/>
      <c r="U187" s="39"/>
      <c r="V187" s="39"/>
      <c r="W187" s="39"/>
      <c r="X187" s="39"/>
      <c r="Y187" s="39"/>
      <c r="Z187" s="39"/>
      <c r="AA187" s="39"/>
      <c r="AB187" s="39"/>
    </row>
    <row r="188">
      <c r="C188" s="39"/>
      <c r="J188" s="39"/>
      <c r="K188" s="39"/>
      <c r="O188" s="39"/>
      <c r="Q188" s="39"/>
      <c r="R188" s="39"/>
      <c r="S188" s="39"/>
      <c r="U188" s="39"/>
      <c r="V188" s="39"/>
      <c r="W188" s="39"/>
      <c r="X188" s="39"/>
      <c r="Y188" s="39"/>
      <c r="Z188" s="39"/>
      <c r="AA188" s="39"/>
      <c r="AB188" s="39"/>
    </row>
    <row r="189">
      <c r="C189" s="39"/>
      <c r="J189" s="39"/>
      <c r="K189" s="39"/>
      <c r="O189" s="39"/>
      <c r="Q189" s="39"/>
      <c r="R189" s="39"/>
      <c r="S189" s="39"/>
      <c r="U189" s="39"/>
      <c r="V189" s="39"/>
      <c r="W189" s="39"/>
      <c r="X189" s="39"/>
      <c r="Y189" s="39"/>
      <c r="Z189" s="39"/>
      <c r="AA189" s="39"/>
      <c r="AB189" s="39"/>
    </row>
    <row r="190">
      <c r="C190" s="39"/>
      <c r="J190" s="39"/>
      <c r="K190" s="39"/>
      <c r="O190" s="39"/>
      <c r="Q190" s="39"/>
      <c r="R190" s="39"/>
      <c r="S190" s="39"/>
      <c r="U190" s="39"/>
      <c r="V190" s="39"/>
      <c r="W190" s="39"/>
      <c r="X190" s="39"/>
      <c r="Y190" s="39"/>
      <c r="Z190" s="39"/>
      <c r="AA190" s="39"/>
      <c r="AB190" s="39"/>
    </row>
    <row r="191">
      <c r="C191" s="39"/>
      <c r="J191" s="39"/>
      <c r="K191" s="39"/>
      <c r="O191" s="39"/>
      <c r="Q191" s="39"/>
      <c r="R191" s="39"/>
      <c r="S191" s="39"/>
      <c r="U191" s="39"/>
      <c r="V191" s="39"/>
      <c r="W191" s="39"/>
      <c r="X191" s="39"/>
      <c r="Y191" s="39"/>
      <c r="Z191" s="39"/>
      <c r="AA191" s="39"/>
      <c r="AB191" s="39"/>
    </row>
    <row r="192">
      <c r="C192" s="39"/>
      <c r="J192" s="39"/>
      <c r="K192" s="39"/>
      <c r="O192" s="39"/>
      <c r="Q192" s="39"/>
      <c r="R192" s="39"/>
      <c r="S192" s="39"/>
      <c r="U192" s="39"/>
      <c r="V192" s="39"/>
      <c r="W192" s="39"/>
      <c r="X192" s="39"/>
      <c r="Y192" s="39"/>
      <c r="Z192" s="39"/>
      <c r="AA192" s="39"/>
      <c r="AB192" s="39"/>
    </row>
    <row r="193">
      <c r="C193" s="39"/>
      <c r="J193" s="39"/>
      <c r="K193" s="39"/>
      <c r="O193" s="39"/>
      <c r="Q193" s="39"/>
      <c r="R193" s="39"/>
      <c r="S193" s="39"/>
      <c r="U193" s="39"/>
      <c r="V193" s="39"/>
      <c r="W193" s="39"/>
      <c r="X193" s="39"/>
      <c r="Y193" s="39"/>
      <c r="Z193" s="39"/>
      <c r="AA193" s="39"/>
      <c r="AB193" s="39"/>
    </row>
    <row r="194">
      <c r="C194" s="39"/>
      <c r="J194" s="39"/>
      <c r="K194" s="39"/>
      <c r="O194" s="39"/>
      <c r="Q194" s="39"/>
      <c r="R194" s="39"/>
      <c r="S194" s="39"/>
      <c r="U194" s="39"/>
      <c r="V194" s="39"/>
      <c r="W194" s="39"/>
      <c r="X194" s="39"/>
      <c r="Y194" s="39"/>
      <c r="Z194" s="39"/>
      <c r="AA194" s="39"/>
      <c r="AB194" s="39"/>
    </row>
    <row r="195">
      <c r="C195" s="39"/>
      <c r="J195" s="39"/>
      <c r="K195" s="39"/>
      <c r="O195" s="39"/>
      <c r="Q195" s="39"/>
      <c r="R195" s="39"/>
      <c r="S195" s="39"/>
      <c r="U195" s="39"/>
      <c r="V195" s="39"/>
      <c r="W195" s="39"/>
      <c r="X195" s="39"/>
      <c r="Y195" s="39"/>
      <c r="Z195" s="39"/>
      <c r="AA195" s="39"/>
      <c r="AB195" s="39"/>
    </row>
    <row r="196">
      <c r="C196" s="39"/>
      <c r="J196" s="39"/>
      <c r="K196" s="39"/>
      <c r="O196" s="39"/>
      <c r="Q196" s="39"/>
      <c r="R196" s="39"/>
      <c r="S196" s="39"/>
      <c r="U196" s="39"/>
      <c r="V196" s="39"/>
      <c r="W196" s="39"/>
      <c r="X196" s="39"/>
      <c r="Y196" s="39"/>
      <c r="Z196" s="39"/>
      <c r="AA196" s="39"/>
      <c r="AB196" s="39"/>
    </row>
    <row r="197">
      <c r="C197" s="39"/>
      <c r="J197" s="39"/>
      <c r="K197" s="39"/>
      <c r="O197" s="39"/>
      <c r="Q197" s="39"/>
      <c r="R197" s="39"/>
      <c r="S197" s="39"/>
      <c r="U197" s="39"/>
      <c r="V197" s="39"/>
      <c r="W197" s="39"/>
      <c r="X197" s="39"/>
      <c r="Y197" s="39"/>
      <c r="Z197" s="39"/>
      <c r="AA197" s="39"/>
      <c r="AB197" s="39"/>
    </row>
    <row r="198">
      <c r="C198" s="39"/>
      <c r="J198" s="39"/>
      <c r="K198" s="39"/>
      <c r="O198" s="39"/>
      <c r="Q198" s="39"/>
      <c r="R198" s="39"/>
      <c r="S198" s="39"/>
      <c r="U198" s="39"/>
      <c r="V198" s="39"/>
      <c r="W198" s="39"/>
      <c r="X198" s="39"/>
      <c r="Y198" s="39"/>
      <c r="Z198" s="39"/>
      <c r="AA198" s="39"/>
      <c r="AB198" s="39"/>
    </row>
    <row r="199">
      <c r="C199" s="39"/>
      <c r="J199" s="39"/>
      <c r="K199" s="39"/>
      <c r="O199" s="39"/>
      <c r="Q199" s="39"/>
      <c r="R199" s="39"/>
      <c r="S199" s="39"/>
      <c r="U199" s="39"/>
      <c r="V199" s="39"/>
      <c r="W199" s="39"/>
      <c r="X199" s="39"/>
      <c r="Y199" s="39"/>
      <c r="Z199" s="39"/>
      <c r="AA199" s="39"/>
      <c r="AB199" s="39"/>
    </row>
    <row r="200">
      <c r="C200" s="39"/>
      <c r="J200" s="39"/>
      <c r="K200" s="39"/>
      <c r="O200" s="39"/>
      <c r="Q200" s="39"/>
      <c r="R200" s="39"/>
      <c r="S200" s="39"/>
      <c r="U200" s="39"/>
      <c r="V200" s="39"/>
      <c r="W200" s="39"/>
      <c r="X200" s="39"/>
      <c r="Y200" s="39"/>
      <c r="Z200" s="39"/>
      <c r="AA200" s="39"/>
      <c r="AB200" s="39"/>
    </row>
    <row r="201">
      <c r="C201" s="39"/>
      <c r="J201" s="39"/>
      <c r="K201" s="39"/>
      <c r="O201" s="39"/>
      <c r="Q201" s="39"/>
      <c r="R201" s="39"/>
      <c r="S201" s="39"/>
      <c r="U201" s="39"/>
      <c r="V201" s="39"/>
      <c r="W201" s="39"/>
      <c r="X201" s="39"/>
      <c r="Y201" s="39"/>
      <c r="Z201" s="39"/>
      <c r="AA201" s="39"/>
      <c r="AB201" s="39"/>
    </row>
    <row r="202">
      <c r="C202" s="39"/>
      <c r="J202" s="39"/>
      <c r="K202" s="39"/>
      <c r="O202" s="39"/>
      <c r="Q202" s="39"/>
      <c r="R202" s="39"/>
      <c r="S202" s="39"/>
      <c r="U202" s="39"/>
      <c r="V202" s="39"/>
      <c r="W202" s="39"/>
      <c r="X202" s="39"/>
      <c r="Y202" s="39"/>
      <c r="Z202" s="39"/>
      <c r="AA202" s="39"/>
      <c r="AB202" s="39"/>
    </row>
    <row r="203">
      <c r="C203" s="39"/>
      <c r="J203" s="39"/>
      <c r="K203" s="39"/>
      <c r="O203" s="39"/>
      <c r="Q203" s="39"/>
      <c r="R203" s="39"/>
      <c r="S203" s="39"/>
      <c r="U203" s="39"/>
      <c r="V203" s="39"/>
      <c r="W203" s="39"/>
      <c r="X203" s="39"/>
      <c r="Y203" s="39"/>
      <c r="Z203" s="39"/>
      <c r="AA203" s="39"/>
      <c r="AB203" s="39"/>
    </row>
    <row r="204">
      <c r="C204" s="39"/>
      <c r="J204" s="39"/>
      <c r="K204" s="39"/>
      <c r="O204" s="39"/>
      <c r="Q204" s="39"/>
      <c r="R204" s="39"/>
      <c r="S204" s="39"/>
      <c r="U204" s="39"/>
      <c r="V204" s="39"/>
      <c r="W204" s="39"/>
      <c r="X204" s="39"/>
      <c r="Y204" s="39"/>
      <c r="Z204" s="39"/>
      <c r="AA204" s="39"/>
      <c r="AB204" s="39"/>
    </row>
    <row r="205">
      <c r="C205" s="39"/>
      <c r="J205" s="39"/>
      <c r="K205" s="39"/>
      <c r="O205" s="39"/>
      <c r="Q205" s="39"/>
      <c r="R205" s="39"/>
      <c r="S205" s="39"/>
      <c r="U205" s="39"/>
      <c r="V205" s="39"/>
      <c r="W205" s="39"/>
      <c r="X205" s="39"/>
      <c r="Y205" s="39"/>
      <c r="Z205" s="39"/>
      <c r="AA205" s="39"/>
      <c r="AB205" s="39"/>
    </row>
    <row r="206">
      <c r="C206" s="39"/>
      <c r="J206" s="39"/>
      <c r="K206" s="39"/>
      <c r="O206" s="39"/>
      <c r="Q206" s="39"/>
      <c r="R206" s="39"/>
      <c r="S206" s="39"/>
      <c r="U206" s="39"/>
      <c r="V206" s="39"/>
      <c r="W206" s="39"/>
      <c r="X206" s="39"/>
      <c r="Y206" s="39"/>
      <c r="Z206" s="39"/>
      <c r="AA206" s="39"/>
      <c r="AB206" s="39"/>
    </row>
    <row r="207">
      <c r="C207" s="39"/>
      <c r="J207" s="39"/>
      <c r="K207" s="39"/>
      <c r="O207" s="39"/>
      <c r="Q207" s="39"/>
      <c r="R207" s="39"/>
      <c r="S207" s="39"/>
      <c r="U207" s="39"/>
      <c r="V207" s="39"/>
      <c r="W207" s="39"/>
      <c r="X207" s="39"/>
      <c r="Y207" s="39"/>
      <c r="Z207" s="39"/>
      <c r="AA207" s="39"/>
      <c r="AB207" s="39"/>
    </row>
    <row r="208">
      <c r="C208" s="39"/>
      <c r="J208" s="39"/>
      <c r="K208" s="39"/>
      <c r="O208" s="39"/>
      <c r="Q208" s="39"/>
      <c r="R208" s="39"/>
      <c r="S208" s="39"/>
      <c r="U208" s="39"/>
      <c r="V208" s="39"/>
      <c r="W208" s="39"/>
      <c r="X208" s="39"/>
      <c r="Y208" s="39"/>
      <c r="Z208" s="39"/>
      <c r="AA208" s="39"/>
      <c r="AB208" s="39"/>
    </row>
    <row r="209">
      <c r="C209" s="39"/>
      <c r="J209" s="39"/>
      <c r="K209" s="39"/>
      <c r="O209" s="39"/>
      <c r="Q209" s="39"/>
      <c r="R209" s="39"/>
      <c r="S209" s="39"/>
      <c r="U209" s="39"/>
      <c r="V209" s="39"/>
      <c r="W209" s="39"/>
      <c r="X209" s="39"/>
      <c r="Y209" s="39"/>
      <c r="Z209" s="39"/>
      <c r="AA209" s="39"/>
      <c r="AB209" s="39"/>
    </row>
    <row r="210">
      <c r="C210" s="39"/>
      <c r="J210" s="39"/>
      <c r="K210" s="39"/>
      <c r="O210" s="39"/>
      <c r="Q210" s="39"/>
      <c r="R210" s="39"/>
      <c r="S210" s="39"/>
      <c r="U210" s="39"/>
      <c r="V210" s="39"/>
      <c r="W210" s="39"/>
      <c r="X210" s="39"/>
      <c r="Y210" s="39"/>
      <c r="Z210" s="39"/>
      <c r="AA210" s="39"/>
      <c r="AB210" s="39"/>
    </row>
    <row r="211">
      <c r="C211" s="39"/>
      <c r="J211" s="39"/>
      <c r="K211" s="39"/>
      <c r="O211" s="39"/>
      <c r="Q211" s="39"/>
      <c r="R211" s="39"/>
      <c r="S211" s="39"/>
      <c r="U211" s="39"/>
      <c r="V211" s="39"/>
      <c r="W211" s="39"/>
      <c r="X211" s="39"/>
      <c r="Y211" s="39"/>
      <c r="Z211" s="39"/>
      <c r="AA211" s="39"/>
      <c r="AB211" s="39"/>
    </row>
    <row r="212">
      <c r="C212" s="39"/>
      <c r="J212" s="39"/>
      <c r="K212" s="39"/>
      <c r="O212" s="39"/>
      <c r="Q212" s="39"/>
      <c r="R212" s="39"/>
      <c r="S212" s="39"/>
      <c r="U212" s="39"/>
      <c r="V212" s="39"/>
      <c r="W212" s="39"/>
      <c r="X212" s="39"/>
      <c r="Y212" s="39"/>
      <c r="Z212" s="39"/>
      <c r="AA212" s="39"/>
      <c r="AB212" s="39"/>
    </row>
    <row r="213">
      <c r="C213" s="39"/>
      <c r="J213" s="39"/>
      <c r="K213" s="39"/>
      <c r="O213" s="39"/>
      <c r="Q213" s="39"/>
      <c r="R213" s="39"/>
      <c r="S213" s="39"/>
      <c r="U213" s="39"/>
      <c r="V213" s="39"/>
      <c r="W213" s="39"/>
      <c r="X213" s="39"/>
      <c r="Y213" s="39"/>
      <c r="Z213" s="39"/>
      <c r="AA213" s="39"/>
      <c r="AB213" s="39"/>
    </row>
    <row r="214">
      <c r="C214" s="39"/>
      <c r="J214" s="39"/>
      <c r="K214" s="39"/>
      <c r="O214" s="39"/>
      <c r="Q214" s="39"/>
      <c r="R214" s="39"/>
      <c r="S214" s="39"/>
      <c r="U214" s="39"/>
      <c r="V214" s="39"/>
      <c r="W214" s="39"/>
      <c r="X214" s="39"/>
      <c r="Y214" s="39"/>
      <c r="Z214" s="39"/>
      <c r="AA214" s="39"/>
      <c r="AB214" s="39"/>
    </row>
    <row r="215">
      <c r="C215" s="39"/>
      <c r="J215" s="39"/>
      <c r="K215" s="39"/>
      <c r="O215" s="39"/>
      <c r="Q215" s="39"/>
      <c r="R215" s="39"/>
      <c r="S215" s="39"/>
      <c r="U215" s="39"/>
      <c r="V215" s="39"/>
      <c r="W215" s="39"/>
      <c r="X215" s="39"/>
      <c r="Y215" s="39"/>
      <c r="Z215" s="39"/>
      <c r="AA215" s="39"/>
      <c r="AB215" s="39"/>
    </row>
    <row r="216">
      <c r="C216" s="39"/>
      <c r="J216" s="39"/>
      <c r="K216" s="39"/>
      <c r="O216" s="39"/>
      <c r="Q216" s="39"/>
      <c r="R216" s="39"/>
      <c r="S216" s="39"/>
      <c r="U216" s="39"/>
      <c r="V216" s="39"/>
      <c r="W216" s="39"/>
      <c r="X216" s="39"/>
      <c r="Y216" s="39"/>
      <c r="Z216" s="39"/>
      <c r="AA216" s="39"/>
      <c r="AB216" s="39"/>
    </row>
    <row r="217">
      <c r="C217" s="39"/>
      <c r="J217" s="39"/>
      <c r="K217" s="39"/>
      <c r="O217" s="39"/>
      <c r="Q217" s="39"/>
      <c r="R217" s="39"/>
      <c r="S217" s="39"/>
      <c r="U217" s="39"/>
      <c r="V217" s="39"/>
      <c r="W217" s="39"/>
      <c r="X217" s="39"/>
      <c r="Y217" s="39"/>
      <c r="Z217" s="39"/>
      <c r="AA217" s="39"/>
      <c r="AB217" s="39"/>
    </row>
    <row r="218">
      <c r="C218" s="39"/>
      <c r="J218" s="39"/>
      <c r="K218" s="39"/>
      <c r="O218" s="39"/>
      <c r="Q218" s="39"/>
      <c r="R218" s="39"/>
      <c r="S218" s="39"/>
      <c r="U218" s="39"/>
      <c r="V218" s="39"/>
      <c r="W218" s="39"/>
      <c r="X218" s="39"/>
      <c r="Y218" s="39"/>
      <c r="Z218" s="39"/>
      <c r="AA218" s="39"/>
      <c r="AB218" s="39"/>
    </row>
    <row r="219">
      <c r="C219" s="39"/>
      <c r="J219" s="39"/>
      <c r="K219" s="39"/>
      <c r="O219" s="39"/>
      <c r="Q219" s="39"/>
      <c r="R219" s="39"/>
      <c r="S219" s="39"/>
      <c r="U219" s="39"/>
      <c r="V219" s="39"/>
      <c r="W219" s="39"/>
      <c r="X219" s="39"/>
      <c r="Y219" s="39"/>
      <c r="Z219" s="39"/>
      <c r="AA219" s="39"/>
      <c r="AB219" s="39"/>
    </row>
    <row r="220">
      <c r="C220" s="39"/>
      <c r="J220" s="39"/>
      <c r="K220" s="39"/>
      <c r="O220" s="39"/>
      <c r="Q220" s="39"/>
      <c r="R220" s="39"/>
      <c r="S220" s="39"/>
      <c r="U220" s="39"/>
      <c r="V220" s="39"/>
      <c r="W220" s="39"/>
      <c r="X220" s="39"/>
      <c r="Y220" s="39"/>
      <c r="Z220" s="39"/>
      <c r="AA220" s="39"/>
      <c r="AB220" s="39"/>
    </row>
    <row r="221">
      <c r="C221" s="39"/>
      <c r="J221" s="39"/>
      <c r="K221" s="39"/>
      <c r="O221" s="39"/>
      <c r="Q221" s="39"/>
      <c r="R221" s="39"/>
      <c r="S221" s="39"/>
      <c r="U221" s="39"/>
      <c r="V221" s="39"/>
      <c r="W221" s="39"/>
      <c r="X221" s="39"/>
      <c r="Y221" s="39"/>
      <c r="Z221" s="39"/>
      <c r="AA221" s="39"/>
      <c r="AB221" s="39"/>
    </row>
    <row r="222">
      <c r="C222" s="39"/>
      <c r="J222" s="39"/>
      <c r="K222" s="39"/>
      <c r="O222" s="39"/>
      <c r="Q222" s="39"/>
      <c r="R222" s="39"/>
      <c r="S222" s="39"/>
      <c r="U222" s="39"/>
      <c r="V222" s="39"/>
      <c r="W222" s="39"/>
      <c r="X222" s="39"/>
      <c r="Y222" s="39"/>
      <c r="Z222" s="39"/>
      <c r="AA222" s="39"/>
      <c r="AB222" s="39"/>
    </row>
    <row r="223">
      <c r="C223" s="39"/>
      <c r="J223" s="39"/>
      <c r="K223" s="39"/>
      <c r="O223" s="39"/>
      <c r="Q223" s="39"/>
      <c r="R223" s="39"/>
      <c r="S223" s="39"/>
      <c r="U223" s="39"/>
      <c r="V223" s="39"/>
      <c r="W223" s="39"/>
      <c r="X223" s="39"/>
      <c r="Y223" s="39"/>
      <c r="Z223" s="39"/>
      <c r="AA223" s="39"/>
      <c r="AB223" s="39"/>
    </row>
    <row r="224">
      <c r="C224" s="39"/>
      <c r="J224" s="39"/>
      <c r="K224" s="39"/>
      <c r="O224" s="39"/>
      <c r="Q224" s="39"/>
      <c r="R224" s="39"/>
      <c r="S224" s="39"/>
      <c r="U224" s="39"/>
      <c r="V224" s="39"/>
      <c r="W224" s="39"/>
      <c r="X224" s="39"/>
      <c r="Y224" s="39"/>
      <c r="Z224" s="39"/>
      <c r="AA224" s="39"/>
      <c r="AB224" s="39"/>
    </row>
    <row r="225">
      <c r="C225" s="39"/>
      <c r="J225" s="39"/>
      <c r="K225" s="39"/>
      <c r="O225" s="39"/>
      <c r="Q225" s="39"/>
      <c r="R225" s="39"/>
      <c r="S225" s="39"/>
      <c r="U225" s="39"/>
      <c r="V225" s="39"/>
      <c r="W225" s="39"/>
      <c r="X225" s="39"/>
      <c r="Y225" s="39"/>
      <c r="Z225" s="39"/>
      <c r="AA225" s="39"/>
      <c r="AB225" s="39"/>
    </row>
    <row r="226">
      <c r="C226" s="39"/>
      <c r="J226" s="39"/>
      <c r="K226" s="39"/>
      <c r="O226" s="39"/>
      <c r="Q226" s="39"/>
      <c r="R226" s="39"/>
      <c r="S226" s="39"/>
      <c r="U226" s="39"/>
      <c r="V226" s="39"/>
      <c r="W226" s="39"/>
      <c r="X226" s="39"/>
      <c r="Y226" s="39"/>
      <c r="Z226" s="39"/>
      <c r="AA226" s="39"/>
      <c r="AB226" s="39"/>
    </row>
    <row r="227">
      <c r="C227" s="39"/>
      <c r="J227" s="39"/>
      <c r="K227" s="39"/>
      <c r="O227" s="39"/>
      <c r="Q227" s="39"/>
      <c r="R227" s="39"/>
      <c r="S227" s="39"/>
      <c r="U227" s="39"/>
      <c r="V227" s="39"/>
      <c r="W227" s="39"/>
      <c r="X227" s="39"/>
      <c r="Y227" s="39"/>
      <c r="Z227" s="39"/>
      <c r="AA227" s="39"/>
      <c r="AB227" s="39"/>
    </row>
    <row r="228">
      <c r="C228" s="39"/>
      <c r="J228" s="39"/>
      <c r="K228" s="39"/>
      <c r="O228" s="39"/>
      <c r="Q228" s="39"/>
      <c r="R228" s="39"/>
      <c r="S228" s="39"/>
      <c r="U228" s="39"/>
      <c r="V228" s="39"/>
      <c r="W228" s="39"/>
      <c r="X228" s="39"/>
      <c r="Y228" s="39"/>
      <c r="Z228" s="39"/>
      <c r="AA228" s="39"/>
      <c r="AB228" s="39"/>
    </row>
    <row r="229">
      <c r="C229" s="39"/>
      <c r="J229" s="39"/>
      <c r="K229" s="39"/>
      <c r="O229" s="39"/>
      <c r="Q229" s="39"/>
      <c r="R229" s="39"/>
      <c r="S229" s="39"/>
      <c r="U229" s="39"/>
      <c r="V229" s="39"/>
      <c r="W229" s="39"/>
      <c r="X229" s="39"/>
      <c r="Y229" s="39"/>
      <c r="Z229" s="39"/>
      <c r="AA229" s="39"/>
      <c r="AB229" s="39"/>
    </row>
    <row r="230">
      <c r="C230" s="39"/>
      <c r="J230" s="39"/>
      <c r="K230" s="39"/>
      <c r="O230" s="39"/>
      <c r="Q230" s="39"/>
      <c r="R230" s="39"/>
      <c r="S230" s="39"/>
      <c r="U230" s="39"/>
      <c r="V230" s="39"/>
      <c r="W230" s="39"/>
      <c r="X230" s="39"/>
      <c r="Y230" s="39"/>
      <c r="Z230" s="39"/>
      <c r="AA230" s="39"/>
      <c r="AB230" s="39"/>
    </row>
    <row r="231">
      <c r="C231" s="39"/>
      <c r="J231" s="39"/>
      <c r="K231" s="39"/>
      <c r="O231" s="39"/>
      <c r="Q231" s="39"/>
      <c r="R231" s="39"/>
      <c r="S231" s="39"/>
      <c r="U231" s="39"/>
      <c r="V231" s="39"/>
      <c r="W231" s="39"/>
      <c r="X231" s="39"/>
      <c r="Y231" s="39"/>
      <c r="Z231" s="39"/>
      <c r="AA231" s="39"/>
      <c r="AB231" s="39"/>
    </row>
    <row r="232">
      <c r="C232" s="39"/>
      <c r="J232" s="39"/>
      <c r="K232" s="39"/>
      <c r="O232" s="39"/>
      <c r="Q232" s="39"/>
      <c r="R232" s="39"/>
      <c r="S232" s="39"/>
      <c r="U232" s="39"/>
      <c r="V232" s="39"/>
      <c r="W232" s="39"/>
      <c r="X232" s="39"/>
      <c r="Y232" s="39"/>
      <c r="Z232" s="39"/>
      <c r="AA232" s="39"/>
      <c r="AB232" s="39"/>
    </row>
    <row r="233">
      <c r="C233" s="39"/>
      <c r="J233" s="39"/>
      <c r="K233" s="39"/>
      <c r="O233" s="39"/>
      <c r="Q233" s="39"/>
      <c r="R233" s="39"/>
      <c r="S233" s="39"/>
      <c r="U233" s="39"/>
      <c r="V233" s="39"/>
      <c r="W233" s="39"/>
      <c r="X233" s="39"/>
      <c r="Y233" s="39"/>
      <c r="Z233" s="39"/>
      <c r="AA233" s="39"/>
      <c r="AB233" s="39"/>
    </row>
    <row r="234">
      <c r="C234" s="39"/>
      <c r="J234" s="39"/>
      <c r="K234" s="39"/>
      <c r="O234" s="39"/>
      <c r="Q234" s="39"/>
      <c r="R234" s="39"/>
      <c r="S234" s="39"/>
      <c r="U234" s="39"/>
      <c r="V234" s="39"/>
      <c r="W234" s="39"/>
      <c r="X234" s="39"/>
      <c r="Y234" s="39"/>
      <c r="Z234" s="39"/>
      <c r="AA234" s="39"/>
      <c r="AB234" s="39"/>
    </row>
    <row r="235">
      <c r="C235" s="39"/>
      <c r="J235" s="39"/>
      <c r="K235" s="39"/>
      <c r="O235" s="39"/>
      <c r="Q235" s="39"/>
      <c r="R235" s="39"/>
      <c r="S235" s="39"/>
      <c r="U235" s="39"/>
      <c r="V235" s="39"/>
      <c r="W235" s="39"/>
      <c r="X235" s="39"/>
      <c r="Y235" s="39"/>
      <c r="Z235" s="39"/>
      <c r="AA235" s="39"/>
      <c r="AB235" s="39"/>
    </row>
    <row r="236">
      <c r="C236" s="39"/>
      <c r="J236" s="39"/>
      <c r="K236" s="39"/>
      <c r="O236" s="39"/>
      <c r="Q236" s="39"/>
      <c r="R236" s="39"/>
      <c r="S236" s="39"/>
      <c r="U236" s="39"/>
      <c r="V236" s="39"/>
      <c r="W236" s="39"/>
      <c r="X236" s="39"/>
      <c r="Y236" s="39"/>
      <c r="Z236" s="39"/>
      <c r="AA236" s="39"/>
      <c r="AB236" s="39"/>
    </row>
    <row r="237">
      <c r="C237" s="39"/>
      <c r="J237" s="39"/>
      <c r="K237" s="39"/>
      <c r="O237" s="39"/>
      <c r="Q237" s="39"/>
      <c r="R237" s="39"/>
      <c r="S237" s="39"/>
      <c r="U237" s="39"/>
      <c r="V237" s="39"/>
      <c r="W237" s="39"/>
      <c r="X237" s="39"/>
      <c r="Y237" s="39"/>
      <c r="Z237" s="39"/>
      <c r="AA237" s="39"/>
      <c r="AB237" s="39"/>
    </row>
    <row r="238">
      <c r="C238" s="39"/>
      <c r="J238" s="39"/>
      <c r="K238" s="39"/>
      <c r="O238" s="39"/>
      <c r="Q238" s="39"/>
      <c r="R238" s="39"/>
      <c r="S238" s="39"/>
      <c r="U238" s="39"/>
      <c r="V238" s="39"/>
      <c r="W238" s="39"/>
      <c r="X238" s="39"/>
      <c r="Y238" s="39"/>
      <c r="Z238" s="39"/>
      <c r="AA238" s="39"/>
      <c r="AB238" s="39"/>
    </row>
    <row r="239">
      <c r="C239" s="39"/>
      <c r="J239" s="39"/>
      <c r="K239" s="39"/>
      <c r="O239" s="39"/>
      <c r="Q239" s="39"/>
      <c r="R239" s="39"/>
      <c r="S239" s="39"/>
      <c r="U239" s="39"/>
      <c r="V239" s="39"/>
      <c r="W239" s="39"/>
      <c r="X239" s="39"/>
      <c r="Y239" s="39"/>
      <c r="Z239" s="39"/>
      <c r="AA239" s="39"/>
      <c r="AB239" s="39"/>
    </row>
    <row r="240">
      <c r="C240" s="39"/>
      <c r="J240" s="39"/>
      <c r="K240" s="39"/>
      <c r="O240" s="39"/>
      <c r="Q240" s="39"/>
      <c r="R240" s="39"/>
      <c r="S240" s="39"/>
      <c r="U240" s="39"/>
      <c r="V240" s="39"/>
      <c r="W240" s="39"/>
      <c r="X240" s="39"/>
      <c r="Y240" s="39"/>
      <c r="Z240" s="39"/>
      <c r="AA240" s="39"/>
      <c r="AB240" s="39"/>
    </row>
    <row r="241">
      <c r="C241" s="39"/>
      <c r="J241" s="39"/>
      <c r="K241" s="39"/>
      <c r="O241" s="39"/>
      <c r="Q241" s="39"/>
      <c r="R241" s="39"/>
      <c r="S241" s="39"/>
      <c r="U241" s="39"/>
      <c r="V241" s="39"/>
      <c r="W241" s="39"/>
      <c r="X241" s="39"/>
      <c r="Y241" s="39"/>
      <c r="Z241" s="39"/>
      <c r="AA241" s="39"/>
      <c r="AB241" s="39"/>
    </row>
    <row r="242">
      <c r="C242" s="39"/>
      <c r="J242" s="39"/>
      <c r="K242" s="39"/>
      <c r="O242" s="39"/>
      <c r="Q242" s="39"/>
      <c r="R242" s="39"/>
      <c r="S242" s="39"/>
      <c r="U242" s="39"/>
      <c r="V242" s="39"/>
      <c r="W242" s="39"/>
      <c r="X242" s="39"/>
      <c r="Y242" s="39"/>
      <c r="Z242" s="39"/>
      <c r="AA242" s="39"/>
      <c r="AB242" s="39"/>
    </row>
    <row r="243">
      <c r="C243" s="39"/>
      <c r="J243" s="39"/>
      <c r="K243" s="39"/>
      <c r="O243" s="39"/>
      <c r="Q243" s="39"/>
      <c r="R243" s="39"/>
      <c r="S243" s="39"/>
      <c r="U243" s="39"/>
      <c r="V243" s="39"/>
      <c r="W243" s="39"/>
      <c r="X243" s="39"/>
      <c r="Y243" s="39"/>
      <c r="Z243" s="39"/>
      <c r="AA243" s="39"/>
      <c r="AB243" s="39"/>
    </row>
    <row r="244">
      <c r="C244" s="39"/>
      <c r="J244" s="39"/>
      <c r="K244" s="39"/>
      <c r="O244" s="39"/>
      <c r="Q244" s="39"/>
      <c r="R244" s="39"/>
      <c r="S244" s="39"/>
      <c r="U244" s="39"/>
      <c r="V244" s="39"/>
      <c r="W244" s="39"/>
      <c r="X244" s="39"/>
      <c r="Y244" s="39"/>
      <c r="Z244" s="39"/>
      <c r="AA244" s="39"/>
      <c r="AB244" s="39"/>
    </row>
    <row r="245">
      <c r="C245" s="39"/>
      <c r="J245" s="39"/>
      <c r="K245" s="39"/>
      <c r="O245" s="39"/>
      <c r="Q245" s="39"/>
      <c r="R245" s="39"/>
      <c r="S245" s="39"/>
      <c r="U245" s="39"/>
      <c r="V245" s="39"/>
      <c r="W245" s="39"/>
      <c r="X245" s="39"/>
      <c r="Y245" s="39"/>
      <c r="Z245" s="39"/>
      <c r="AA245" s="39"/>
      <c r="AB245" s="39"/>
    </row>
    <row r="246">
      <c r="C246" s="39"/>
      <c r="J246" s="39"/>
      <c r="K246" s="39"/>
      <c r="O246" s="39"/>
      <c r="Q246" s="39"/>
      <c r="R246" s="39"/>
      <c r="S246" s="39"/>
      <c r="U246" s="39"/>
      <c r="V246" s="39"/>
      <c r="W246" s="39"/>
      <c r="X246" s="39"/>
      <c r="Y246" s="39"/>
      <c r="Z246" s="39"/>
      <c r="AA246" s="39"/>
      <c r="AB246" s="39"/>
    </row>
    <row r="247">
      <c r="C247" s="39"/>
      <c r="J247" s="39"/>
      <c r="K247" s="39"/>
      <c r="O247" s="39"/>
      <c r="Q247" s="39"/>
      <c r="R247" s="39"/>
      <c r="S247" s="39"/>
      <c r="U247" s="39"/>
      <c r="V247" s="39"/>
      <c r="W247" s="39"/>
      <c r="X247" s="39"/>
      <c r="Y247" s="39"/>
      <c r="Z247" s="39"/>
      <c r="AA247" s="39"/>
      <c r="AB247" s="39"/>
    </row>
    <row r="248">
      <c r="C248" s="39"/>
      <c r="J248" s="39"/>
      <c r="K248" s="39"/>
      <c r="O248" s="39"/>
      <c r="Q248" s="39"/>
      <c r="R248" s="39"/>
      <c r="S248" s="39"/>
      <c r="U248" s="39"/>
      <c r="V248" s="39"/>
      <c r="W248" s="39"/>
      <c r="X248" s="39"/>
      <c r="Y248" s="39"/>
      <c r="Z248" s="39"/>
      <c r="AA248" s="39"/>
      <c r="AB248" s="39"/>
    </row>
    <row r="249">
      <c r="C249" s="39"/>
      <c r="J249" s="39"/>
      <c r="K249" s="39"/>
      <c r="O249" s="39"/>
      <c r="Q249" s="39"/>
      <c r="R249" s="39"/>
      <c r="S249" s="39"/>
      <c r="U249" s="39"/>
      <c r="V249" s="39"/>
      <c r="W249" s="39"/>
      <c r="X249" s="39"/>
      <c r="Y249" s="39"/>
      <c r="Z249" s="39"/>
      <c r="AA249" s="39"/>
      <c r="AB249" s="39"/>
    </row>
    <row r="250">
      <c r="C250" s="39"/>
      <c r="J250" s="39"/>
      <c r="K250" s="39"/>
      <c r="O250" s="39"/>
      <c r="Q250" s="39"/>
      <c r="R250" s="39"/>
      <c r="S250" s="39"/>
      <c r="U250" s="39"/>
      <c r="V250" s="39"/>
      <c r="W250" s="39"/>
      <c r="X250" s="39"/>
      <c r="Y250" s="39"/>
      <c r="Z250" s="39"/>
      <c r="AA250" s="39"/>
      <c r="AB250" s="39"/>
    </row>
    <row r="251">
      <c r="C251" s="39"/>
      <c r="J251" s="39"/>
      <c r="K251" s="39"/>
      <c r="O251" s="39"/>
      <c r="Q251" s="39"/>
      <c r="R251" s="39"/>
      <c r="S251" s="39"/>
      <c r="U251" s="39"/>
      <c r="V251" s="39"/>
      <c r="W251" s="39"/>
      <c r="X251" s="39"/>
      <c r="Y251" s="39"/>
      <c r="Z251" s="39"/>
      <c r="AA251" s="39"/>
      <c r="AB251" s="39"/>
    </row>
    <row r="252">
      <c r="C252" s="39"/>
      <c r="J252" s="39"/>
      <c r="K252" s="39"/>
      <c r="O252" s="39"/>
      <c r="Q252" s="39"/>
      <c r="R252" s="39"/>
      <c r="S252" s="39"/>
      <c r="U252" s="39"/>
      <c r="V252" s="39"/>
      <c r="W252" s="39"/>
      <c r="X252" s="39"/>
      <c r="Y252" s="39"/>
      <c r="Z252" s="39"/>
      <c r="AA252" s="39"/>
      <c r="AB252" s="39"/>
    </row>
    <row r="253">
      <c r="C253" s="39"/>
      <c r="J253" s="39"/>
      <c r="K253" s="39"/>
      <c r="O253" s="39"/>
      <c r="Q253" s="39"/>
      <c r="R253" s="39"/>
      <c r="S253" s="39"/>
      <c r="U253" s="39"/>
      <c r="V253" s="39"/>
      <c r="W253" s="39"/>
      <c r="X253" s="39"/>
      <c r="Y253" s="39"/>
      <c r="Z253" s="39"/>
      <c r="AA253" s="39"/>
      <c r="AB253" s="39"/>
    </row>
    <row r="254">
      <c r="C254" s="39"/>
      <c r="J254" s="39"/>
      <c r="K254" s="39"/>
      <c r="O254" s="39"/>
      <c r="Q254" s="39"/>
      <c r="R254" s="39"/>
      <c r="S254" s="39"/>
      <c r="U254" s="39"/>
      <c r="V254" s="39"/>
      <c r="W254" s="39"/>
      <c r="X254" s="39"/>
      <c r="Y254" s="39"/>
      <c r="Z254" s="39"/>
      <c r="AA254" s="39"/>
      <c r="AB254" s="39"/>
    </row>
    <row r="255">
      <c r="C255" s="39"/>
      <c r="J255" s="39"/>
      <c r="K255" s="39"/>
      <c r="O255" s="39"/>
      <c r="Q255" s="39"/>
      <c r="R255" s="39"/>
      <c r="S255" s="39"/>
      <c r="U255" s="39"/>
      <c r="V255" s="39"/>
      <c r="W255" s="39"/>
      <c r="X255" s="39"/>
      <c r="Y255" s="39"/>
      <c r="Z255" s="39"/>
      <c r="AA255" s="39"/>
      <c r="AB255" s="39"/>
    </row>
    <row r="256">
      <c r="C256" s="39"/>
      <c r="J256" s="39"/>
      <c r="K256" s="39"/>
      <c r="O256" s="39"/>
      <c r="Q256" s="39"/>
      <c r="R256" s="39"/>
      <c r="S256" s="39"/>
      <c r="U256" s="39"/>
      <c r="V256" s="39"/>
      <c r="W256" s="39"/>
      <c r="X256" s="39"/>
      <c r="Y256" s="39"/>
      <c r="Z256" s="39"/>
      <c r="AA256" s="39"/>
      <c r="AB256" s="39"/>
    </row>
    <row r="257">
      <c r="C257" s="39"/>
      <c r="J257" s="39"/>
      <c r="K257" s="39"/>
      <c r="O257" s="39"/>
      <c r="Q257" s="39"/>
      <c r="R257" s="39"/>
      <c r="S257" s="39"/>
      <c r="U257" s="39"/>
      <c r="V257" s="39"/>
      <c r="W257" s="39"/>
      <c r="X257" s="39"/>
      <c r="Y257" s="39"/>
      <c r="Z257" s="39"/>
      <c r="AA257" s="39"/>
      <c r="AB257" s="39"/>
    </row>
    <row r="258">
      <c r="C258" s="39"/>
      <c r="J258" s="39"/>
      <c r="K258" s="39"/>
      <c r="O258" s="39"/>
      <c r="Q258" s="39"/>
      <c r="R258" s="39"/>
      <c r="S258" s="39"/>
      <c r="U258" s="39"/>
      <c r="V258" s="39"/>
      <c r="W258" s="39"/>
      <c r="X258" s="39"/>
      <c r="Y258" s="39"/>
      <c r="Z258" s="39"/>
      <c r="AA258" s="39"/>
      <c r="AB258" s="39"/>
    </row>
    <row r="259">
      <c r="C259" s="39"/>
      <c r="J259" s="39"/>
      <c r="K259" s="39"/>
      <c r="O259" s="39"/>
      <c r="Q259" s="39"/>
      <c r="R259" s="39"/>
      <c r="S259" s="39"/>
      <c r="U259" s="39"/>
      <c r="V259" s="39"/>
      <c r="W259" s="39"/>
      <c r="X259" s="39"/>
      <c r="Y259" s="39"/>
      <c r="Z259" s="39"/>
      <c r="AA259" s="39"/>
      <c r="AB259" s="39"/>
    </row>
    <row r="260">
      <c r="C260" s="39"/>
      <c r="J260" s="39"/>
      <c r="K260" s="39"/>
      <c r="O260" s="39"/>
      <c r="Q260" s="39"/>
      <c r="R260" s="39"/>
      <c r="S260" s="39"/>
      <c r="U260" s="39"/>
      <c r="V260" s="39"/>
      <c r="W260" s="39"/>
      <c r="X260" s="39"/>
      <c r="Y260" s="39"/>
      <c r="Z260" s="39"/>
      <c r="AA260" s="39"/>
      <c r="AB260" s="39"/>
    </row>
    <row r="261">
      <c r="C261" s="39"/>
      <c r="J261" s="39"/>
      <c r="K261" s="39"/>
      <c r="O261" s="39"/>
      <c r="Q261" s="39"/>
      <c r="R261" s="39"/>
      <c r="S261" s="39"/>
      <c r="U261" s="39"/>
      <c r="V261" s="39"/>
      <c r="W261" s="39"/>
      <c r="X261" s="39"/>
      <c r="Y261" s="39"/>
      <c r="Z261" s="39"/>
      <c r="AA261" s="39"/>
      <c r="AB261" s="39"/>
    </row>
    <row r="262">
      <c r="C262" s="39"/>
      <c r="J262" s="39"/>
      <c r="K262" s="39"/>
      <c r="O262" s="39"/>
      <c r="Q262" s="39"/>
      <c r="R262" s="39"/>
      <c r="S262" s="39"/>
      <c r="U262" s="39"/>
      <c r="V262" s="39"/>
      <c r="W262" s="39"/>
      <c r="X262" s="39"/>
      <c r="Y262" s="39"/>
      <c r="Z262" s="39"/>
      <c r="AA262" s="39"/>
      <c r="AB262" s="39"/>
    </row>
    <row r="263">
      <c r="C263" s="39"/>
      <c r="J263" s="39"/>
      <c r="K263" s="39"/>
      <c r="O263" s="39"/>
      <c r="Q263" s="39"/>
      <c r="R263" s="39"/>
      <c r="S263" s="39"/>
      <c r="U263" s="39"/>
      <c r="V263" s="39"/>
      <c r="W263" s="39"/>
      <c r="X263" s="39"/>
      <c r="Y263" s="39"/>
      <c r="Z263" s="39"/>
      <c r="AA263" s="39"/>
      <c r="AB263" s="39"/>
    </row>
    <row r="264">
      <c r="C264" s="39"/>
      <c r="J264" s="39"/>
      <c r="K264" s="39"/>
      <c r="O264" s="39"/>
      <c r="Q264" s="39"/>
      <c r="R264" s="39"/>
      <c r="S264" s="39"/>
      <c r="U264" s="39"/>
      <c r="V264" s="39"/>
      <c r="W264" s="39"/>
      <c r="X264" s="39"/>
      <c r="Y264" s="39"/>
      <c r="Z264" s="39"/>
      <c r="AA264" s="39"/>
      <c r="AB264" s="39"/>
    </row>
    <row r="265">
      <c r="C265" s="39"/>
      <c r="J265" s="39"/>
      <c r="K265" s="39"/>
      <c r="O265" s="39"/>
      <c r="Q265" s="39"/>
      <c r="R265" s="39"/>
      <c r="S265" s="39"/>
      <c r="U265" s="39"/>
      <c r="V265" s="39"/>
      <c r="W265" s="39"/>
      <c r="X265" s="39"/>
      <c r="Y265" s="39"/>
      <c r="Z265" s="39"/>
      <c r="AA265" s="39"/>
      <c r="AB265" s="39"/>
    </row>
    <row r="266">
      <c r="C266" s="39"/>
      <c r="J266" s="39"/>
      <c r="K266" s="39"/>
      <c r="O266" s="39"/>
      <c r="Q266" s="39"/>
      <c r="R266" s="39"/>
      <c r="S266" s="39"/>
      <c r="U266" s="39"/>
      <c r="V266" s="39"/>
      <c r="W266" s="39"/>
      <c r="X266" s="39"/>
      <c r="Y266" s="39"/>
      <c r="Z266" s="39"/>
      <c r="AA266" s="39"/>
      <c r="AB266" s="39"/>
    </row>
    <row r="267">
      <c r="C267" s="39"/>
      <c r="J267" s="39"/>
      <c r="K267" s="39"/>
      <c r="O267" s="39"/>
      <c r="Q267" s="39"/>
      <c r="R267" s="39"/>
      <c r="S267" s="39"/>
      <c r="U267" s="39"/>
      <c r="V267" s="39"/>
      <c r="W267" s="39"/>
      <c r="X267" s="39"/>
      <c r="Y267" s="39"/>
      <c r="Z267" s="39"/>
      <c r="AA267" s="39"/>
      <c r="AB267" s="39"/>
    </row>
    <row r="268">
      <c r="C268" s="39"/>
      <c r="J268" s="39"/>
      <c r="K268" s="39"/>
      <c r="O268" s="39"/>
      <c r="Q268" s="39"/>
      <c r="R268" s="39"/>
      <c r="S268" s="39"/>
      <c r="U268" s="39"/>
      <c r="V268" s="39"/>
      <c r="W268" s="39"/>
      <c r="X268" s="39"/>
      <c r="Y268" s="39"/>
      <c r="Z268" s="39"/>
      <c r="AA268" s="39"/>
      <c r="AB268" s="39"/>
    </row>
    <row r="269">
      <c r="C269" s="39"/>
      <c r="J269" s="39"/>
      <c r="K269" s="39"/>
      <c r="O269" s="39"/>
      <c r="Q269" s="39"/>
      <c r="R269" s="39"/>
      <c r="S269" s="39"/>
      <c r="U269" s="39"/>
      <c r="V269" s="39"/>
      <c r="W269" s="39"/>
      <c r="X269" s="39"/>
      <c r="Y269" s="39"/>
      <c r="Z269" s="39"/>
      <c r="AA269" s="39"/>
      <c r="AB269" s="39"/>
    </row>
    <row r="270">
      <c r="C270" s="39"/>
      <c r="J270" s="39"/>
      <c r="K270" s="39"/>
      <c r="O270" s="39"/>
      <c r="Q270" s="39"/>
      <c r="R270" s="39"/>
      <c r="S270" s="39"/>
      <c r="U270" s="39"/>
      <c r="V270" s="39"/>
      <c r="W270" s="39"/>
      <c r="X270" s="39"/>
      <c r="Y270" s="39"/>
      <c r="Z270" s="39"/>
      <c r="AA270" s="39"/>
      <c r="AB270" s="39"/>
    </row>
    <row r="271">
      <c r="C271" s="39"/>
      <c r="J271" s="39"/>
      <c r="K271" s="39"/>
      <c r="O271" s="39"/>
      <c r="Q271" s="39"/>
      <c r="R271" s="39"/>
      <c r="S271" s="39"/>
      <c r="U271" s="39"/>
      <c r="V271" s="39"/>
      <c r="W271" s="39"/>
      <c r="X271" s="39"/>
      <c r="Y271" s="39"/>
      <c r="Z271" s="39"/>
      <c r="AA271" s="39"/>
      <c r="AB271" s="39"/>
    </row>
    <row r="272">
      <c r="C272" s="39"/>
      <c r="J272" s="39"/>
      <c r="K272" s="39"/>
      <c r="O272" s="39"/>
      <c r="Q272" s="39"/>
      <c r="R272" s="39"/>
      <c r="S272" s="39"/>
      <c r="U272" s="39"/>
      <c r="V272" s="39"/>
      <c r="W272" s="39"/>
      <c r="X272" s="39"/>
      <c r="Y272" s="39"/>
      <c r="Z272" s="39"/>
      <c r="AA272" s="39"/>
      <c r="AB272" s="39"/>
    </row>
    <row r="273">
      <c r="C273" s="39"/>
      <c r="J273" s="39"/>
      <c r="K273" s="39"/>
      <c r="O273" s="39"/>
      <c r="Q273" s="39"/>
      <c r="R273" s="39"/>
      <c r="S273" s="39"/>
      <c r="U273" s="39"/>
      <c r="V273" s="39"/>
      <c r="W273" s="39"/>
      <c r="X273" s="39"/>
      <c r="Y273" s="39"/>
      <c r="Z273" s="39"/>
      <c r="AA273" s="39"/>
      <c r="AB273" s="39"/>
    </row>
    <row r="274">
      <c r="C274" s="39"/>
      <c r="J274" s="39"/>
      <c r="K274" s="39"/>
      <c r="O274" s="39"/>
      <c r="Q274" s="39"/>
      <c r="R274" s="39"/>
      <c r="S274" s="39"/>
      <c r="U274" s="39"/>
      <c r="V274" s="39"/>
      <c r="W274" s="39"/>
      <c r="X274" s="39"/>
      <c r="Y274" s="39"/>
      <c r="Z274" s="39"/>
      <c r="AA274" s="39"/>
      <c r="AB274" s="39"/>
    </row>
    <row r="275">
      <c r="C275" s="39"/>
      <c r="J275" s="39"/>
      <c r="K275" s="39"/>
      <c r="O275" s="39"/>
      <c r="Q275" s="39"/>
      <c r="R275" s="39"/>
      <c r="S275" s="39"/>
      <c r="U275" s="39"/>
      <c r="V275" s="39"/>
      <c r="W275" s="39"/>
      <c r="X275" s="39"/>
      <c r="Y275" s="39"/>
      <c r="Z275" s="39"/>
      <c r="AA275" s="39"/>
      <c r="AB275" s="39"/>
    </row>
    <row r="276">
      <c r="C276" s="39"/>
      <c r="J276" s="39"/>
      <c r="K276" s="39"/>
      <c r="O276" s="39"/>
      <c r="Q276" s="39"/>
      <c r="R276" s="39"/>
      <c r="S276" s="39"/>
      <c r="U276" s="39"/>
      <c r="V276" s="39"/>
      <c r="W276" s="39"/>
      <c r="X276" s="39"/>
      <c r="Y276" s="39"/>
      <c r="Z276" s="39"/>
      <c r="AA276" s="39"/>
      <c r="AB276" s="39"/>
    </row>
    <row r="277">
      <c r="C277" s="39"/>
      <c r="J277" s="39"/>
      <c r="K277" s="39"/>
      <c r="O277" s="39"/>
      <c r="Q277" s="39"/>
      <c r="R277" s="39"/>
      <c r="S277" s="39"/>
      <c r="U277" s="39"/>
      <c r="V277" s="39"/>
      <c r="W277" s="39"/>
      <c r="X277" s="39"/>
      <c r="Y277" s="39"/>
      <c r="Z277" s="39"/>
      <c r="AA277" s="39"/>
      <c r="AB277" s="39"/>
    </row>
    <row r="278">
      <c r="C278" s="39"/>
      <c r="J278" s="39"/>
      <c r="K278" s="39"/>
      <c r="O278" s="39"/>
      <c r="Q278" s="39"/>
      <c r="R278" s="39"/>
      <c r="S278" s="39"/>
      <c r="U278" s="39"/>
      <c r="V278" s="39"/>
      <c r="W278" s="39"/>
      <c r="X278" s="39"/>
      <c r="Y278" s="39"/>
      <c r="Z278" s="39"/>
      <c r="AA278" s="39"/>
      <c r="AB278" s="39"/>
    </row>
    <row r="279">
      <c r="C279" s="39"/>
      <c r="J279" s="39"/>
      <c r="K279" s="39"/>
      <c r="O279" s="39"/>
      <c r="Q279" s="39"/>
      <c r="R279" s="39"/>
      <c r="S279" s="39"/>
      <c r="U279" s="39"/>
      <c r="V279" s="39"/>
      <c r="W279" s="39"/>
      <c r="X279" s="39"/>
      <c r="Y279" s="39"/>
      <c r="Z279" s="39"/>
      <c r="AA279" s="39"/>
      <c r="AB279" s="39"/>
    </row>
    <row r="280">
      <c r="C280" s="39"/>
      <c r="J280" s="39"/>
      <c r="K280" s="39"/>
      <c r="O280" s="39"/>
      <c r="Q280" s="39"/>
      <c r="R280" s="39"/>
      <c r="S280" s="39"/>
      <c r="U280" s="39"/>
      <c r="V280" s="39"/>
      <c r="W280" s="39"/>
      <c r="X280" s="39"/>
      <c r="Y280" s="39"/>
      <c r="Z280" s="39"/>
      <c r="AA280" s="39"/>
      <c r="AB280" s="39"/>
    </row>
    <row r="281">
      <c r="C281" s="39"/>
      <c r="J281" s="39"/>
      <c r="K281" s="39"/>
      <c r="O281" s="39"/>
      <c r="Q281" s="39"/>
      <c r="R281" s="39"/>
      <c r="S281" s="39"/>
      <c r="U281" s="39"/>
      <c r="V281" s="39"/>
      <c r="W281" s="39"/>
      <c r="X281" s="39"/>
      <c r="Y281" s="39"/>
      <c r="Z281" s="39"/>
      <c r="AA281" s="39"/>
      <c r="AB281" s="39"/>
    </row>
    <row r="282">
      <c r="C282" s="39"/>
      <c r="J282" s="39"/>
      <c r="K282" s="39"/>
      <c r="O282" s="39"/>
      <c r="Q282" s="39"/>
      <c r="R282" s="39"/>
      <c r="S282" s="39"/>
      <c r="U282" s="39"/>
      <c r="V282" s="39"/>
      <c r="W282" s="39"/>
      <c r="X282" s="39"/>
      <c r="Y282" s="39"/>
      <c r="Z282" s="39"/>
      <c r="AA282" s="39"/>
      <c r="AB282" s="39"/>
    </row>
    <row r="283">
      <c r="C283" s="39"/>
      <c r="J283" s="39"/>
      <c r="K283" s="39"/>
      <c r="O283" s="39"/>
      <c r="Q283" s="39"/>
      <c r="R283" s="39"/>
      <c r="S283" s="39"/>
      <c r="U283" s="39"/>
      <c r="V283" s="39"/>
      <c r="W283" s="39"/>
      <c r="X283" s="39"/>
      <c r="Y283" s="39"/>
      <c r="Z283" s="39"/>
      <c r="AA283" s="39"/>
      <c r="AB283" s="39"/>
    </row>
    <row r="284">
      <c r="C284" s="39"/>
      <c r="J284" s="39"/>
      <c r="K284" s="39"/>
      <c r="O284" s="39"/>
      <c r="Q284" s="39"/>
      <c r="R284" s="39"/>
      <c r="S284" s="39"/>
      <c r="U284" s="39"/>
      <c r="V284" s="39"/>
      <c r="W284" s="39"/>
      <c r="X284" s="39"/>
      <c r="Y284" s="39"/>
      <c r="Z284" s="39"/>
      <c r="AA284" s="39"/>
      <c r="AB284" s="39"/>
    </row>
    <row r="285">
      <c r="C285" s="39"/>
      <c r="J285" s="39"/>
      <c r="K285" s="39"/>
      <c r="O285" s="39"/>
      <c r="Q285" s="39"/>
      <c r="R285" s="39"/>
      <c r="S285" s="39"/>
      <c r="U285" s="39"/>
      <c r="V285" s="39"/>
      <c r="W285" s="39"/>
      <c r="X285" s="39"/>
      <c r="Y285" s="39"/>
      <c r="Z285" s="39"/>
      <c r="AA285" s="39"/>
      <c r="AB285" s="39"/>
    </row>
    <row r="286">
      <c r="C286" s="39"/>
      <c r="J286" s="39"/>
      <c r="K286" s="39"/>
      <c r="O286" s="39"/>
      <c r="Q286" s="39"/>
      <c r="R286" s="39"/>
      <c r="S286" s="39"/>
      <c r="U286" s="39"/>
      <c r="V286" s="39"/>
      <c r="W286" s="39"/>
      <c r="X286" s="39"/>
      <c r="Y286" s="39"/>
      <c r="Z286" s="39"/>
      <c r="AA286" s="39"/>
      <c r="AB286" s="39"/>
    </row>
    <row r="287">
      <c r="C287" s="39"/>
      <c r="J287" s="39"/>
      <c r="K287" s="39"/>
      <c r="O287" s="39"/>
      <c r="Q287" s="39"/>
      <c r="R287" s="39"/>
      <c r="S287" s="39"/>
      <c r="U287" s="39"/>
      <c r="V287" s="39"/>
      <c r="W287" s="39"/>
      <c r="X287" s="39"/>
      <c r="Y287" s="39"/>
      <c r="Z287" s="39"/>
      <c r="AA287" s="39"/>
      <c r="AB287" s="39"/>
    </row>
    <row r="288">
      <c r="C288" s="39"/>
      <c r="J288" s="39"/>
      <c r="K288" s="39"/>
      <c r="O288" s="39"/>
      <c r="Q288" s="39"/>
      <c r="R288" s="39"/>
      <c r="S288" s="39"/>
      <c r="U288" s="39"/>
      <c r="V288" s="39"/>
      <c r="W288" s="39"/>
      <c r="X288" s="39"/>
      <c r="Y288" s="39"/>
      <c r="Z288" s="39"/>
      <c r="AA288" s="39"/>
      <c r="AB288" s="39"/>
    </row>
    <row r="289">
      <c r="C289" s="39"/>
      <c r="J289" s="39"/>
      <c r="K289" s="39"/>
      <c r="O289" s="39"/>
      <c r="Q289" s="39"/>
      <c r="R289" s="39"/>
      <c r="S289" s="39"/>
      <c r="U289" s="39"/>
      <c r="V289" s="39"/>
      <c r="W289" s="39"/>
      <c r="X289" s="39"/>
      <c r="Y289" s="39"/>
      <c r="Z289" s="39"/>
      <c r="AA289" s="39"/>
      <c r="AB289" s="39"/>
    </row>
    <row r="290">
      <c r="C290" s="39"/>
      <c r="J290" s="39"/>
      <c r="K290" s="39"/>
      <c r="O290" s="39"/>
      <c r="Q290" s="39"/>
      <c r="R290" s="39"/>
      <c r="S290" s="39"/>
      <c r="U290" s="39"/>
      <c r="V290" s="39"/>
      <c r="W290" s="39"/>
      <c r="X290" s="39"/>
      <c r="Y290" s="39"/>
      <c r="Z290" s="39"/>
      <c r="AA290" s="39"/>
      <c r="AB290" s="39"/>
    </row>
    <row r="291">
      <c r="C291" s="39"/>
      <c r="J291" s="39"/>
      <c r="K291" s="39"/>
      <c r="O291" s="39"/>
      <c r="Q291" s="39"/>
      <c r="R291" s="39"/>
      <c r="S291" s="39"/>
      <c r="U291" s="39"/>
      <c r="V291" s="39"/>
      <c r="W291" s="39"/>
      <c r="X291" s="39"/>
      <c r="Y291" s="39"/>
      <c r="Z291" s="39"/>
      <c r="AA291" s="39"/>
      <c r="AB291" s="39"/>
    </row>
    <row r="292">
      <c r="C292" s="39"/>
      <c r="J292" s="39"/>
      <c r="K292" s="39"/>
      <c r="O292" s="39"/>
      <c r="Q292" s="39"/>
      <c r="R292" s="39"/>
      <c r="S292" s="39"/>
      <c r="U292" s="39"/>
      <c r="V292" s="39"/>
      <c r="W292" s="39"/>
      <c r="X292" s="39"/>
      <c r="Y292" s="39"/>
      <c r="Z292" s="39"/>
      <c r="AA292" s="39"/>
      <c r="AB292" s="39"/>
    </row>
    <row r="293">
      <c r="C293" s="39"/>
      <c r="J293" s="39"/>
      <c r="K293" s="39"/>
      <c r="O293" s="39"/>
      <c r="Q293" s="39"/>
      <c r="R293" s="39"/>
      <c r="S293" s="39"/>
      <c r="U293" s="39"/>
      <c r="V293" s="39"/>
      <c r="W293" s="39"/>
      <c r="X293" s="39"/>
      <c r="Y293" s="39"/>
      <c r="Z293" s="39"/>
      <c r="AA293" s="39"/>
      <c r="AB293" s="39"/>
    </row>
    <row r="294">
      <c r="C294" s="39"/>
      <c r="J294" s="39"/>
      <c r="K294" s="39"/>
      <c r="O294" s="39"/>
      <c r="Q294" s="39"/>
      <c r="R294" s="39"/>
      <c r="S294" s="39"/>
      <c r="U294" s="39"/>
      <c r="V294" s="39"/>
      <c r="W294" s="39"/>
      <c r="X294" s="39"/>
      <c r="Y294" s="39"/>
      <c r="Z294" s="39"/>
      <c r="AA294" s="39"/>
      <c r="AB294" s="39"/>
    </row>
    <row r="295">
      <c r="C295" s="39"/>
      <c r="J295" s="39"/>
      <c r="K295" s="39"/>
      <c r="O295" s="39"/>
      <c r="Q295" s="39"/>
      <c r="R295" s="39"/>
      <c r="S295" s="39"/>
      <c r="U295" s="39"/>
      <c r="V295" s="39"/>
      <c r="W295" s="39"/>
      <c r="X295" s="39"/>
      <c r="Y295" s="39"/>
      <c r="Z295" s="39"/>
      <c r="AA295" s="39"/>
      <c r="AB295" s="39"/>
    </row>
    <row r="296">
      <c r="C296" s="39"/>
      <c r="J296" s="39"/>
      <c r="K296" s="39"/>
      <c r="O296" s="39"/>
      <c r="Q296" s="39"/>
      <c r="R296" s="39"/>
      <c r="S296" s="39"/>
      <c r="U296" s="39"/>
      <c r="V296" s="39"/>
      <c r="W296" s="39"/>
      <c r="X296" s="39"/>
      <c r="Y296" s="39"/>
      <c r="Z296" s="39"/>
      <c r="AA296" s="39"/>
      <c r="AB296" s="39"/>
    </row>
    <row r="297">
      <c r="C297" s="39"/>
      <c r="J297" s="39"/>
      <c r="K297" s="39"/>
      <c r="O297" s="39"/>
      <c r="Q297" s="39"/>
      <c r="R297" s="39"/>
      <c r="S297" s="39"/>
      <c r="U297" s="39"/>
      <c r="V297" s="39"/>
      <c r="W297" s="39"/>
      <c r="X297" s="39"/>
      <c r="Y297" s="39"/>
      <c r="Z297" s="39"/>
      <c r="AA297" s="39"/>
      <c r="AB297" s="39"/>
    </row>
    <row r="298">
      <c r="C298" s="39"/>
      <c r="J298" s="39"/>
      <c r="K298" s="39"/>
      <c r="O298" s="39"/>
      <c r="Q298" s="39"/>
      <c r="R298" s="39"/>
      <c r="S298" s="39"/>
      <c r="U298" s="39"/>
      <c r="V298" s="39"/>
      <c r="W298" s="39"/>
      <c r="X298" s="39"/>
      <c r="Y298" s="39"/>
      <c r="Z298" s="39"/>
      <c r="AA298" s="39"/>
      <c r="AB298" s="39"/>
    </row>
    <row r="299">
      <c r="C299" s="39"/>
      <c r="J299" s="39"/>
      <c r="K299" s="39"/>
      <c r="O299" s="39"/>
      <c r="Q299" s="39"/>
      <c r="R299" s="39"/>
      <c r="S299" s="39"/>
      <c r="U299" s="39"/>
      <c r="V299" s="39"/>
      <c r="W299" s="39"/>
      <c r="X299" s="39"/>
      <c r="Y299" s="39"/>
      <c r="Z299" s="39"/>
      <c r="AA299" s="39"/>
      <c r="AB299" s="39"/>
    </row>
    <row r="300">
      <c r="C300" s="39"/>
      <c r="J300" s="39"/>
      <c r="K300" s="39"/>
      <c r="O300" s="39"/>
      <c r="Q300" s="39"/>
      <c r="R300" s="39"/>
      <c r="S300" s="39"/>
      <c r="U300" s="39"/>
      <c r="V300" s="39"/>
      <c r="W300" s="39"/>
      <c r="X300" s="39"/>
      <c r="Y300" s="39"/>
      <c r="Z300" s="39"/>
      <c r="AA300" s="39"/>
      <c r="AB300" s="39"/>
    </row>
    <row r="301">
      <c r="C301" s="39"/>
      <c r="J301" s="39"/>
      <c r="K301" s="39"/>
      <c r="O301" s="39"/>
      <c r="Q301" s="39"/>
      <c r="R301" s="39"/>
      <c r="S301" s="39"/>
      <c r="U301" s="39"/>
      <c r="V301" s="39"/>
      <c r="W301" s="39"/>
      <c r="X301" s="39"/>
      <c r="Y301" s="39"/>
      <c r="Z301" s="39"/>
      <c r="AA301" s="39"/>
      <c r="AB301" s="39"/>
    </row>
    <row r="302">
      <c r="C302" s="39"/>
      <c r="J302" s="39"/>
      <c r="K302" s="39"/>
      <c r="O302" s="39"/>
      <c r="Q302" s="39"/>
      <c r="R302" s="39"/>
      <c r="S302" s="39"/>
      <c r="U302" s="39"/>
      <c r="V302" s="39"/>
      <c r="W302" s="39"/>
      <c r="X302" s="39"/>
      <c r="Y302" s="39"/>
      <c r="Z302" s="39"/>
      <c r="AA302" s="39"/>
      <c r="AB302" s="39"/>
    </row>
    <row r="303">
      <c r="C303" s="39"/>
      <c r="J303" s="39"/>
      <c r="K303" s="39"/>
      <c r="O303" s="39"/>
      <c r="Q303" s="39"/>
      <c r="R303" s="39"/>
      <c r="S303" s="39"/>
      <c r="U303" s="39"/>
      <c r="V303" s="39"/>
      <c r="W303" s="39"/>
      <c r="X303" s="39"/>
      <c r="Y303" s="39"/>
      <c r="Z303" s="39"/>
      <c r="AA303" s="39"/>
      <c r="AB303" s="39"/>
    </row>
    <row r="304">
      <c r="C304" s="39"/>
      <c r="J304" s="39"/>
      <c r="K304" s="39"/>
      <c r="O304" s="39"/>
      <c r="Q304" s="39"/>
      <c r="R304" s="39"/>
      <c r="S304" s="39"/>
      <c r="U304" s="39"/>
      <c r="V304" s="39"/>
      <c r="W304" s="39"/>
      <c r="X304" s="39"/>
      <c r="Y304" s="39"/>
      <c r="Z304" s="39"/>
      <c r="AA304" s="39"/>
      <c r="AB304" s="39"/>
    </row>
    <row r="305">
      <c r="C305" s="39"/>
      <c r="J305" s="39"/>
      <c r="K305" s="39"/>
      <c r="O305" s="39"/>
      <c r="Q305" s="39"/>
      <c r="R305" s="39"/>
      <c r="S305" s="39"/>
      <c r="U305" s="39"/>
      <c r="V305" s="39"/>
      <c r="W305" s="39"/>
      <c r="X305" s="39"/>
      <c r="Y305" s="39"/>
      <c r="Z305" s="39"/>
      <c r="AA305" s="39"/>
      <c r="AB305" s="39"/>
    </row>
    <row r="306">
      <c r="C306" s="39"/>
      <c r="J306" s="39"/>
      <c r="K306" s="39"/>
      <c r="O306" s="39"/>
      <c r="Q306" s="39"/>
      <c r="R306" s="39"/>
      <c r="S306" s="39"/>
      <c r="U306" s="39"/>
      <c r="V306" s="39"/>
      <c r="W306" s="39"/>
      <c r="X306" s="39"/>
      <c r="Y306" s="39"/>
      <c r="Z306" s="39"/>
      <c r="AA306" s="39"/>
      <c r="AB306" s="39"/>
    </row>
    <row r="307">
      <c r="C307" s="39"/>
      <c r="J307" s="39"/>
      <c r="K307" s="39"/>
      <c r="O307" s="39"/>
      <c r="Q307" s="39"/>
      <c r="R307" s="39"/>
      <c r="S307" s="39"/>
      <c r="U307" s="39"/>
      <c r="V307" s="39"/>
      <c r="W307" s="39"/>
      <c r="X307" s="39"/>
      <c r="Y307" s="39"/>
      <c r="Z307" s="39"/>
      <c r="AA307" s="39"/>
      <c r="AB307" s="39"/>
    </row>
    <row r="308">
      <c r="C308" s="39"/>
      <c r="J308" s="39"/>
      <c r="K308" s="39"/>
      <c r="O308" s="39"/>
      <c r="Q308" s="39"/>
      <c r="R308" s="39"/>
      <c r="S308" s="39"/>
      <c r="U308" s="39"/>
      <c r="V308" s="39"/>
      <c r="W308" s="39"/>
      <c r="X308" s="39"/>
      <c r="Y308" s="39"/>
      <c r="Z308" s="39"/>
      <c r="AA308" s="39"/>
      <c r="AB308" s="39"/>
    </row>
    <row r="309">
      <c r="C309" s="39"/>
      <c r="J309" s="39"/>
      <c r="K309" s="39"/>
      <c r="O309" s="39"/>
      <c r="Q309" s="39"/>
      <c r="R309" s="39"/>
      <c r="S309" s="39"/>
      <c r="U309" s="39"/>
      <c r="V309" s="39"/>
      <c r="W309" s="39"/>
      <c r="X309" s="39"/>
      <c r="Y309" s="39"/>
      <c r="Z309" s="39"/>
      <c r="AA309" s="39"/>
      <c r="AB309" s="39"/>
    </row>
    <row r="310">
      <c r="C310" s="39"/>
      <c r="J310" s="39"/>
      <c r="K310" s="39"/>
      <c r="O310" s="39"/>
      <c r="Q310" s="39"/>
      <c r="R310" s="39"/>
      <c r="S310" s="39"/>
      <c r="U310" s="39"/>
      <c r="V310" s="39"/>
      <c r="W310" s="39"/>
      <c r="X310" s="39"/>
      <c r="Y310" s="39"/>
      <c r="Z310" s="39"/>
      <c r="AA310" s="39"/>
      <c r="AB310" s="39"/>
    </row>
    <row r="311">
      <c r="C311" s="39"/>
      <c r="J311" s="39"/>
      <c r="K311" s="39"/>
      <c r="O311" s="39"/>
      <c r="Q311" s="39"/>
      <c r="R311" s="39"/>
      <c r="S311" s="39"/>
      <c r="U311" s="39"/>
      <c r="V311" s="39"/>
      <c r="W311" s="39"/>
      <c r="X311" s="39"/>
      <c r="Y311" s="39"/>
      <c r="Z311" s="39"/>
      <c r="AA311" s="39"/>
      <c r="AB311" s="39"/>
    </row>
    <row r="312">
      <c r="C312" s="39"/>
      <c r="J312" s="39"/>
      <c r="K312" s="39"/>
      <c r="O312" s="39"/>
      <c r="Q312" s="39"/>
      <c r="R312" s="39"/>
      <c r="S312" s="39"/>
      <c r="U312" s="39"/>
      <c r="V312" s="39"/>
      <c r="W312" s="39"/>
      <c r="X312" s="39"/>
      <c r="Y312" s="39"/>
      <c r="Z312" s="39"/>
      <c r="AA312" s="39"/>
      <c r="AB312" s="39"/>
    </row>
    <row r="313">
      <c r="C313" s="39"/>
      <c r="J313" s="39"/>
      <c r="K313" s="39"/>
      <c r="O313" s="39"/>
      <c r="Q313" s="39"/>
      <c r="R313" s="39"/>
      <c r="S313" s="39"/>
      <c r="U313" s="39"/>
      <c r="V313" s="39"/>
      <c r="W313" s="39"/>
      <c r="X313" s="39"/>
      <c r="Y313" s="39"/>
      <c r="Z313" s="39"/>
      <c r="AA313" s="39"/>
      <c r="AB313" s="39"/>
    </row>
    <row r="314">
      <c r="C314" s="39"/>
      <c r="J314" s="39"/>
      <c r="K314" s="39"/>
      <c r="O314" s="39"/>
      <c r="Q314" s="39"/>
      <c r="R314" s="39"/>
      <c r="S314" s="39"/>
      <c r="U314" s="39"/>
      <c r="V314" s="39"/>
      <c r="W314" s="39"/>
      <c r="X314" s="39"/>
      <c r="Y314" s="39"/>
      <c r="Z314" s="39"/>
      <c r="AA314" s="39"/>
      <c r="AB314" s="39"/>
    </row>
    <row r="315">
      <c r="C315" s="39"/>
      <c r="J315" s="39"/>
      <c r="K315" s="39"/>
      <c r="O315" s="39"/>
      <c r="Q315" s="39"/>
      <c r="R315" s="39"/>
      <c r="S315" s="39"/>
      <c r="U315" s="39"/>
      <c r="V315" s="39"/>
      <c r="W315" s="39"/>
      <c r="X315" s="39"/>
      <c r="Y315" s="39"/>
      <c r="Z315" s="39"/>
      <c r="AA315" s="39"/>
      <c r="AB315" s="39"/>
    </row>
    <row r="316">
      <c r="C316" s="39"/>
      <c r="J316" s="39"/>
      <c r="K316" s="39"/>
      <c r="O316" s="39"/>
      <c r="Q316" s="39"/>
      <c r="R316" s="39"/>
      <c r="S316" s="39"/>
      <c r="U316" s="39"/>
      <c r="V316" s="39"/>
      <c r="W316" s="39"/>
      <c r="X316" s="39"/>
      <c r="Y316" s="39"/>
      <c r="Z316" s="39"/>
      <c r="AA316" s="39"/>
      <c r="AB316" s="39"/>
    </row>
    <row r="317">
      <c r="C317" s="39"/>
      <c r="J317" s="39"/>
      <c r="K317" s="39"/>
      <c r="O317" s="39"/>
      <c r="Q317" s="39"/>
      <c r="R317" s="39"/>
      <c r="S317" s="39"/>
      <c r="U317" s="39"/>
      <c r="V317" s="39"/>
      <c r="W317" s="39"/>
      <c r="X317" s="39"/>
      <c r="Y317" s="39"/>
      <c r="Z317" s="39"/>
      <c r="AA317" s="39"/>
      <c r="AB317" s="39"/>
    </row>
    <row r="318">
      <c r="C318" s="39"/>
      <c r="J318" s="39"/>
      <c r="K318" s="39"/>
      <c r="O318" s="39"/>
      <c r="Q318" s="39"/>
      <c r="R318" s="39"/>
      <c r="S318" s="39"/>
      <c r="U318" s="39"/>
      <c r="V318" s="39"/>
      <c r="W318" s="39"/>
      <c r="X318" s="39"/>
      <c r="Y318" s="39"/>
      <c r="Z318" s="39"/>
      <c r="AA318" s="39"/>
      <c r="AB318" s="39"/>
    </row>
    <row r="319">
      <c r="C319" s="39"/>
      <c r="J319" s="39"/>
      <c r="K319" s="39"/>
      <c r="O319" s="39"/>
      <c r="Q319" s="39"/>
      <c r="R319" s="39"/>
      <c r="S319" s="39"/>
      <c r="U319" s="39"/>
      <c r="V319" s="39"/>
      <c r="W319" s="39"/>
      <c r="X319" s="39"/>
      <c r="Y319" s="39"/>
      <c r="Z319" s="39"/>
      <c r="AA319" s="39"/>
      <c r="AB319" s="39"/>
    </row>
    <row r="320">
      <c r="C320" s="39"/>
      <c r="J320" s="39"/>
      <c r="K320" s="39"/>
      <c r="O320" s="39"/>
      <c r="Q320" s="39"/>
      <c r="R320" s="39"/>
      <c r="S320" s="39"/>
      <c r="U320" s="39"/>
      <c r="V320" s="39"/>
      <c r="W320" s="39"/>
      <c r="X320" s="39"/>
      <c r="Y320" s="39"/>
      <c r="Z320" s="39"/>
      <c r="AA320" s="39"/>
      <c r="AB320" s="39"/>
    </row>
    <row r="321">
      <c r="C321" s="39"/>
      <c r="J321" s="39"/>
      <c r="K321" s="39"/>
      <c r="O321" s="39"/>
      <c r="Q321" s="39"/>
      <c r="R321" s="39"/>
      <c r="S321" s="39"/>
      <c r="U321" s="39"/>
      <c r="V321" s="39"/>
      <c r="W321" s="39"/>
      <c r="X321" s="39"/>
      <c r="Y321" s="39"/>
      <c r="Z321" s="39"/>
      <c r="AA321" s="39"/>
      <c r="AB321" s="39"/>
    </row>
    <row r="322">
      <c r="C322" s="39"/>
      <c r="J322" s="39"/>
      <c r="K322" s="39"/>
      <c r="O322" s="39"/>
      <c r="Q322" s="39"/>
      <c r="R322" s="39"/>
      <c r="S322" s="39"/>
      <c r="U322" s="39"/>
      <c r="V322" s="39"/>
      <c r="W322" s="39"/>
      <c r="X322" s="39"/>
      <c r="Y322" s="39"/>
      <c r="Z322" s="39"/>
      <c r="AA322" s="39"/>
      <c r="AB322" s="39"/>
    </row>
    <row r="323">
      <c r="C323" s="39"/>
      <c r="J323" s="39"/>
      <c r="K323" s="39"/>
      <c r="O323" s="39"/>
      <c r="Q323" s="39"/>
      <c r="R323" s="39"/>
      <c r="S323" s="39"/>
      <c r="U323" s="39"/>
      <c r="V323" s="39"/>
      <c r="W323" s="39"/>
      <c r="X323" s="39"/>
      <c r="Y323" s="39"/>
      <c r="Z323" s="39"/>
      <c r="AA323" s="39"/>
      <c r="AB323" s="39"/>
    </row>
    <row r="324">
      <c r="C324" s="39"/>
      <c r="J324" s="39"/>
      <c r="K324" s="39"/>
      <c r="O324" s="39"/>
      <c r="Q324" s="39"/>
      <c r="R324" s="39"/>
      <c r="S324" s="39"/>
      <c r="U324" s="39"/>
      <c r="V324" s="39"/>
      <c r="W324" s="39"/>
      <c r="X324" s="39"/>
      <c r="Y324" s="39"/>
      <c r="Z324" s="39"/>
      <c r="AA324" s="39"/>
      <c r="AB324" s="39"/>
    </row>
    <row r="325">
      <c r="C325" s="39"/>
      <c r="J325" s="39"/>
      <c r="K325" s="39"/>
      <c r="O325" s="39"/>
      <c r="Q325" s="39"/>
      <c r="R325" s="39"/>
      <c r="S325" s="39"/>
      <c r="U325" s="39"/>
      <c r="V325" s="39"/>
      <c r="W325" s="39"/>
      <c r="X325" s="39"/>
      <c r="Y325" s="39"/>
      <c r="Z325" s="39"/>
      <c r="AA325" s="39"/>
      <c r="AB325" s="39"/>
    </row>
    <row r="326">
      <c r="C326" s="39"/>
      <c r="J326" s="39"/>
      <c r="K326" s="39"/>
      <c r="O326" s="39"/>
      <c r="Q326" s="39"/>
      <c r="R326" s="39"/>
      <c r="S326" s="39"/>
      <c r="U326" s="39"/>
      <c r="V326" s="39"/>
      <c r="W326" s="39"/>
      <c r="X326" s="39"/>
      <c r="Y326" s="39"/>
      <c r="Z326" s="39"/>
      <c r="AA326" s="39"/>
      <c r="AB326" s="39"/>
    </row>
    <row r="327">
      <c r="C327" s="39"/>
      <c r="J327" s="39"/>
      <c r="K327" s="39"/>
      <c r="O327" s="39"/>
      <c r="Q327" s="39"/>
      <c r="R327" s="39"/>
      <c r="S327" s="39"/>
      <c r="U327" s="39"/>
      <c r="V327" s="39"/>
      <c r="W327" s="39"/>
      <c r="X327" s="39"/>
      <c r="Y327" s="39"/>
      <c r="Z327" s="39"/>
      <c r="AA327" s="39"/>
      <c r="AB327" s="39"/>
    </row>
    <row r="328">
      <c r="C328" s="39"/>
      <c r="J328" s="39"/>
      <c r="K328" s="39"/>
      <c r="O328" s="39"/>
      <c r="Q328" s="39"/>
      <c r="R328" s="39"/>
      <c r="S328" s="39"/>
      <c r="U328" s="39"/>
      <c r="V328" s="39"/>
      <c r="W328" s="39"/>
      <c r="X328" s="39"/>
      <c r="Y328" s="39"/>
      <c r="Z328" s="39"/>
      <c r="AA328" s="39"/>
      <c r="AB328" s="39"/>
    </row>
    <row r="329">
      <c r="C329" s="39"/>
      <c r="J329" s="39"/>
      <c r="K329" s="39"/>
      <c r="O329" s="39"/>
      <c r="Q329" s="39"/>
      <c r="R329" s="39"/>
      <c r="S329" s="39"/>
      <c r="U329" s="39"/>
      <c r="V329" s="39"/>
      <c r="W329" s="39"/>
      <c r="X329" s="39"/>
      <c r="Y329" s="39"/>
      <c r="Z329" s="39"/>
      <c r="AA329" s="39"/>
      <c r="AB329" s="39"/>
    </row>
    <row r="330">
      <c r="C330" s="39"/>
      <c r="J330" s="39"/>
      <c r="K330" s="39"/>
      <c r="O330" s="39"/>
      <c r="Q330" s="39"/>
      <c r="R330" s="39"/>
      <c r="S330" s="39"/>
      <c r="U330" s="39"/>
      <c r="V330" s="39"/>
      <c r="W330" s="39"/>
      <c r="X330" s="39"/>
      <c r="Y330" s="39"/>
      <c r="Z330" s="39"/>
      <c r="AA330" s="39"/>
      <c r="AB330" s="39"/>
    </row>
    <row r="331">
      <c r="C331" s="39"/>
      <c r="J331" s="39"/>
      <c r="K331" s="39"/>
      <c r="O331" s="39"/>
      <c r="Q331" s="39"/>
      <c r="R331" s="39"/>
      <c r="S331" s="39"/>
      <c r="U331" s="39"/>
      <c r="V331" s="39"/>
      <c r="W331" s="39"/>
      <c r="X331" s="39"/>
      <c r="Y331" s="39"/>
      <c r="Z331" s="39"/>
      <c r="AA331" s="39"/>
      <c r="AB331" s="39"/>
    </row>
    <row r="332">
      <c r="C332" s="39"/>
      <c r="J332" s="39"/>
      <c r="K332" s="39"/>
      <c r="O332" s="39"/>
      <c r="Q332" s="39"/>
      <c r="R332" s="39"/>
      <c r="S332" s="39"/>
      <c r="U332" s="39"/>
      <c r="V332" s="39"/>
      <c r="W332" s="39"/>
      <c r="X332" s="39"/>
      <c r="Y332" s="39"/>
      <c r="Z332" s="39"/>
      <c r="AA332" s="39"/>
      <c r="AB332" s="39"/>
    </row>
    <row r="333">
      <c r="C333" s="39"/>
      <c r="J333" s="39"/>
      <c r="K333" s="39"/>
      <c r="O333" s="39"/>
      <c r="Q333" s="39"/>
      <c r="R333" s="39"/>
      <c r="S333" s="39"/>
      <c r="U333" s="39"/>
      <c r="V333" s="39"/>
      <c r="W333" s="39"/>
      <c r="X333" s="39"/>
      <c r="Y333" s="39"/>
      <c r="Z333" s="39"/>
      <c r="AA333" s="39"/>
      <c r="AB333" s="39"/>
    </row>
    <row r="334">
      <c r="C334" s="39"/>
      <c r="J334" s="39"/>
      <c r="K334" s="39"/>
      <c r="O334" s="39"/>
      <c r="Q334" s="39"/>
      <c r="R334" s="39"/>
      <c r="S334" s="39"/>
      <c r="U334" s="39"/>
      <c r="V334" s="39"/>
      <c r="W334" s="39"/>
      <c r="X334" s="39"/>
      <c r="Y334" s="39"/>
      <c r="Z334" s="39"/>
      <c r="AA334" s="39"/>
      <c r="AB334" s="39"/>
    </row>
    <row r="335">
      <c r="C335" s="39"/>
      <c r="J335" s="39"/>
      <c r="K335" s="39"/>
      <c r="O335" s="39"/>
      <c r="Q335" s="39"/>
      <c r="R335" s="39"/>
      <c r="S335" s="39"/>
      <c r="U335" s="39"/>
      <c r="V335" s="39"/>
      <c r="W335" s="39"/>
      <c r="X335" s="39"/>
      <c r="Y335" s="39"/>
      <c r="Z335" s="39"/>
      <c r="AA335" s="39"/>
      <c r="AB335" s="39"/>
    </row>
    <row r="336">
      <c r="C336" s="39"/>
      <c r="J336" s="39"/>
      <c r="K336" s="39"/>
      <c r="O336" s="39"/>
      <c r="Q336" s="39"/>
      <c r="R336" s="39"/>
      <c r="S336" s="39"/>
      <c r="U336" s="39"/>
      <c r="V336" s="39"/>
      <c r="W336" s="39"/>
      <c r="X336" s="39"/>
      <c r="Y336" s="39"/>
      <c r="Z336" s="39"/>
      <c r="AA336" s="39"/>
      <c r="AB336" s="39"/>
    </row>
    <row r="337">
      <c r="C337" s="39"/>
      <c r="J337" s="39"/>
      <c r="K337" s="39"/>
      <c r="O337" s="39"/>
      <c r="Q337" s="39"/>
      <c r="R337" s="39"/>
      <c r="S337" s="39"/>
      <c r="U337" s="39"/>
      <c r="V337" s="39"/>
      <c r="W337" s="39"/>
      <c r="X337" s="39"/>
      <c r="Y337" s="39"/>
      <c r="Z337" s="39"/>
      <c r="AA337" s="39"/>
      <c r="AB337" s="39"/>
    </row>
    <row r="338">
      <c r="C338" s="39"/>
      <c r="J338" s="39"/>
      <c r="K338" s="39"/>
      <c r="O338" s="39"/>
      <c r="Q338" s="39"/>
      <c r="R338" s="39"/>
      <c r="S338" s="39"/>
      <c r="U338" s="39"/>
      <c r="V338" s="39"/>
      <c r="W338" s="39"/>
      <c r="X338" s="39"/>
      <c r="Y338" s="39"/>
      <c r="Z338" s="39"/>
      <c r="AA338" s="39"/>
      <c r="AB338" s="39"/>
    </row>
    <row r="339">
      <c r="C339" s="39"/>
      <c r="J339" s="39"/>
      <c r="K339" s="39"/>
      <c r="O339" s="39"/>
      <c r="Q339" s="39"/>
      <c r="R339" s="39"/>
      <c r="S339" s="39"/>
      <c r="U339" s="39"/>
      <c r="V339" s="39"/>
      <c r="W339" s="39"/>
      <c r="X339" s="39"/>
      <c r="Y339" s="39"/>
      <c r="Z339" s="39"/>
      <c r="AA339" s="39"/>
      <c r="AB339" s="39"/>
    </row>
    <row r="340">
      <c r="C340" s="39"/>
      <c r="J340" s="39"/>
      <c r="K340" s="39"/>
      <c r="O340" s="39"/>
      <c r="Q340" s="39"/>
      <c r="R340" s="39"/>
      <c r="S340" s="39"/>
      <c r="U340" s="39"/>
      <c r="V340" s="39"/>
      <c r="W340" s="39"/>
      <c r="X340" s="39"/>
      <c r="Y340" s="39"/>
      <c r="Z340" s="39"/>
      <c r="AA340" s="39"/>
      <c r="AB340" s="39"/>
    </row>
    <row r="341">
      <c r="C341" s="39"/>
      <c r="J341" s="39"/>
      <c r="K341" s="39"/>
      <c r="O341" s="39"/>
      <c r="Q341" s="39"/>
      <c r="R341" s="39"/>
      <c r="S341" s="39"/>
      <c r="U341" s="39"/>
      <c r="V341" s="39"/>
      <c r="W341" s="39"/>
      <c r="X341" s="39"/>
      <c r="Y341" s="39"/>
      <c r="Z341" s="39"/>
      <c r="AA341" s="39"/>
      <c r="AB341" s="39"/>
    </row>
    <row r="342">
      <c r="C342" s="39"/>
      <c r="J342" s="39"/>
      <c r="K342" s="39"/>
      <c r="O342" s="39"/>
      <c r="Q342" s="39"/>
      <c r="R342" s="39"/>
      <c r="S342" s="39"/>
      <c r="U342" s="39"/>
      <c r="V342" s="39"/>
      <c r="W342" s="39"/>
      <c r="X342" s="39"/>
      <c r="Y342" s="39"/>
      <c r="Z342" s="39"/>
      <c r="AA342" s="39"/>
      <c r="AB342" s="39"/>
    </row>
    <row r="343">
      <c r="C343" s="39"/>
      <c r="J343" s="39"/>
      <c r="K343" s="39"/>
      <c r="O343" s="39"/>
      <c r="Q343" s="39"/>
      <c r="R343" s="39"/>
      <c r="S343" s="39"/>
      <c r="U343" s="39"/>
      <c r="V343" s="39"/>
      <c r="W343" s="39"/>
      <c r="X343" s="39"/>
      <c r="Y343" s="39"/>
      <c r="Z343" s="39"/>
      <c r="AA343" s="39"/>
      <c r="AB343" s="39"/>
    </row>
    <row r="344">
      <c r="C344" s="39"/>
      <c r="J344" s="39"/>
      <c r="K344" s="39"/>
      <c r="O344" s="39"/>
      <c r="Q344" s="39"/>
      <c r="R344" s="39"/>
      <c r="S344" s="39"/>
      <c r="U344" s="39"/>
      <c r="V344" s="39"/>
      <c r="W344" s="39"/>
      <c r="X344" s="39"/>
      <c r="Y344" s="39"/>
      <c r="Z344" s="39"/>
      <c r="AA344" s="39"/>
      <c r="AB344" s="39"/>
    </row>
    <row r="345">
      <c r="C345" s="39"/>
      <c r="J345" s="39"/>
      <c r="K345" s="39"/>
      <c r="O345" s="39"/>
      <c r="Q345" s="39"/>
      <c r="R345" s="39"/>
      <c r="S345" s="39"/>
      <c r="U345" s="39"/>
      <c r="V345" s="39"/>
      <c r="W345" s="39"/>
      <c r="X345" s="39"/>
      <c r="Y345" s="39"/>
      <c r="Z345" s="39"/>
      <c r="AA345" s="39"/>
      <c r="AB345" s="39"/>
    </row>
    <row r="346">
      <c r="C346" s="39"/>
      <c r="J346" s="39"/>
      <c r="K346" s="39"/>
      <c r="O346" s="39"/>
      <c r="Q346" s="39"/>
      <c r="R346" s="39"/>
      <c r="S346" s="39"/>
      <c r="U346" s="39"/>
      <c r="V346" s="39"/>
      <c r="W346" s="39"/>
      <c r="X346" s="39"/>
      <c r="Y346" s="39"/>
      <c r="Z346" s="39"/>
      <c r="AA346" s="39"/>
      <c r="AB346" s="39"/>
    </row>
    <row r="347">
      <c r="C347" s="39"/>
      <c r="J347" s="39"/>
      <c r="K347" s="39"/>
      <c r="O347" s="39"/>
      <c r="Q347" s="39"/>
      <c r="R347" s="39"/>
      <c r="S347" s="39"/>
      <c r="U347" s="39"/>
      <c r="V347" s="39"/>
      <c r="W347" s="39"/>
      <c r="X347" s="39"/>
      <c r="Y347" s="39"/>
      <c r="Z347" s="39"/>
      <c r="AA347" s="39"/>
      <c r="AB347" s="39"/>
    </row>
    <row r="348">
      <c r="C348" s="39"/>
      <c r="J348" s="39"/>
      <c r="K348" s="39"/>
      <c r="O348" s="39"/>
      <c r="Q348" s="39"/>
      <c r="R348" s="39"/>
      <c r="S348" s="39"/>
      <c r="U348" s="39"/>
      <c r="V348" s="39"/>
      <c r="W348" s="39"/>
      <c r="X348" s="39"/>
      <c r="Y348" s="39"/>
      <c r="Z348" s="39"/>
      <c r="AA348" s="39"/>
      <c r="AB348" s="39"/>
    </row>
    <row r="349">
      <c r="C349" s="39"/>
      <c r="J349" s="39"/>
      <c r="K349" s="39"/>
      <c r="O349" s="39"/>
      <c r="Q349" s="39"/>
      <c r="R349" s="39"/>
      <c r="S349" s="39"/>
      <c r="U349" s="39"/>
      <c r="V349" s="39"/>
      <c r="W349" s="39"/>
      <c r="X349" s="39"/>
      <c r="Y349" s="39"/>
      <c r="Z349" s="39"/>
      <c r="AA349" s="39"/>
      <c r="AB349" s="39"/>
    </row>
    <row r="350">
      <c r="C350" s="39"/>
      <c r="J350" s="39"/>
      <c r="K350" s="39"/>
      <c r="O350" s="39"/>
      <c r="Q350" s="39"/>
      <c r="R350" s="39"/>
      <c r="S350" s="39"/>
      <c r="U350" s="39"/>
      <c r="V350" s="39"/>
      <c r="W350" s="39"/>
      <c r="X350" s="39"/>
      <c r="Y350" s="39"/>
      <c r="Z350" s="39"/>
      <c r="AA350" s="39"/>
      <c r="AB350" s="39"/>
    </row>
    <row r="351">
      <c r="C351" s="39"/>
      <c r="J351" s="39"/>
      <c r="K351" s="39"/>
      <c r="O351" s="39"/>
      <c r="Q351" s="39"/>
      <c r="R351" s="39"/>
      <c r="S351" s="39"/>
      <c r="U351" s="39"/>
      <c r="V351" s="39"/>
      <c r="W351" s="39"/>
      <c r="X351" s="39"/>
      <c r="Y351" s="39"/>
      <c r="Z351" s="39"/>
      <c r="AA351" s="39"/>
      <c r="AB351" s="39"/>
    </row>
    <row r="352">
      <c r="C352" s="39"/>
      <c r="J352" s="39"/>
      <c r="K352" s="39"/>
      <c r="O352" s="39"/>
      <c r="Q352" s="39"/>
      <c r="R352" s="39"/>
      <c r="S352" s="39"/>
      <c r="U352" s="39"/>
      <c r="V352" s="39"/>
      <c r="W352" s="39"/>
      <c r="X352" s="39"/>
      <c r="Y352" s="39"/>
      <c r="Z352" s="39"/>
      <c r="AA352" s="39"/>
      <c r="AB352" s="39"/>
    </row>
    <row r="353">
      <c r="C353" s="39"/>
      <c r="J353" s="39"/>
      <c r="K353" s="39"/>
      <c r="O353" s="39"/>
      <c r="Q353" s="39"/>
      <c r="R353" s="39"/>
      <c r="S353" s="39"/>
      <c r="U353" s="39"/>
      <c r="V353" s="39"/>
      <c r="W353" s="39"/>
      <c r="X353" s="39"/>
      <c r="Y353" s="39"/>
      <c r="Z353" s="39"/>
      <c r="AA353" s="39"/>
      <c r="AB353" s="39"/>
    </row>
    <row r="354">
      <c r="C354" s="39"/>
      <c r="J354" s="39"/>
      <c r="K354" s="39"/>
      <c r="O354" s="39"/>
      <c r="Q354" s="39"/>
      <c r="R354" s="39"/>
      <c r="S354" s="39"/>
      <c r="U354" s="39"/>
      <c r="V354" s="39"/>
      <c r="W354" s="39"/>
      <c r="X354" s="39"/>
      <c r="Y354" s="39"/>
      <c r="Z354" s="39"/>
      <c r="AA354" s="39"/>
      <c r="AB354" s="39"/>
    </row>
    <row r="355">
      <c r="C355" s="39"/>
      <c r="J355" s="39"/>
      <c r="K355" s="39"/>
      <c r="O355" s="39"/>
      <c r="Q355" s="39"/>
      <c r="R355" s="39"/>
      <c r="S355" s="39"/>
      <c r="U355" s="39"/>
      <c r="V355" s="39"/>
      <c r="W355" s="39"/>
      <c r="X355" s="39"/>
      <c r="Y355" s="39"/>
      <c r="Z355" s="39"/>
      <c r="AA355" s="39"/>
      <c r="AB355" s="39"/>
    </row>
    <row r="356">
      <c r="C356" s="39"/>
      <c r="J356" s="39"/>
      <c r="K356" s="39"/>
      <c r="O356" s="39"/>
      <c r="Q356" s="39"/>
      <c r="R356" s="39"/>
      <c r="S356" s="39"/>
      <c r="U356" s="39"/>
      <c r="V356" s="39"/>
      <c r="W356" s="39"/>
      <c r="X356" s="39"/>
      <c r="Y356" s="39"/>
      <c r="Z356" s="39"/>
      <c r="AA356" s="39"/>
      <c r="AB356" s="39"/>
    </row>
    <row r="357">
      <c r="C357" s="39"/>
      <c r="J357" s="39"/>
      <c r="K357" s="39"/>
      <c r="O357" s="39"/>
      <c r="Q357" s="39"/>
      <c r="R357" s="39"/>
      <c r="S357" s="39"/>
      <c r="U357" s="39"/>
      <c r="V357" s="39"/>
      <c r="W357" s="39"/>
      <c r="X357" s="39"/>
      <c r="Y357" s="39"/>
      <c r="Z357" s="39"/>
      <c r="AA357" s="39"/>
      <c r="AB357" s="39"/>
    </row>
    <row r="358">
      <c r="C358" s="39"/>
      <c r="J358" s="39"/>
      <c r="K358" s="39"/>
      <c r="O358" s="39"/>
      <c r="Q358" s="39"/>
      <c r="R358" s="39"/>
      <c r="S358" s="39"/>
      <c r="U358" s="39"/>
      <c r="V358" s="39"/>
      <c r="W358" s="39"/>
      <c r="X358" s="39"/>
      <c r="Y358" s="39"/>
      <c r="Z358" s="39"/>
      <c r="AA358" s="39"/>
      <c r="AB358" s="39"/>
    </row>
    <row r="359">
      <c r="C359" s="39"/>
      <c r="J359" s="39"/>
      <c r="K359" s="39"/>
      <c r="O359" s="39"/>
      <c r="Q359" s="39"/>
      <c r="R359" s="39"/>
      <c r="S359" s="39"/>
      <c r="U359" s="39"/>
      <c r="V359" s="39"/>
      <c r="W359" s="39"/>
      <c r="X359" s="39"/>
      <c r="Y359" s="39"/>
      <c r="Z359" s="39"/>
      <c r="AA359" s="39"/>
      <c r="AB359" s="39"/>
    </row>
    <row r="360">
      <c r="C360" s="39"/>
      <c r="J360" s="39"/>
      <c r="K360" s="39"/>
      <c r="O360" s="39"/>
      <c r="Q360" s="39"/>
      <c r="R360" s="39"/>
      <c r="S360" s="39"/>
      <c r="U360" s="39"/>
      <c r="V360" s="39"/>
      <c r="W360" s="39"/>
      <c r="X360" s="39"/>
      <c r="Y360" s="39"/>
      <c r="Z360" s="39"/>
      <c r="AA360" s="39"/>
      <c r="AB360" s="39"/>
    </row>
    <row r="361">
      <c r="C361" s="39"/>
      <c r="J361" s="39"/>
      <c r="K361" s="39"/>
      <c r="O361" s="39"/>
      <c r="Q361" s="39"/>
      <c r="R361" s="39"/>
      <c r="S361" s="39"/>
      <c r="U361" s="39"/>
      <c r="V361" s="39"/>
      <c r="W361" s="39"/>
      <c r="X361" s="39"/>
      <c r="Y361" s="39"/>
      <c r="Z361" s="39"/>
      <c r="AA361" s="39"/>
      <c r="AB361" s="39"/>
    </row>
    <row r="362">
      <c r="C362" s="39"/>
      <c r="J362" s="39"/>
      <c r="K362" s="39"/>
      <c r="O362" s="39"/>
      <c r="Q362" s="39"/>
      <c r="R362" s="39"/>
      <c r="S362" s="39"/>
      <c r="U362" s="39"/>
      <c r="V362" s="39"/>
      <c r="W362" s="39"/>
      <c r="X362" s="39"/>
      <c r="Y362" s="39"/>
      <c r="Z362" s="39"/>
      <c r="AA362" s="39"/>
      <c r="AB362" s="39"/>
    </row>
    <row r="363">
      <c r="C363" s="39"/>
      <c r="J363" s="39"/>
      <c r="K363" s="39"/>
      <c r="O363" s="39"/>
      <c r="Q363" s="39"/>
      <c r="R363" s="39"/>
      <c r="S363" s="39"/>
      <c r="U363" s="39"/>
      <c r="V363" s="39"/>
      <c r="W363" s="39"/>
      <c r="X363" s="39"/>
      <c r="Y363" s="39"/>
      <c r="Z363" s="39"/>
      <c r="AA363" s="39"/>
      <c r="AB363" s="39"/>
    </row>
    <row r="364">
      <c r="C364" s="39"/>
      <c r="J364" s="39"/>
      <c r="K364" s="39"/>
      <c r="O364" s="39"/>
      <c r="Q364" s="39"/>
      <c r="R364" s="39"/>
      <c r="S364" s="39"/>
      <c r="U364" s="39"/>
      <c r="V364" s="39"/>
      <c r="W364" s="39"/>
      <c r="X364" s="39"/>
      <c r="Y364" s="39"/>
      <c r="Z364" s="39"/>
      <c r="AA364" s="39"/>
      <c r="AB364" s="39"/>
    </row>
    <row r="365">
      <c r="C365" s="39"/>
      <c r="J365" s="39"/>
      <c r="K365" s="39"/>
      <c r="O365" s="39"/>
      <c r="Q365" s="39"/>
      <c r="R365" s="39"/>
      <c r="S365" s="39"/>
      <c r="U365" s="39"/>
      <c r="V365" s="39"/>
      <c r="W365" s="39"/>
      <c r="X365" s="39"/>
      <c r="Y365" s="39"/>
      <c r="Z365" s="39"/>
      <c r="AA365" s="39"/>
      <c r="AB365" s="39"/>
    </row>
    <row r="366">
      <c r="C366" s="39"/>
      <c r="J366" s="39"/>
      <c r="K366" s="39"/>
      <c r="O366" s="39"/>
      <c r="Q366" s="39"/>
      <c r="R366" s="39"/>
      <c r="S366" s="39"/>
      <c r="U366" s="39"/>
      <c r="V366" s="39"/>
      <c r="W366" s="39"/>
      <c r="X366" s="39"/>
      <c r="Y366" s="39"/>
      <c r="Z366" s="39"/>
      <c r="AA366" s="39"/>
      <c r="AB366" s="39"/>
    </row>
    <row r="367">
      <c r="C367" s="39"/>
      <c r="J367" s="39"/>
      <c r="K367" s="39"/>
      <c r="O367" s="39"/>
      <c r="Q367" s="39"/>
      <c r="R367" s="39"/>
      <c r="S367" s="39"/>
      <c r="U367" s="39"/>
      <c r="V367" s="39"/>
      <c r="W367" s="39"/>
      <c r="X367" s="39"/>
      <c r="Y367" s="39"/>
      <c r="Z367" s="39"/>
      <c r="AA367" s="39"/>
      <c r="AB367" s="39"/>
    </row>
    <row r="368">
      <c r="C368" s="39"/>
      <c r="J368" s="39"/>
      <c r="K368" s="39"/>
      <c r="O368" s="39"/>
      <c r="Q368" s="39"/>
      <c r="R368" s="39"/>
      <c r="S368" s="39"/>
      <c r="U368" s="39"/>
      <c r="V368" s="39"/>
      <c r="W368" s="39"/>
      <c r="X368" s="39"/>
      <c r="Y368" s="39"/>
      <c r="Z368" s="39"/>
      <c r="AA368" s="39"/>
      <c r="AB368" s="39"/>
    </row>
    <row r="369">
      <c r="C369" s="39"/>
      <c r="J369" s="39"/>
      <c r="K369" s="39"/>
      <c r="O369" s="39"/>
      <c r="Q369" s="39"/>
      <c r="R369" s="39"/>
      <c r="S369" s="39"/>
      <c r="U369" s="39"/>
      <c r="V369" s="39"/>
      <c r="W369" s="39"/>
      <c r="X369" s="39"/>
      <c r="Y369" s="39"/>
      <c r="Z369" s="39"/>
      <c r="AA369" s="39"/>
      <c r="AB369" s="39"/>
    </row>
    <row r="370">
      <c r="C370" s="39"/>
      <c r="J370" s="39"/>
      <c r="K370" s="39"/>
      <c r="O370" s="39"/>
      <c r="Q370" s="39"/>
      <c r="R370" s="39"/>
      <c r="S370" s="39"/>
      <c r="U370" s="39"/>
      <c r="V370" s="39"/>
      <c r="W370" s="39"/>
      <c r="X370" s="39"/>
      <c r="Y370" s="39"/>
      <c r="Z370" s="39"/>
      <c r="AA370" s="39"/>
      <c r="AB370" s="39"/>
    </row>
    <row r="371">
      <c r="C371" s="39"/>
      <c r="J371" s="39"/>
      <c r="K371" s="39"/>
      <c r="O371" s="39"/>
      <c r="Q371" s="39"/>
      <c r="R371" s="39"/>
      <c r="S371" s="39"/>
      <c r="U371" s="39"/>
      <c r="V371" s="39"/>
      <c r="W371" s="39"/>
      <c r="X371" s="39"/>
      <c r="Y371" s="39"/>
      <c r="Z371" s="39"/>
      <c r="AA371" s="39"/>
      <c r="AB371" s="39"/>
    </row>
    <row r="372">
      <c r="C372" s="39"/>
      <c r="J372" s="39"/>
      <c r="K372" s="39"/>
      <c r="O372" s="39"/>
      <c r="Q372" s="39"/>
      <c r="R372" s="39"/>
      <c r="S372" s="39"/>
      <c r="U372" s="39"/>
      <c r="V372" s="39"/>
      <c r="W372" s="39"/>
      <c r="X372" s="39"/>
      <c r="Y372" s="39"/>
      <c r="Z372" s="39"/>
      <c r="AA372" s="39"/>
      <c r="AB372" s="39"/>
    </row>
    <row r="373">
      <c r="C373" s="39"/>
      <c r="J373" s="39"/>
      <c r="K373" s="39"/>
      <c r="O373" s="39"/>
      <c r="Q373" s="39"/>
      <c r="R373" s="39"/>
      <c r="S373" s="39"/>
      <c r="U373" s="39"/>
      <c r="V373" s="39"/>
      <c r="W373" s="39"/>
      <c r="X373" s="39"/>
      <c r="Y373" s="39"/>
      <c r="Z373" s="39"/>
      <c r="AA373" s="39"/>
      <c r="AB373" s="39"/>
    </row>
    <row r="374">
      <c r="C374" s="39"/>
      <c r="J374" s="39"/>
      <c r="K374" s="39"/>
      <c r="O374" s="39"/>
      <c r="Q374" s="39"/>
      <c r="R374" s="39"/>
      <c r="S374" s="39"/>
      <c r="U374" s="39"/>
      <c r="V374" s="39"/>
      <c r="W374" s="39"/>
      <c r="X374" s="39"/>
      <c r="Y374" s="39"/>
      <c r="Z374" s="39"/>
      <c r="AA374" s="39"/>
      <c r="AB374" s="39"/>
    </row>
    <row r="375">
      <c r="C375" s="39"/>
      <c r="J375" s="39"/>
      <c r="K375" s="39"/>
      <c r="O375" s="39"/>
      <c r="Q375" s="39"/>
      <c r="R375" s="39"/>
      <c r="S375" s="39"/>
      <c r="U375" s="39"/>
      <c r="V375" s="39"/>
      <c r="W375" s="39"/>
      <c r="X375" s="39"/>
      <c r="Y375" s="39"/>
      <c r="Z375" s="39"/>
      <c r="AA375" s="39"/>
      <c r="AB375" s="39"/>
    </row>
    <row r="376">
      <c r="C376" s="39"/>
      <c r="J376" s="39"/>
      <c r="K376" s="39"/>
      <c r="O376" s="39"/>
      <c r="Q376" s="39"/>
      <c r="R376" s="39"/>
      <c r="S376" s="39"/>
      <c r="U376" s="39"/>
      <c r="V376" s="39"/>
      <c r="W376" s="39"/>
      <c r="X376" s="39"/>
      <c r="Y376" s="39"/>
      <c r="Z376" s="39"/>
      <c r="AA376" s="39"/>
      <c r="AB376" s="39"/>
    </row>
    <row r="377">
      <c r="C377" s="39"/>
      <c r="J377" s="39"/>
      <c r="K377" s="39"/>
      <c r="O377" s="39"/>
      <c r="Q377" s="39"/>
      <c r="R377" s="39"/>
      <c r="S377" s="39"/>
      <c r="U377" s="39"/>
      <c r="V377" s="39"/>
      <c r="W377" s="39"/>
      <c r="X377" s="39"/>
      <c r="Y377" s="39"/>
      <c r="Z377" s="39"/>
      <c r="AA377" s="39"/>
      <c r="AB377" s="39"/>
    </row>
    <row r="378">
      <c r="C378" s="39"/>
      <c r="J378" s="39"/>
      <c r="K378" s="39"/>
      <c r="O378" s="39"/>
      <c r="Q378" s="39"/>
      <c r="R378" s="39"/>
      <c r="S378" s="39"/>
      <c r="U378" s="39"/>
      <c r="V378" s="39"/>
      <c r="W378" s="39"/>
      <c r="X378" s="39"/>
      <c r="Y378" s="39"/>
      <c r="Z378" s="39"/>
      <c r="AA378" s="39"/>
      <c r="AB378" s="39"/>
    </row>
    <row r="379">
      <c r="C379" s="39"/>
      <c r="J379" s="39"/>
      <c r="K379" s="39"/>
      <c r="O379" s="39"/>
      <c r="Q379" s="39"/>
      <c r="R379" s="39"/>
      <c r="S379" s="39"/>
      <c r="U379" s="39"/>
      <c r="V379" s="39"/>
      <c r="W379" s="39"/>
      <c r="X379" s="39"/>
      <c r="Y379" s="39"/>
      <c r="Z379" s="39"/>
      <c r="AA379" s="39"/>
      <c r="AB379" s="39"/>
    </row>
    <row r="380">
      <c r="C380" s="39"/>
      <c r="J380" s="39"/>
      <c r="K380" s="39"/>
      <c r="O380" s="39"/>
      <c r="Q380" s="39"/>
      <c r="R380" s="39"/>
      <c r="S380" s="39"/>
      <c r="U380" s="39"/>
      <c r="V380" s="39"/>
      <c r="W380" s="39"/>
      <c r="X380" s="39"/>
      <c r="Y380" s="39"/>
      <c r="Z380" s="39"/>
      <c r="AA380" s="39"/>
      <c r="AB380" s="39"/>
    </row>
    <row r="381">
      <c r="C381" s="39"/>
      <c r="J381" s="39"/>
      <c r="K381" s="39"/>
      <c r="O381" s="39"/>
      <c r="Q381" s="39"/>
      <c r="R381" s="39"/>
      <c r="S381" s="39"/>
      <c r="U381" s="39"/>
      <c r="V381" s="39"/>
      <c r="W381" s="39"/>
      <c r="X381" s="39"/>
      <c r="Y381" s="39"/>
      <c r="Z381" s="39"/>
      <c r="AA381" s="39"/>
      <c r="AB381" s="39"/>
    </row>
    <row r="382">
      <c r="C382" s="39"/>
      <c r="J382" s="39"/>
      <c r="K382" s="39"/>
      <c r="O382" s="39"/>
      <c r="Q382" s="39"/>
      <c r="R382" s="39"/>
      <c r="S382" s="39"/>
      <c r="U382" s="39"/>
      <c r="V382" s="39"/>
      <c r="W382" s="39"/>
      <c r="X382" s="39"/>
      <c r="Y382" s="39"/>
      <c r="Z382" s="39"/>
      <c r="AA382" s="39"/>
      <c r="AB382" s="39"/>
    </row>
    <row r="383">
      <c r="C383" s="39"/>
      <c r="J383" s="39"/>
      <c r="K383" s="39"/>
      <c r="O383" s="39"/>
      <c r="Q383" s="39"/>
      <c r="R383" s="39"/>
      <c r="S383" s="39"/>
      <c r="U383" s="39"/>
      <c r="V383" s="39"/>
      <c r="W383" s="39"/>
      <c r="X383" s="39"/>
      <c r="Y383" s="39"/>
      <c r="Z383" s="39"/>
      <c r="AA383" s="39"/>
      <c r="AB383" s="39"/>
    </row>
    <row r="384">
      <c r="C384" s="39"/>
      <c r="J384" s="39"/>
      <c r="K384" s="39"/>
      <c r="O384" s="39"/>
      <c r="Q384" s="39"/>
      <c r="R384" s="39"/>
      <c r="S384" s="39"/>
      <c r="U384" s="39"/>
      <c r="V384" s="39"/>
      <c r="W384" s="39"/>
      <c r="X384" s="39"/>
      <c r="Y384" s="39"/>
      <c r="Z384" s="39"/>
      <c r="AA384" s="39"/>
      <c r="AB384" s="39"/>
    </row>
    <row r="385">
      <c r="C385" s="39"/>
      <c r="J385" s="39"/>
      <c r="K385" s="39"/>
      <c r="O385" s="39"/>
      <c r="Q385" s="39"/>
      <c r="R385" s="39"/>
      <c r="S385" s="39"/>
      <c r="U385" s="39"/>
      <c r="V385" s="39"/>
      <c r="W385" s="39"/>
      <c r="X385" s="39"/>
      <c r="Y385" s="39"/>
      <c r="Z385" s="39"/>
      <c r="AA385" s="39"/>
      <c r="AB385" s="39"/>
    </row>
    <row r="386">
      <c r="C386" s="39"/>
      <c r="J386" s="39"/>
      <c r="K386" s="39"/>
      <c r="O386" s="39"/>
      <c r="Q386" s="39"/>
      <c r="R386" s="39"/>
      <c r="S386" s="39"/>
      <c r="U386" s="39"/>
      <c r="V386" s="39"/>
      <c r="W386" s="39"/>
      <c r="X386" s="39"/>
      <c r="Y386" s="39"/>
      <c r="Z386" s="39"/>
      <c r="AA386" s="39"/>
      <c r="AB386" s="39"/>
    </row>
    <row r="387">
      <c r="C387" s="39"/>
      <c r="J387" s="39"/>
      <c r="K387" s="39"/>
      <c r="O387" s="39"/>
      <c r="Q387" s="39"/>
      <c r="R387" s="39"/>
      <c r="S387" s="39"/>
      <c r="U387" s="39"/>
      <c r="V387" s="39"/>
      <c r="W387" s="39"/>
      <c r="X387" s="39"/>
      <c r="Y387" s="39"/>
      <c r="Z387" s="39"/>
      <c r="AA387" s="39"/>
      <c r="AB387" s="39"/>
    </row>
    <row r="388">
      <c r="C388" s="39"/>
      <c r="J388" s="39"/>
      <c r="K388" s="39"/>
      <c r="O388" s="39"/>
      <c r="Q388" s="39"/>
      <c r="R388" s="39"/>
      <c r="S388" s="39"/>
      <c r="U388" s="39"/>
      <c r="V388" s="39"/>
      <c r="W388" s="39"/>
      <c r="X388" s="39"/>
      <c r="Y388" s="39"/>
      <c r="Z388" s="39"/>
      <c r="AA388" s="39"/>
      <c r="AB388" s="39"/>
    </row>
    <row r="389">
      <c r="C389" s="39"/>
      <c r="J389" s="39"/>
      <c r="K389" s="39"/>
      <c r="O389" s="39"/>
      <c r="Q389" s="39"/>
      <c r="R389" s="39"/>
      <c r="S389" s="39"/>
      <c r="U389" s="39"/>
      <c r="V389" s="39"/>
      <c r="W389" s="39"/>
      <c r="X389" s="39"/>
      <c r="Y389" s="39"/>
      <c r="Z389" s="39"/>
      <c r="AA389" s="39"/>
      <c r="AB389" s="39"/>
    </row>
    <row r="390">
      <c r="C390" s="39"/>
      <c r="J390" s="39"/>
      <c r="K390" s="39"/>
      <c r="O390" s="39"/>
      <c r="Q390" s="39"/>
      <c r="R390" s="39"/>
      <c r="S390" s="39"/>
      <c r="U390" s="39"/>
      <c r="V390" s="39"/>
      <c r="W390" s="39"/>
      <c r="X390" s="39"/>
      <c r="Y390" s="39"/>
      <c r="Z390" s="39"/>
      <c r="AA390" s="39"/>
      <c r="AB390" s="39"/>
    </row>
    <row r="391">
      <c r="C391" s="39"/>
      <c r="J391" s="39"/>
      <c r="K391" s="39"/>
      <c r="O391" s="39"/>
      <c r="Q391" s="39"/>
      <c r="R391" s="39"/>
      <c r="S391" s="39"/>
      <c r="U391" s="39"/>
      <c r="V391" s="39"/>
      <c r="W391" s="39"/>
      <c r="X391" s="39"/>
      <c r="Y391" s="39"/>
      <c r="Z391" s="39"/>
      <c r="AA391" s="39"/>
      <c r="AB391" s="39"/>
    </row>
    <row r="392">
      <c r="C392" s="39"/>
      <c r="J392" s="39"/>
      <c r="K392" s="39"/>
      <c r="O392" s="39"/>
      <c r="Q392" s="39"/>
      <c r="R392" s="39"/>
      <c r="S392" s="39"/>
      <c r="U392" s="39"/>
      <c r="V392" s="39"/>
      <c r="W392" s="39"/>
      <c r="X392" s="39"/>
      <c r="Y392" s="39"/>
      <c r="Z392" s="39"/>
      <c r="AA392" s="39"/>
      <c r="AB392" s="39"/>
    </row>
    <row r="393">
      <c r="C393" s="39"/>
      <c r="J393" s="39"/>
      <c r="K393" s="39"/>
      <c r="O393" s="39"/>
      <c r="Q393" s="39"/>
      <c r="R393" s="39"/>
      <c r="S393" s="39"/>
      <c r="U393" s="39"/>
      <c r="V393" s="39"/>
      <c r="W393" s="39"/>
      <c r="X393" s="39"/>
      <c r="Y393" s="39"/>
      <c r="Z393" s="39"/>
      <c r="AA393" s="39"/>
      <c r="AB393" s="39"/>
    </row>
    <row r="394">
      <c r="C394" s="39"/>
      <c r="J394" s="39"/>
      <c r="K394" s="39"/>
      <c r="O394" s="39"/>
      <c r="Q394" s="39"/>
      <c r="R394" s="39"/>
      <c r="S394" s="39"/>
      <c r="U394" s="39"/>
      <c r="V394" s="39"/>
      <c r="W394" s="39"/>
      <c r="X394" s="39"/>
      <c r="Y394" s="39"/>
      <c r="Z394" s="39"/>
      <c r="AA394" s="39"/>
      <c r="AB394" s="39"/>
    </row>
    <row r="395">
      <c r="C395" s="39"/>
      <c r="J395" s="39"/>
      <c r="K395" s="39"/>
      <c r="O395" s="39"/>
      <c r="Q395" s="39"/>
      <c r="R395" s="39"/>
      <c r="S395" s="39"/>
      <c r="U395" s="39"/>
      <c r="V395" s="39"/>
      <c r="W395" s="39"/>
      <c r="X395" s="39"/>
      <c r="Y395" s="39"/>
      <c r="Z395" s="39"/>
      <c r="AA395" s="39"/>
      <c r="AB395" s="39"/>
    </row>
    <row r="396">
      <c r="C396" s="39"/>
      <c r="J396" s="39"/>
      <c r="K396" s="39"/>
      <c r="O396" s="39"/>
      <c r="Q396" s="39"/>
      <c r="R396" s="39"/>
      <c r="S396" s="39"/>
      <c r="U396" s="39"/>
      <c r="V396" s="39"/>
      <c r="W396" s="39"/>
      <c r="X396" s="39"/>
      <c r="Y396" s="39"/>
      <c r="Z396" s="39"/>
      <c r="AA396" s="39"/>
      <c r="AB396" s="39"/>
    </row>
    <row r="397">
      <c r="C397" s="39"/>
      <c r="J397" s="39"/>
      <c r="K397" s="39"/>
      <c r="O397" s="39"/>
      <c r="Q397" s="39"/>
      <c r="R397" s="39"/>
      <c r="S397" s="39"/>
      <c r="U397" s="39"/>
      <c r="V397" s="39"/>
      <c r="W397" s="39"/>
      <c r="X397" s="39"/>
      <c r="Y397" s="39"/>
      <c r="Z397" s="39"/>
      <c r="AA397" s="39"/>
      <c r="AB397" s="39"/>
    </row>
    <row r="398">
      <c r="C398" s="39"/>
      <c r="J398" s="39"/>
      <c r="K398" s="39"/>
      <c r="O398" s="39"/>
      <c r="Q398" s="39"/>
      <c r="R398" s="39"/>
      <c r="S398" s="39"/>
      <c r="U398" s="39"/>
      <c r="V398" s="39"/>
      <c r="W398" s="39"/>
      <c r="X398" s="39"/>
      <c r="Y398" s="39"/>
      <c r="Z398" s="39"/>
      <c r="AA398" s="39"/>
      <c r="AB398" s="39"/>
    </row>
    <row r="399">
      <c r="C399" s="39"/>
      <c r="J399" s="39"/>
      <c r="K399" s="39"/>
      <c r="O399" s="39"/>
      <c r="Q399" s="39"/>
      <c r="R399" s="39"/>
      <c r="S399" s="39"/>
      <c r="U399" s="39"/>
      <c r="V399" s="39"/>
      <c r="W399" s="39"/>
      <c r="X399" s="39"/>
      <c r="Y399" s="39"/>
      <c r="Z399" s="39"/>
      <c r="AA399" s="39"/>
      <c r="AB399" s="39"/>
    </row>
    <row r="400">
      <c r="C400" s="39"/>
      <c r="J400" s="39"/>
      <c r="K400" s="39"/>
      <c r="O400" s="39"/>
      <c r="Q400" s="39"/>
      <c r="R400" s="39"/>
      <c r="S400" s="39"/>
      <c r="U400" s="39"/>
      <c r="V400" s="39"/>
      <c r="W400" s="39"/>
      <c r="X400" s="39"/>
      <c r="Y400" s="39"/>
      <c r="Z400" s="39"/>
      <c r="AA400" s="39"/>
      <c r="AB400" s="39"/>
    </row>
    <row r="401">
      <c r="C401" s="39"/>
      <c r="J401" s="39"/>
      <c r="K401" s="39"/>
      <c r="O401" s="39"/>
      <c r="Q401" s="39"/>
      <c r="R401" s="39"/>
      <c r="S401" s="39"/>
      <c r="U401" s="39"/>
      <c r="V401" s="39"/>
      <c r="W401" s="39"/>
      <c r="X401" s="39"/>
      <c r="Y401" s="39"/>
      <c r="Z401" s="39"/>
      <c r="AA401" s="39"/>
      <c r="AB401" s="39"/>
    </row>
    <row r="402">
      <c r="C402" s="39"/>
      <c r="J402" s="39"/>
      <c r="K402" s="39"/>
      <c r="O402" s="39"/>
      <c r="Q402" s="39"/>
      <c r="R402" s="39"/>
      <c r="S402" s="39"/>
      <c r="U402" s="39"/>
      <c r="V402" s="39"/>
      <c r="W402" s="39"/>
      <c r="X402" s="39"/>
      <c r="Y402" s="39"/>
      <c r="Z402" s="39"/>
      <c r="AA402" s="39"/>
      <c r="AB402" s="39"/>
    </row>
    <row r="403">
      <c r="C403" s="39"/>
      <c r="J403" s="39"/>
      <c r="K403" s="39"/>
      <c r="O403" s="39"/>
      <c r="Q403" s="39"/>
      <c r="R403" s="39"/>
      <c r="S403" s="39"/>
      <c r="U403" s="39"/>
      <c r="V403" s="39"/>
      <c r="W403" s="39"/>
      <c r="X403" s="39"/>
      <c r="Y403" s="39"/>
      <c r="Z403" s="39"/>
      <c r="AA403" s="39"/>
      <c r="AB403" s="39"/>
    </row>
    <row r="404">
      <c r="C404" s="39"/>
      <c r="J404" s="39"/>
      <c r="K404" s="39"/>
      <c r="O404" s="39"/>
      <c r="Q404" s="39"/>
      <c r="R404" s="39"/>
      <c r="S404" s="39"/>
      <c r="U404" s="39"/>
      <c r="V404" s="39"/>
      <c r="W404" s="39"/>
      <c r="X404" s="39"/>
      <c r="Y404" s="39"/>
      <c r="Z404" s="39"/>
      <c r="AA404" s="39"/>
      <c r="AB404" s="39"/>
    </row>
    <row r="405">
      <c r="C405" s="39"/>
      <c r="J405" s="39"/>
      <c r="K405" s="39"/>
      <c r="O405" s="39"/>
      <c r="Q405" s="39"/>
      <c r="R405" s="39"/>
      <c r="S405" s="39"/>
      <c r="U405" s="39"/>
      <c r="V405" s="39"/>
      <c r="W405" s="39"/>
      <c r="X405" s="39"/>
      <c r="Y405" s="39"/>
      <c r="Z405" s="39"/>
      <c r="AA405" s="39"/>
      <c r="AB405" s="39"/>
    </row>
    <row r="406">
      <c r="C406" s="39"/>
      <c r="J406" s="39"/>
      <c r="K406" s="39"/>
      <c r="O406" s="39"/>
      <c r="Q406" s="39"/>
      <c r="R406" s="39"/>
      <c r="S406" s="39"/>
      <c r="U406" s="39"/>
      <c r="V406" s="39"/>
      <c r="W406" s="39"/>
      <c r="X406" s="39"/>
      <c r="Y406" s="39"/>
      <c r="Z406" s="39"/>
      <c r="AA406" s="39"/>
      <c r="AB406" s="39"/>
    </row>
    <row r="407">
      <c r="C407" s="39"/>
      <c r="J407" s="39"/>
      <c r="K407" s="39"/>
      <c r="O407" s="39"/>
      <c r="Q407" s="39"/>
      <c r="R407" s="39"/>
      <c r="S407" s="39"/>
      <c r="U407" s="39"/>
      <c r="V407" s="39"/>
      <c r="W407" s="39"/>
      <c r="X407" s="39"/>
      <c r="Y407" s="39"/>
      <c r="Z407" s="39"/>
      <c r="AA407" s="39"/>
      <c r="AB407" s="39"/>
    </row>
    <row r="408">
      <c r="C408" s="39"/>
      <c r="J408" s="39"/>
      <c r="K408" s="39"/>
      <c r="O408" s="39"/>
      <c r="Q408" s="39"/>
      <c r="R408" s="39"/>
      <c r="S408" s="39"/>
      <c r="U408" s="39"/>
      <c r="V408" s="39"/>
      <c r="W408" s="39"/>
      <c r="X408" s="39"/>
      <c r="Y408" s="39"/>
      <c r="Z408" s="39"/>
      <c r="AA408" s="39"/>
      <c r="AB408" s="39"/>
    </row>
    <row r="409">
      <c r="C409" s="39"/>
      <c r="J409" s="39"/>
      <c r="K409" s="39"/>
      <c r="O409" s="39"/>
      <c r="Q409" s="39"/>
      <c r="R409" s="39"/>
      <c r="S409" s="39"/>
      <c r="U409" s="39"/>
      <c r="V409" s="39"/>
      <c r="W409" s="39"/>
      <c r="X409" s="39"/>
      <c r="Y409" s="39"/>
      <c r="Z409" s="39"/>
      <c r="AA409" s="39"/>
      <c r="AB409" s="39"/>
    </row>
    <row r="410">
      <c r="C410" s="39"/>
      <c r="J410" s="39"/>
      <c r="K410" s="39"/>
      <c r="O410" s="39"/>
      <c r="Q410" s="39"/>
      <c r="R410" s="39"/>
      <c r="S410" s="39"/>
      <c r="U410" s="39"/>
      <c r="V410" s="39"/>
      <c r="W410" s="39"/>
      <c r="X410" s="39"/>
      <c r="Y410" s="39"/>
      <c r="Z410" s="39"/>
      <c r="AA410" s="39"/>
      <c r="AB410" s="39"/>
    </row>
    <row r="411">
      <c r="C411" s="39"/>
      <c r="J411" s="39"/>
      <c r="K411" s="39"/>
      <c r="O411" s="39"/>
      <c r="Q411" s="39"/>
      <c r="R411" s="39"/>
      <c r="S411" s="39"/>
      <c r="U411" s="39"/>
      <c r="V411" s="39"/>
      <c r="W411" s="39"/>
      <c r="X411" s="39"/>
      <c r="Y411" s="39"/>
      <c r="Z411" s="39"/>
      <c r="AA411" s="39"/>
      <c r="AB411" s="39"/>
    </row>
    <row r="412">
      <c r="C412" s="39"/>
      <c r="J412" s="39"/>
      <c r="K412" s="39"/>
      <c r="O412" s="39"/>
      <c r="Q412" s="39"/>
      <c r="R412" s="39"/>
      <c r="S412" s="39"/>
      <c r="U412" s="39"/>
      <c r="V412" s="39"/>
      <c r="W412" s="39"/>
      <c r="X412" s="39"/>
      <c r="Y412" s="39"/>
      <c r="Z412" s="39"/>
      <c r="AA412" s="39"/>
      <c r="AB412" s="39"/>
    </row>
    <row r="413">
      <c r="C413" s="39"/>
      <c r="J413" s="39"/>
      <c r="K413" s="39"/>
      <c r="O413" s="39"/>
      <c r="Q413" s="39"/>
      <c r="R413" s="39"/>
      <c r="S413" s="39"/>
      <c r="U413" s="39"/>
      <c r="V413" s="39"/>
      <c r="W413" s="39"/>
      <c r="X413" s="39"/>
      <c r="Y413" s="39"/>
      <c r="Z413" s="39"/>
      <c r="AA413" s="39"/>
      <c r="AB413" s="39"/>
    </row>
    <row r="414">
      <c r="C414" s="39"/>
      <c r="J414" s="39"/>
      <c r="K414" s="39"/>
      <c r="O414" s="39"/>
      <c r="Q414" s="39"/>
      <c r="R414" s="39"/>
      <c r="S414" s="39"/>
      <c r="U414" s="39"/>
      <c r="V414" s="39"/>
      <c r="W414" s="39"/>
      <c r="X414" s="39"/>
      <c r="Y414" s="39"/>
      <c r="Z414" s="39"/>
      <c r="AA414" s="39"/>
      <c r="AB414" s="39"/>
    </row>
    <row r="415">
      <c r="C415" s="39"/>
      <c r="J415" s="39"/>
      <c r="K415" s="39"/>
      <c r="O415" s="39"/>
      <c r="Q415" s="39"/>
      <c r="R415" s="39"/>
      <c r="S415" s="39"/>
      <c r="U415" s="39"/>
      <c r="V415" s="39"/>
      <c r="W415" s="39"/>
      <c r="X415" s="39"/>
      <c r="Y415" s="39"/>
      <c r="Z415" s="39"/>
      <c r="AA415" s="39"/>
      <c r="AB415" s="39"/>
    </row>
    <row r="416">
      <c r="C416" s="39"/>
      <c r="J416" s="39"/>
      <c r="K416" s="39"/>
      <c r="O416" s="39"/>
      <c r="Q416" s="39"/>
      <c r="R416" s="39"/>
      <c r="S416" s="39"/>
      <c r="U416" s="39"/>
      <c r="V416" s="39"/>
      <c r="W416" s="39"/>
      <c r="X416" s="39"/>
      <c r="Y416" s="39"/>
      <c r="Z416" s="39"/>
      <c r="AA416" s="39"/>
      <c r="AB416" s="39"/>
    </row>
    <row r="417">
      <c r="C417" s="39"/>
      <c r="J417" s="39"/>
      <c r="K417" s="39"/>
      <c r="O417" s="39"/>
      <c r="Q417" s="39"/>
      <c r="R417" s="39"/>
      <c r="S417" s="39"/>
      <c r="U417" s="39"/>
      <c r="V417" s="39"/>
      <c r="W417" s="39"/>
      <c r="X417" s="39"/>
      <c r="Y417" s="39"/>
      <c r="Z417" s="39"/>
      <c r="AA417" s="39"/>
      <c r="AB417" s="39"/>
    </row>
    <row r="418">
      <c r="C418" s="39"/>
      <c r="J418" s="39"/>
      <c r="K418" s="39"/>
      <c r="O418" s="39"/>
      <c r="Q418" s="39"/>
      <c r="R418" s="39"/>
      <c r="S418" s="39"/>
      <c r="U418" s="39"/>
      <c r="V418" s="39"/>
      <c r="W418" s="39"/>
      <c r="X418" s="39"/>
      <c r="Y418" s="39"/>
      <c r="Z418" s="39"/>
      <c r="AA418" s="39"/>
      <c r="AB418" s="39"/>
    </row>
    <row r="419">
      <c r="C419" s="39"/>
      <c r="J419" s="39"/>
      <c r="K419" s="39"/>
      <c r="O419" s="39"/>
      <c r="Q419" s="39"/>
      <c r="R419" s="39"/>
      <c r="S419" s="39"/>
      <c r="U419" s="39"/>
      <c r="V419" s="39"/>
      <c r="W419" s="39"/>
      <c r="X419" s="39"/>
      <c r="Y419" s="39"/>
      <c r="Z419" s="39"/>
      <c r="AA419" s="39"/>
      <c r="AB419" s="39"/>
    </row>
    <row r="420">
      <c r="C420" s="39"/>
      <c r="J420" s="39"/>
      <c r="K420" s="39"/>
      <c r="O420" s="39"/>
      <c r="Q420" s="39"/>
      <c r="R420" s="39"/>
      <c r="S420" s="39"/>
      <c r="U420" s="39"/>
      <c r="V420" s="39"/>
      <c r="W420" s="39"/>
      <c r="X420" s="39"/>
      <c r="Y420" s="39"/>
      <c r="Z420" s="39"/>
      <c r="AA420" s="39"/>
      <c r="AB420" s="39"/>
    </row>
    <row r="421">
      <c r="C421" s="39"/>
      <c r="J421" s="39"/>
      <c r="K421" s="39"/>
      <c r="O421" s="39"/>
      <c r="Q421" s="39"/>
      <c r="R421" s="39"/>
      <c r="S421" s="39"/>
      <c r="U421" s="39"/>
      <c r="V421" s="39"/>
      <c r="W421" s="39"/>
      <c r="X421" s="39"/>
      <c r="Y421" s="39"/>
      <c r="Z421" s="39"/>
      <c r="AA421" s="39"/>
      <c r="AB421" s="39"/>
    </row>
    <row r="422">
      <c r="C422" s="39"/>
      <c r="J422" s="39"/>
      <c r="K422" s="39"/>
      <c r="O422" s="39"/>
      <c r="Q422" s="39"/>
      <c r="R422" s="39"/>
      <c r="S422" s="39"/>
      <c r="U422" s="39"/>
      <c r="V422" s="39"/>
      <c r="W422" s="39"/>
      <c r="X422" s="39"/>
      <c r="Y422" s="39"/>
      <c r="Z422" s="39"/>
      <c r="AA422" s="39"/>
      <c r="AB422" s="39"/>
    </row>
    <row r="423">
      <c r="C423" s="39"/>
      <c r="J423" s="39"/>
      <c r="K423" s="39"/>
      <c r="O423" s="39"/>
      <c r="Q423" s="39"/>
      <c r="R423" s="39"/>
      <c r="S423" s="39"/>
      <c r="U423" s="39"/>
      <c r="V423" s="39"/>
      <c r="W423" s="39"/>
      <c r="X423" s="39"/>
      <c r="Y423" s="39"/>
      <c r="Z423" s="39"/>
      <c r="AA423" s="39"/>
      <c r="AB423" s="39"/>
    </row>
    <row r="424">
      <c r="C424" s="39"/>
      <c r="J424" s="39"/>
      <c r="K424" s="39"/>
      <c r="O424" s="39"/>
      <c r="Q424" s="39"/>
      <c r="R424" s="39"/>
      <c r="S424" s="39"/>
      <c r="U424" s="39"/>
      <c r="V424" s="39"/>
      <c r="W424" s="39"/>
      <c r="X424" s="39"/>
      <c r="Y424" s="39"/>
      <c r="Z424" s="39"/>
      <c r="AA424" s="39"/>
      <c r="AB424" s="39"/>
    </row>
    <row r="425">
      <c r="C425" s="39"/>
      <c r="J425" s="39"/>
      <c r="K425" s="39"/>
      <c r="O425" s="39"/>
      <c r="Q425" s="39"/>
      <c r="R425" s="39"/>
      <c r="S425" s="39"/>
      <c r="U425" s="39"/>
      <c r="V425" s="39"/>
      <c r="W425" s="39"/>
      <c r="X425" s="39"/>
      <c r="Y425" s="39"/>
      <c r="Z425" s="39"/>
      <c r="AA425" s="39"/>
      <c r="AB425" s="39"/>
    </row>
    <row r="426">
      <c r="C426" s="39"/>
      <c r="J426" s="39"/>
      <c r="K426" s="39"/>
      <c r="O426" s="39"/>
      <c r="Q426" s="39"/>
      <c r="R426" s="39"/>
      <c r="S426" s="39"/>
      <c r="U426" s="39"/>
      <c r="V426" s="39"/>
      <c r="W426" s="39"/>
      <c r="X426" s="39"/>
      <c r="Y426" s="39"/>
      <c r="Z426" s="39"/>
      <c r="AA426" s="39"/>
      <c r="AB426" s="39"/>
    </row>
    <row r="427">
      <c r="C427" s="39"/>
      <c r="J427" s="39"/>
      <c r="K427" s="39"/>
      <c r="O427" s="39"/>
      <c r="Q427" s="39"/>
      <c r="R427" s="39"/>
      <c r="S427" s="39"/>
      <c r="U427" s="39"/>
      <c r="V427" s="39"/>
      <c r="W427" s="39"/>
      <c r="X427" s="39"/>
      <c r="Y427" s="39"/>
      <c r="Z427" s="39"/>
      <c r="AA427" s="39"/>
      <c r="AB427" s="39"/>
    </row>
    <row r="428">
      <c r="C428" s="39"/>
      <c r="J428" s="39"/>
      <c r="K428" s="39"/>
      <c r="O428" s="39"/>
      <c r="Q428" s="39"/>
      <c r="R428" s="39"/>
      <c r="S428" s="39"/>
      <c r="U428" s="39"/>
      <c r="V428" s="39"/>
      <c r="W428" s="39"/>
      <c r="X428" s="39"/>
      <c r="Y428" s="39"/>
      <c r="Z428" s="39"/>
      <c r="AA428" s="39"/>
      <c r="AB428" s="39"/>
    </row>
    <row r="429">
      <c r="C429" s="39"/>
      <c r="J429" s="39"/>
      <c r="K429" s="39"/>
      <c r="O429" s="39"/>
      <c r="Q429" s="39"/>
      <c r="R429" s="39"/>
      <c r="S429" s="39"/>
      <c r="U429" s="39"/>
      <c r="V429" s="39"/>
      <c r="W429" s="39"/>
      <c r="X429" s="39"/>
      <c r="Y429" s="39"/>
      <c r="Z429" s="39"/>
      <c r="AA429" s="39"/>
      <c r="AB429" s="39"/>
    </row>
    <row r="430">
      <c r="C430" s="39"/>
      <c r="J430" s="39"/>
      <c r="K430" s="39"/>
      <c r="O430" s="39"/>
      <c r="Q430" s="39"/>
      <c r="R430" s="39"/>
      <c r="S430" s="39"/>
      <c r="U430" s="39"/>
      <c r="V430" s="39"/>
      <c r="W430" s="39"/>
      <c r="X430" s="39"/>
      <c r="Y430" s="39"/>
      <c r="Z430" s="39"/>
      <c r="AA430" s="39"/>
      <c r="AB430" s="39"/>
    </row>
    <row r="431">
      <c r="C431" s="39"/>
      <c r="J431" s="39"/>
      <c r="K431" s="39"/>
      <c r="O431" s="39"/>
      <c r="Q431" s="39"/>
      <c r="R431" s="39"/>
      <c r="S431" s="39"/>
      <c r="U431" s="39"/>
      <c r="V431" s="39"/>
      <c r="W431" s="39"/>
      <c r="X431" s="39"/>
      <c r="Y431" s="39"/>
      <c r="Z431" s="39"/>
      <c r="AA431" s="39"/>
      <c r="AB431" s="39"/>
    </row>
    <row r="432">
      <c r="C432" s="39"/>
      <c r="J432" s="39"/>
      <c r="K432" s="39"/>
      <c r="O432" s="39"/>
      <c r="Q432" s="39"/>
      <c r="R432" s="39"/>
      <c r="S432" s="39"/>
      <c r="U432" s="39"/>
      <c r="V432" s="39"/>
      <c r="W432" s="39"/>
      <c r="X432" s="39"/>
      <c r="Y432" s="39"/>
      <c r="Z432" s="39"/>
      <c r="AA432" s="39"/>
      <c r="AB432" s="39"/>
    </row>
    <row r="433">
      <c r="C433" s="39"/>
      <c r="J433" s="39"/>
      <c r="K433" s="39"/>
      <c r="O433" s="39"/>
      <c r="Q433" s="39"/>
      <c r="R433" s="39"/>
      <c r="S433" s="39"/>
      <c r="U433" s="39"/>
      <c r="V433" s="39"/>
      <c r="W433" s="39"/>
      <c r="X433" s="39"/>
      <c r="Y433" s="39"/>
      <c r="Z433" s="39"/>
      <c r="AA433" s="39"/>
      <c r="AB433" s="39"/>
    </row>
    <row r="434">
      <c r="C434" s="39"/>
      <c r="J434" s="39"/>
      <c r="K434" s="39"/>
      <c r="O434" s="39"/>
      <c r="Q434" s="39"/>
      <c r="R434" s="39"/>
      <c r="S434" s="39"/>
      <c r="U434" s="39"/>
      <c r="V434" s="39"/>
      <c r="W434" s="39"/>
      <c r="X434" s="39"/>
      <c r="Y434" s="39"/>
      <c r="Z434" s="39"/>
      <c r="AA434" s="39"/>
      <c r="AB434" s="39"/>
    </row>
    <row r="435">
      <c r="C435" s="39"/>
      <c r="J435" s="39"/>
      <c r="K435" s="39"/>
      <c r="O435" s="39"/>
      <c r="Q435" s="39"/>
      <c r="R435" s="39"/>
      <c r="S435" s="39"/>
      <c r="U435" s="39"/>
      <c r="V435" s="39"/>
      <c r="W435" s="39"/>
      <c r="X435" s="39"/>
      <c r="Y435" s="39"/>
      <c r="Z435" s="39"/>
      <c r="AA435" s="39"/>
      <c r="AB435" s="39"/>
    </row>
    <row r="436">
      <c r="C436" s="39"/>
      <c r="J436" s="39"/>
      <c r="K436" s="39"/>
      <c r="O436" s="39"/>
      <c r="Q436" s="39"/>
      <c r="R436" s="39"/>
      <c r="S436" s="39"/>
      <c r="U436" s="39"/>
      <c r="V436" s="39"/>
      <c r="W436" s="39"/>
      <c r="X436" s="39"/>
      <c r="Y436" s="39"/>
      <c r="Z436" s="39"/>
      <c r="AA436" s="39"/>
      <c r="AB436" s="39"/>
    </row>
    <row r="437">
      <c r="C437" s="39"/>
      <c r="J437" s="39"/>
      <c r="K437" s="39"/>
      <c r="O437" s="39"/>
      <c r="Q437" s="39"/>
      <c r="R437" s="39"/>
      <c r="S437" s="39"/>
      <c r="U437" s="39"/>
      <c r="V437" s="39"/>
      <c r="W437" s="39"/>
      <c r="X437" s="39"/>
      <c r="Y437" s="39"/>
      <c r="Z437" s="39"/>
      <c r="AA437" s="39"/>
      <c r="AB437" s="39"/>
    </row>
    <row r="438">
      <c r="C438" s="39"/>
      <c r="J438" s="39"/>
      <c r="K438" s="39"/>
      <c r="O438" s="39"/>
      <c r="Q438" s="39"/>
      <c r="R438" s="39"/>
      <c r="S438" s="39"/>
      <c r="U438" s="39"/>
      <c r="V438" s="39"/>
      <c r="W438" s="39"/>
      <c r="X438" s="39"/>
      <c r="Y438" s="39"/>
      <c r="Z438" s="39"/>
      <c r="AA438" s="39"/>
      <c r="AB438" s="39"/>
    </row>
    <row r="439">
      <c r="C439" s="39"/>
      <c r="J439" s="39"/>
      <c r="K439" s="39"/>
      <c r="O439" s="39"/>
      <c r="Q439" s="39"/>
      <c r="R439" s="39"/>
      <c r="S439" s="39"/>
      <c r="U439" s="39"/>
      <c r="V439" s="39"/>
      <c r="W439" s="39"/>
      <c r="X439" s="39"/>
      <c r="Y439" s="39"/>
      <c r="Z439" s="39"/>
      <c r="AA439" s="39"/>
      <c r="AB439" s="39"/>
    </row>
    <row r="440">
      <c r="C440" s="39"/>
      <c r="J440" s="39"/>
      <c r="K440" s="39"/>
      <c r="O440" s="39"/>
      <c r="Q440" s="39"/>
      <c r="R440" s="39"/>
      <c r="S440" s="39"/>
      <c r="U440" s="39"/>
      <c r="V440" s="39"/>
      <c r="W440" s="39"/>
      <c r="X440" s="39"/>
      <c r="Y440" s="39"/>
      <c r="Z440" s="39"/>
      <c r="AA440" s="39"/>
      <c r="AB440" s="39"/>
    </row>
    <row r="441">
      <c r="C441" s="39"/>
      <c r="J441" s="39"/>
      <c r="K441" s="39"/>
      <c r="O441" s="39"/>
      <c r="Q441" s="39"/>
      <c r="R441" s="39"/>
      <c r="S441" s="39"/>
      <c r="U441" s="39"/>
      <c r="V441" s="39"/>
      <c r="W441" s="39"/>
      <c r="X441" s="39"/>
      <c r="Y441" s="39"/>
      <c r="Z441" s="39"/>
      <c r="AA441" s="39"/>
      <c r="AB441" s="39"/>
    </row>
    <row r="442">
      <c r="C442" s="39"/>
      <c r="J442" s="39"/>
      <c r="K442" s="39"/>
      <c r="O442" s="39"/>
      <c r="Q442" s="39"/>
      <c r="R442" s="39"/>
      <c r="S442" s="39"/>
      <c r="U442" s="39"/>
      <c r="V442" s="39"/>
      <c r="W442" s="39"/>
      <c r="X442" s="39"/>
      <c r="Y442" s="39"/>
      <c r="Z442" s="39"/>
      <c r="AA442" s="39"/>
      <c r="AB442" s="39"/>
    </row>
    <row r="443">
      <c r="C443" s="39"/>
      <c r="J443" s="39"/>
      <c r="K443" s="39"/>
      <c r="O443" s="39"/>
      <c r="Q443" s="39"/>
      <c r="R443" s="39"/>
      <c r="S443" s="39"/>
      <c r="U443" s="39"/>
      <c r="V443" s="39"/>
      <c r="W443" s="39"/>
      <c r="X443" s="39"/>
      <c r="Y443" s="39"/>
      <c r="Z443" s="39"/>
      <c r="AA443" s="39"/>
      <c r="AB443" s="39"/>
    </row>
    <row r="444">
      <c r="C444" s="39"/>
      <c r="J444" s="39"/>
      <c r="K444" s="39"/>
      <c r="O444" s="39"/>
      <c r="Q444" s="39"/>
      <c r="R444" s="39"/>
      <c r="S444" s="39"/>
      <c r="U444" s="39"/>
      <c r="V444" s="39"/>
      <c r="W444" s="39"/>
      <c r="X444" s="39"/>
      <c r="Y444" s="39"/>
      <c r="Z444" s="39"/>
      <c r="AA444" s="39"/>
      <c r="AB444" s="39"/>
    </row>
    <row r="445">
      <c r="C445" s="39"/>
      <c r="J445" s="39"/>
      <c r="K445" s="39"/>
      <c r="O445" s="39"/>
      <c r="Q445" s="39"/>
      <c r="R445" s="39"/>
      <c r="S445" s="39"/>
      <c r="U445" s="39"/>
      <c r="V445" s="39"/>
      <c r="W445" s="39"/>
      <c r="X445" s="39"/>
      <c r="Y445" s="39"/>
      <c r="Z445" s="39"/>
      <c r="AA445" s="39"/>
      <c r="AB445" s="39"/>
    </row>
    <row r="446">
      <c r="C446" s="39"/>
      <c r="J446" s="39"/>
      <c r="K446" s="39"/>
      <c r="O446" s="39"/>
      <c r="Q446" s="39"/>
      <c r="R446" s="39"/>
      <c r="S446" s="39"/>
      <c r="U446" s="39"/>
      <c r="V446" s="39"/>
      <c r="W446" s="39"/>
      <c r="X446" s="39"/>
      <c r="Y446" s="39"/>
      <c r="Z446" s="39"/>
      <c r="AA446" s="39"/>
      <c r="AB446" s="39"/>
    </row>
    <row r="447">
      <c r="C447" s="39"/>
      <c r="J447" s="39"/>
      <c r="K447" s="39"/>
      <c r="O447" s="39"/>
      <c r="Q447" s="39"/>
      <c r="R447" s="39"/>
      <c r="S447" s="39"/>
      <c r="U447" s="39"/>
      <c r="V447" s="39"/>
      <c r="W447" s="39"/>
      <c r="X447" s="39"/>
      <c r="Y447" s="39"/>
      <c r="Z447" s="39"/>
      <c r="AA447" s="39"/>
      <c r="AB447" s="39"/>
    </row>
    <row r="448">
      <c r="C448" s="39"/>
      <c r="J448" s="39"/>
      <c r="K448" s="39"/>
      <c r="O448" s="39"/>
      <c r="Q448" s="39"/>
      <c r="R448" s="39"/>
      <c r="S448" s="39"/>
      <c r="U448" s="39"/>
      <c r="V448" s="39"/>
      <c r="W448" s="39"/>
      <c r="X448" s="39"/>
      <c r="Y448" s="39"/>
      <c r="Z448" s="39"/>
      <c r="AA448" s="39"/>
      <c r="AB448" s="39"/>
    </row>
    <row r="449">
      <c r="C449" s="39"/>
      <c r="J449" s="39"/>
      <c r="K449" s="39"/>
      <c r="O449" s="39"/>
      <c r="Q449" s="39"/>
      <c r="R449" s="39"/>
      <c r="S449" s="39"/>
      <c r="U449" s="39"/>
      <c r="V449" s="39"/>
      <c r="W449" s="39"/>
      <c r="X449" s="39"/>
      <c r="Y449" s="39"/>
      <c r="Z449" s="39"/>
      <c r="AA449" s="39"/>
      <c r="AB449" s="39"/>
    </row>
    <row r="450">
      <c r="C450" s="39"/>
      <c r="J450" s="39"/>
      <c r="K450" s="39"/>
      <c r="O450" s="39"/>
      <c r="Q450" s="39"/>
      <c r="R450" s="39"/>
      <c r="S450" s="39"/>
      <c r="U450" s="39"/>
      <c r="V450" s="39"/>
      <c r="W450" s="39"/>
      <c r="X450" s="39"/>
      <c r="Y450" s="39"/>
      <c r="Z450" s="39"/>
      <c r="AA450" s="39"/>
      <c r="AB450" s="39"/>
    </row>
    <row r="451">
      <c r="C451" s="39"/>
      <c r="J451" s="39"/>
      <c r="K451" s="39"/>
      <c r="O451" s="39"/>
      <c r="Q451" s="39"/>
      <c r="R451" s="39"/>
      <c r="S451" s="39"/>
      <c r="U451" s="39"/>
      <c r="V451" s="39"/>
      <c r="W451" s="39"/>
      <c r="X451" s="39"/>
      <c r="Y451" s="39"/>
      <c r="Z451" s="39"/>
      <c r="AA451" s="39"/>
      <c r="AB451" s="39"/>
    </row>
    <row r="452">
      <c r="C452" s="39"/>
      <c r="J452" s="39"/>
      <c r="K452" s="39"/>
      <c r="O452" s="39"/>
      <c r="Q452" s="39"/>
      <c r="R452" s="39"/>
      <c r="S452" s="39"/>
      <c r="U452" s="39"/>
      <c r="V452" s="39"/>
      <c r="W452" s="39"/>
      <c r="X452" s="39"/>
      <c r="Y452" s="39"/>
      <c r="Z452" s="39"/>
      <c r="AA452" s="39"/>
      <c r="AB452" s="39"/>
    </row>
    <row r="453">
      <c r="C453" s="39"/>
      <c r="J453" s="39"/>
      <c r="K453" s="39"/>
      <c r="O453" s="39"/>
      <c r="Q453" s="39"/>
      <c r="R453" s="39"/>
      <c r="S453" s="39"/>
      <c r="U453" s="39"/>
      <c r="V453" s="39"/>
      <c r="W453" s="39"/>
      <c r="X453" s="39"/>
      <c r="Y453" s="39"/>
      <c r="Z453" s="39"/>
      <c r="AA453" s="39"/>
      <c r="AB453" s="39"/>
    </row>
    <row r="454">
      <c r="C454" s="39"/>
      <c r="J454" s="39"/>
      <c r="K454" s="39"/>
      <c r="O454" s="39"/>
      <c r="Q454" s="39"/>
      <c r="R454" s="39"/>
      <c r="S454" s="39"/>
      <c r="U454" s="39"/>
      <c r="V454" s="39"/>
      <c r="W454" s="39"/>
      <c r="X454" s="39"/>
      <c r="Y454" s="39"/>
      <c r="Z454" s="39"/>
      <c r="AA454" s="39"/>
      <c r="AB454" s="39"/>
    </row>
    <row r="455">
      <c r="C455" s="39"/>
      <c r="J455" s="39"/>
      <c r="K455" s="39"/>
      <c r="O455" s="39"/>
      <c r="Q455" s="39"/>
      <c r="R455" s="39"/>
      <c r="S455" s="39"/>
      <c r="U455" s="39"/>
      <c r="V455" s="39"/>
      <c r="W455" s="39"/>
      <c r="X455" s="39"/>
      <c r="Y455" s="39"/>
      <c r="Z455" s="39"/>
      <c r="AA455" s="39"/>
      <c r="AB455" s="39"/>
    </row>
    <row r="456">
      <c r="C456" s="39"/>
      <c r="J456" s="39"/>
      <c r="K456" s="39"/>
      <c r="O456" s="39"/>
      <c r="Q456" s="39"/>
      <c r="R456" s="39"/>
      <c r="S456" s="39"/>
      <c r="U456" s="39"/>
      <c r="V456" s="39"/>
      <c r="W456" s="39"/>
      <c r="X456" s="39"/>
      <c r="Y456" s="39"/>
      <c r="Z456" s="39"/>
      <c r="AA456" s="39"/>
      <c r="AB456" s="39"/>
    </row>
    <row r="457">
      <c r="C457" s="39"/>
      <c r="J457" s="39"/>
      <c r="K457" s="39"/>
      <c r="O457" s="39"/>
      <c r="Q457" s="39"/>
      <c r="R457" s="39"/>
      <c r="S457" s="39"/>
      <c r="U457" s="39"/>
      <c r="V457" s="39"/>
      <c r="W457" s="39"/>
      <c r="X457" s="39"/>
      <c r="Y457" s="39"/>
      <c r="Z457" s="39"/>
      <c r="AA457" s="39"/>
      <c r="AB457" s="39"/>
    </row>
    <row r="458">
      <c r="C458" s="39"/>
      <c r="J458" s="39"/>
      <c r="K458" s="39"/>
      <c r="O458" s="39"/>
      <c r="Q458" s="39"/>
      <c r="R458" s="39"/>
      <c r="S458" s="39"/>
      <c r="U458" s="39"/>
      <c r="V458" s="39"/>
      <c r="W458" s="39"/>
      <c r="X458" s="39"/>
      <c r="Y458" s="39"/>
      <c r="Z458" s="39"/>
      <c r="AA458" s="39"/>
      <c r="AB458" s="39"/>
    </row>
    <row r="459">
      <c r="C459" s="39"/>
      <c r="J459" s="39"/>
      <c r="K459" s="39"/>
      <c r="O459" s="39"/>
      <c r="Q459" s="39"/>
      <c r="R459" s="39"/>
      <c r="S459" s="39"/>
      <c r="U459" s="39"/>
      <c r="V459" s="39"/>
      <c r="W459" s="39"/>
      <c r="X459" s="39"/>
      <c r="Y459" s="39"/>
      <c r="Z459" s="39"/>
      <c r="AA459" s="39"/>
      <c r="AB459" s="39"/>
    </row>
    <row r="460">
      <c r="C460" s="39"/>
      <c r="J460" s="39"/>
      <c r="K460" s="39"/>
      <c r="O460" s="39"/>
      <c r="Q460" s="39"/>
      <c r="R460" s="39"/>
      <c r="S460" s="39"/>
      <c r="U460" s="39"/>
      <c r="V460" s="39"/>
      <c r="W460" s="39"/>
      <c r="X460" s="39"/>
      <c r="Y460" s="39"/>
      <c r="Z460" s="39"/>
      <c r="AA460" s="39"/>
      <c r="AB460" s="39"/>
    </row>
    <row r="461">
      <c r="C461" s="39"/>
      <c r="J461" s="39"/>
      <c r="K461" s="39"/>
      <c r="O461" s="39"/>
      <c r="Q461" s="39"/>
      <c r="R461" s="39"/>
      <c r="S461" s="39"/>
      <c r="U461" s="39"/>
      <c r="V461" s="39"/>
      <c r="W461" s="39"/>
      <c r="X461" s="39"/>
      <c r="Y461" s="39"/>
      <c r="Z461" s="39"/>
      <c r="AA461" s="39"/>
      <c r="AB461" s="39"/>
    </row>
    <row r="462">
      <c r="C462" s="39"/>
      <c r="J462" s="39"/>
      <c r="K462" s="39"/>
      <c r="O462" s="39"/>
      <c r="Q462" s="39"/>
      <c r="R462" s="39"/>
      <c r="S462" s="39"/>
      <c r="U462" s="39"/>
      <c r="V462" s="39"/>
      <c r="W462" s="39"/>
      <c r="X462" s="39"/>
      <c r="Y462" s="39"/>
      <c r="Z462" s="39"/>
      <c r="AA462" s="39"/>
      <c r="AB462" s="39"/>
    </row>
    <row r="463">
      <c r="C463" s="39"/>
      <c r="J463" s="39"/>
      <c r="K463" s="39"/>
      <c r="O463" s="39"/>
      <c r="Q463" s="39"/>
      <c r="R463" s="39"/>
      <c r="S463" s="39"/>
      <c r="U463" s="39"/>
      <c r="V463" s="39"/>
      <c r="W463" s="39"/>
      <c r="X463" s="39"/>
      <c r="Y463" s="39"/>
      <c r="Z463" s="39"/>
      <c r="AA463" s="39"/>
      <c r="AB463" s="39"/>
    </row>
    <row r="464">
      <c r="C464" s="39"/>
      <c r="J464" s="39"/>
      <c r="K464" s="39"/>
      <c r="O464" s="39"/>
      <c r="Q464" s="39"/>
      <c r="R464" s="39"/>
      <c r="S464" s="39"/>
      <c r="U464" s="39"/>
      <c r="V464" s="39"/>
      <c r="W464" s="39"/>
      <c r="X464" s="39"/>
      <c r="Y464" s="39"/>
      <c r="Z464" s="39"/>
      <c r="AA464" s="39"/>
      <c r="AB464" s="39"/>
    </row>
    <row r="465">
      <c r="C465" s="39"/>
      <c r="J465" s="39"/>
      <c r="K465" s="39"/>
      <c r="O465" s="39"/>
      <c r="Q465" s="39"/>
      <c r="R465" s="39"/>
      <c r="S465" s="39"/>
      <c r="U465" s="39"/>
      <c r="V465" s="39"/>
      <c r="W465" s="39"/>
      <c r="X465" s="39"/>
      <c r="Y465" s="39"/>
      <c r="Z465" s="39"/>
      <c r="AA465" s="39"/>
      <c r="AB465" s="39"/>
    </row>
    <row r="466">
      <c r="C466" s="39"/>
      <c r="J466" s="39"/>
      <c r="K466" s="39"/>
      <c r="O466" s="39"/>
      <c r="Q466" s="39"/>
      <c r="R466" s="39"/>
      <c r="S466" s="39"/>
      <c r="U466" s="39"/>
      <c r="V466" s="39"/>
      <c r="W466" s="39"/>
      <c r="X466" s="39"/>
      <c r="Y466" s="39"/>
      <c r="Z466" s="39"/>
      <c r="AA466" s="39"/>
      <c r="AB466" s="39"/>
    </row>
    <row r="467">
      <c r="C467" s="39"/>
      <c r="J467" s="39"/>
      <c r="K467" s="39"/>
      <c r="O467" s="39"/>
      <c r="Q467" s="39"/>
      <c r="R467" s="39"/>
      <c r="S467" s="39"/>
      <c r="U467" s="39"/>
      <c r="V467" s="39"/>
      <c r="W467" s="39"/>
      <c r="X467" s="39"/>
      <c r="Y467" s="39"/>
      <c r="Z467" s="39"/>
      <c r="AA467" s="39"/>
      <c r="AB467" s="39"/>
    </row>
    <row r="468">
      <c r="C468" s="39"/>
      <c r="J468" s="39"/>
      <c r="K468" s="39"/>
      <c r="O468" s="39"/>
      <c r="Q468" s="39"/>
      <c r="R468" s="39"/>
      <c r="S468" s="39"/>
      <c r="U468" s="39"/>
      <c r="V468" s="39"/>
      <c r="W468" s="39"/>
      <c r="X468" s="39"/>
      <c r="Y468" s="39"/>
      <c r="Z468" s="39"/>
      <c r="AA468" s="39"/>
      <c r="AB468" s="39"/>
    </row>
    <row r="469">
      <c r="C469" s="39"/>
      <c r="J469" s="39"/>
      <c r="K469" s="39"/>
      <c r="O469" s="39"/>
      <c r="Q469" s="39"/>
      <c r="R469" s="39"/>
      <c r="S469" s="39"/>
      <c r="U469" s="39"/>
      <c r="V469" s="39"/>
      <c r="W469" s="39"/>
      <c r="X469" s="39"/>
      <c r="Y469" s="39"/>
      <c r="Z469" s="39"/>
      <c r="AA469" s="39"/>
      <c r="AB469" s="39"/>
    </row>
    <row r="470">
      <c r="C470" s="39"/>
      <c r="J470" s="39"/>
      <c r="K470" s="39"/>
      <c r="O470" s="39"/>
      <c r="Q470" s="39"/>
      <c r="R470" s="39"/>
      <c r="S470" s="39"/>
      <c r="U470" s="39"/>
      <c r="V470" s="39"/>
      <c r="W470" s="39"/>
      <c r="X470" s="39"/>
      <c r="Y470" s="39"/>
      <c r="Z470" s="39"/>
      <c r="AA470" s="39"/>
      <c r="AB470" s="39"/>
    </row>
    <row r="471">
      <c r="C471" s="39"/>
      <c r="J471" s="39"/>
      <c r="K471" s="39"/>
      <c r="O471" s="39"/>
      <c r="Q471" s="39"/>
      <c r="R471" s="39"/>
      <c r="S471" s="39"/>
      <c r="U471" s="39"/>
      <c r="V471" s="39"/>
      <c r="W471" s="39"/>
      <c r="X471" s="39"/>
      <c r="Y471" s="39"/>
      <c r="Z471" s="39"/>
      <c r="AA471" s="39"/>
      <c r="AB471" s="39"/>
    </row>
    <row r="472">
      <c r="C472" s="39"/>
      <c r="J472" s="39"/>
      <c r="K472" s="39"/>
      <c r="O472" s="39"/>
      <c r="Q472" s="39"/>
      <c r="R472" s="39"/>
      <c r="S472" s="39"/>
      <c r="U472" s="39"/>
      <c r="V472" s="39"/>
      <c r="W472" s="39"/>
      <c r="X472" s="39"/>
      <c r="Y472" s="39"/>
      <c r="Z472" s="39"/>
      <c r="AA472" s="39"/>
      <c r="AB472" s="39"/>
    </row>
    <row r="473">
      <c r="C473" s="39"/>
      <c r="J473" s="39"/>
      <c r="K473" s="39"/>
      <c r="O473" s="39"/>
      <c r="Q473" s="39"/>
      <c r="R473" s="39"/>
      <c r="S473" s="39"/>
      <c r="U473" s="39"/>
      <c r="V473" s="39"/>
      <c r="W473" s="39"/>
      <c r="X473" s="39"/>
      <c r="Y473" s="39"/>
      <c r="Z473" s="39"/>
      <c r="AA473" s="39"/>
      <c r="AB473" s="39"/>
    </row>
    <row r="474">
      <c r="C474" s="39"/>
      <c r="J474" s="39"/>
      <c r="K474" s="39"/>
      <c r="O474" s="39"/>
      <c r="Q474" s="39"/>
      <c r="R474" s="39"/>
      <c r="S474" s="39"/>
      <c r="U474" s="39"/>
      <c r="V474" s="39"/>
      <c r="W474" s="39"/>
      <c r="X474" s="39"/>
      <c r="Y474" s="39"/>
      <c r="Z474" s="39"/>
      <c r="AA474" s="39"/>
      <c r="AB474" s="39"/>
    </row>
    <row r="475">
      <c r="C475" s="39"/>
      <c r="J475" s="39"/>
      <c r="K475" s="39"/>
      <c r="O475" s="39"/>
      <c r="Q475" s="39"/>
      <c r="R475" s="39"/>
      <c r="S475" s="39"/>
      <c r="U475" s="39"/>
      <c r="V475" s="39"/>
      <c r="W475" s="39"/>
      <c r="X475" s="39"/>
      <c r="Y475" s="39"/>
      <c r="Z475" s="39"/>
      <c r="AA475" s="39"/>
      <c r="AB475" s="39"/>
    </row>
    <row r="476">
      <c r="C476" s="39"/>
      <c r="J476" s="39"/>
      <c r="K476" s="39"/>
      <c r="O476" s="39"/>
      <c r="Q476" s="39"/>
      <c r="R476" s="39"/>
      <c r="S476" s="39"/>
      <c r="U476" s="39"/>
      <c r="V476" s="39"/>
      <c r="W476" s="39"/>
      <c r="X476" s="39"/>
      <c r="Y476" s="39"/>
      <c r="Z476" s="39"/>
      <c r="AA476" s="39"/>
      <c r="AB476" s="39"/>
    </row>
    <row r="477">
      <c r="C477" s="39"/>
      <c r="J477" s="39"/>
      <c r="K477" s="39"/>
      <c r="O477" s="39"/>
      <c r="Q477" s="39"/>
      <c r="R477" s="39"/>
      <c r="S477" s="39"/>
      <c r="U477" s="39"/>
      <c r="V477" s="39"/>
      <c r="W477" s="39"/>
      <c r="X477" s="39"/>
      <c r="Y477" s="39"/>
      <c r="Z477" s="39"/>
      <c r="AA477" s="39"/>
      <c r="AB477" s="39"/>
    </row>
    <row r="478">
      <c r="C478" s="39"/>
      <c r="J478" s="39"/>
      <c r="K478" s="39"/>
      <c r="O478" s="39"/>
      <c r="Q478" s="39"/>
      <c r="R478" s="39"/>
      <c r="S478" s="39"/>
      <c r="U478" s="39"/>
      <c r="V478" s="39"/>
      <c r="W478" s="39"/>
      <c r="X478" s="39"/>
      <c r="Y478" s="39"/>
      <c r="Z478" s="39"/>
      <c r="AA478" s="39"/>
      <c r="AB478" s="39"/>
    </row>
    <row r="479">
      <c r="C479" s="39"/>
      <c r="J479" s="39"/>
      <c r="K479" s="39"/>
      <c r="O479" s="39"/>
      <c r="Q479" s="39"/>
      <c r="R479" s="39"/>
      <c r="S479" s="39"/>
      <c r="U479" s="39"/>
      <c r="V479" s="39"/>
      <c r="W479" s="39"/>
      <c r="X479" s="39"/>
      <c r="Y479" s="39"/>
      <c r="Z479" s="39"/>
      <c r="AA479" s="39"/>
      <c r="AB479" s="39"/>
    </row>
    <row r="480">
      <c r="C480" s="39"/>
      <c r="J480" s="39"/>
      <c r="K480" s="39"/>
      <c r="O480" s="39"/>
      <c r="Q480" s="39"/>
      <c r="R480" s="39"/>
      <c r="S480" s="39"/>
      <c r="U480" s="39"/>
      <c r="V480" s="39"/>
      <c r="W480" s="39"/>
      <c r="X480" s="39"/>
      <c r="Y480" s="39"/>
      <c r="Z480" s="39"/>
      <c r="AA480" s="39"/>
      <c r="AB480" s="39"/>
    </row>
    <row r="481">
      <c r="C481" s="39"/>
      <c r="J481" s="39"/>
      <c r="K481" s="39"/>
      <c r="O481" s="39"/>
      <c r="Q481" s="39"/>
      <c r="R481" s="39"/>
      <c r="S481" s="39"/>
      <c r="U481" s="39"/>
      <c r="V481" s="39"/>
      <c r="W481" s="39"/>
      <c r="X481" s="39"/>
      <c r="Y481" s="39"/>
      <c r="Z481" s="39"/>
      <c r="AA481" s="39"/>
      <c r="AB481" s="39"/>
    </row>
    <row r="482">
      <c r="C482" s="39"/>
      <c r="J482" s="39"/>
      <c r="K482" s="39"/>
      <c r="O482" s="39"/>
      <c r="Q482" s="39"/>
      <c r="R482" s="39"/>
      <c r="S482" s="39"/>
      <c r="U482" s="39"/>
      <c r="V482" s="39"/>
      <c r="W482" s="39"/>
      <c r="X482" s="39"/>
      <c r="Y482" s="39"/>
      <c r="Z482" s="39"/>
      <c r="AA482" s="39"/>
      <c r="AB482" s="39"/>
    </row>
    <row r="483">
      <c r="C483" s="39"/>
      <c r="J483" s="39"/>
      <c r="K483" s="39"/>
      <c r="O483" s="39"/>
      <c r="Q483" s="39"/>
      <c r="R483" s="39"/>
      <c r="S483" s="39"/>
      <c r="U483" s="39"/>
      <c r="V483" s="39"/>
      <c r="W483" s="39"/>
      <c r="X483" s="39"/>
      <c r="Y483" s="39"/>
      <c r="Z483" s="39"/>
      <c r="AA483" s="39"/>
      <c r="AB483" s="39"/>
    </row>
    <row r="484">
      <c r="C484" s="39"/>
      <c r="J484" s="39"/>
      <c r="K484" s="39"/>
      <c r="O484" s="39"/>
      <c r="Q484" s="39"/>
      <c r="R484" s="39"/>
      <c r="S484" s="39"/>
      <c r="U484" s="39"/>
      <c r="V484" s="39"/>
      <c r="W484" s="39"/>
      <c r="X484" s="39"/>
      <c r="Y484" s="39"/>
      <c r="Z484" s="39"/>
      <c r="AA484" s="39"/>
      <c r="AB484" s="39"/>
    </row>
    <row r="485">
      <c r="C485" s="39"/>
      <c r="J485" s="39"/>
      <c r="K485" s="39"/>
      <c r="O485" s="39"/>
      <c r="Q485" s="39"/>
      <c r="R485" s="39"/>
      <c r="S485" s="39"/>
      <c r="U485" s="39"/>
      <c r="V485" s="39"/>
      <c r="W485" s="39"/>
      <c r="X485" s="39"/>
      <c r="Y485" s="39"/>
      <c r="Z485" s="39"/>
      <c r="AA485" s="39"/>
      <c r="AB485" s="39"/>
    </row>
    <row r="486">
      <c r="C486" s="39"/>
      <c r="J486" s="39"/>
      <c r="K486" s="39"/>
      <c r="O486" s="39"/>
      <c r="Q486" s="39"/>
      <c r="R486" s="39"/>
      <c r="S486" s="39"/>
      <c r="U486" s="39"/>
      <c r="V486" s="39"/>
      <c r="W486" s="39"/>
      <c r="X486" s="39"/>
      <c r="Y486" s="39"/>
      <c r="Z486" s="39"/>
      <c r="AA486" s="39"/>
      <c r="AB486" s="39"/>
    </row>
    <row r="487">
      <c r="C487" s="39"/>
      <c r="J487" s="39"/>
      <c r="K487" s="39"/>
      <c r="O487" s="39"/>
      <c r="Q487" s="39"/>
      <c r="R487" s="39"/>
      <c r="S487" s="39"/>
      <c r="U487" s="39"/>
      <c r="V487" s="39"/>
      <c r="W487" s="39"/>
      <c r="X487" s="39"/>
      <c r="Y487" s="39"/>
      <c r="Z487" s="39"/>
      <c r="AA487" s="39"/>
      <c r="AB487" s="39"/>
    </row>
    <row r="488">
      <c r="C488" s="39"/>
      <c r="J488" s="39"/>
      <c r="K488" s="39"/>
      <c r="O488" s="39"/>
      <c r="Q488" s="39"/>
      <c r="R488" s="39"/>
      <c r="S488" s="39"/>
      <c r="U488" s="39"/>
      <c r="V488" s="39"/>
      <c r="W488" s="39"/>
      <c r="X488" s="39"/>
      <c r="Y488" s="39"/>
      <c r="Z488" s="39"/>
      <c r="AA488" s="39"/>
      <c r="AB488" s="39"/>
    </row>
    <row r="489">
      <c r="C489" s="39"/>
      <c r="J489" s="39"/>
      <c r="K489" s="39"/>
      <c r="O489" s="39"/>
      <c r="Q489" s="39"/>
      <c r="R489" s="39"/>
      <c r="S489" s="39"/>
      <c r="U489" s="39"/>
      <c r="V489" s="39"/>
      <c r="W489" s="39"/>
      <c r="X489" s="39"/>
      <c r="Y489" s="39"/>
      <c r="Z489" s="39"/>
      <c r="AA489" s="39"/>
      <c r="AB489" s="39"/>
    </row>
    <row r="490">
      <c r="C490" s="39"/>
      <c r="J490" s="39"/>
      <c r="K490" s="39"/>
      <c r="O490" s="39"/>
      <c r="Q490" s="39"/>
      <c r="R490" s="39"/>
      <c r="S490" s="39"/>
      <c r="U490" s="39"/>
      <c r="V490" s="39"/>
      <c r="W490" s="39"/>
      <c r="X490" s="39"/>
      <c r="Y490" s="39"/>
      <c r="Z490" s="39"/>
      <c r="AA490" s="39"/>
      <c r="AB490" s="39"/>
    </row>
    <row r="491">
      <c r="C491" s="39"/>
      <c r="J491" s="39"/>
      <c r="K491" s="39"/>
      <c r="O491" s="39"/>
      <c r="Q491" s="39"/>
      <c r="R491" s="39"/>
      <c r="S491" s="39"/>
      <c r="U491" s="39"/>
      <c r="V491" s="39"/>
      <c r="W491" s="39"/>
      <c r="X491" s="39"/>
      <c r="Y491" s="39"/>
      <c r="Z491" s="39"/>
      <c r="AA491" s="39"/>
      <c r="AB491" s="39"/>
    </row>
    <row r="492">
      <c r="C492" s="39"/>
      <c r="J492" s="39"/>
      <c r="K492" s="39"/>
      <c r="O492" s="39"/>
      <c r="Q492" s="39"/>
      <c r="R492" s="39"/>
      <c r="S492" s="39"/>
      <c r="U492" s="39"/>
      <c r="V492" s="39"/>
      <c r="W492" s="39"/>
      <c r="X492" s="39"/>
      <c r="Y492" s="39"/>
      <c r="Z492" s="39"/>
      <c r="AA492" s="39"/>
      <c r="AB492" s="39"/>
    </row>
    <row r="493">
      <c r="C493" s="39"/>
      <c r="J493" s="39"/>
      <c r="K493" s="39"/>
      <c r="O493" s="39"/>
      <c r="Q493" s="39"/>
      <c r="R493" s="39"/>
      <c r="S493" s="39"/>
      <c r="U493" s="39"/>
      <c r="V493" s="39"/>
      <c r="W493" s="39"/>
      <c r="X493" s="39"/>
      <c r="Y493" s="39"/>
      <c r="Z493" s="39"/>
      <c r="AA493" s="39"/>
      <c r="AB493" s="39"/>
    </row>
    <row r="494">
      <c r="C494" s="39"/>
      <c r="J494" s="39"/>
      <c r="K494" s="39"/>
      <c r="O494" s="39"/>
      <c r="Q494" s="39"/>
      <c r="R494" s="39"/>
      <c r="S494" s="39"/>
      <c r="U494" s="39"/>
      <c r="V494" s="39"/>
      <c r="W494" s="39"/>
      <c r="X494" s="39"/>
      <c r="Y494" s="39"/>
      <c r="Z494" s="39"/>
      <c r="AA494" s="39"/>
      <c r="AB494" s="39"/>
    </row>
    <row r="495">
      <c r="C495" s="39"/>
      <c r="J495" s="39"/>
      <c r="K495" s="39"/>
      <c r="O495" s="39"/>
      <c r="Q495" s="39"/>
      <c r="R495" s="39"/>
      <c r="S495" s="39"/>
      <c r="U495" s="39"/>
      <c r="V495" s="39"/>
      <c r="W495" s="39"/>
      <c r="X495" s="39"/>
      <c r="Y495" s="39"/>
      <c r="Z495" s="39"/>
      <c r="AA495" s="39"/>
      <c r="AB495" s="39"/>
    </row>
    <row r="496">
      <c r="C496" s="39"/>
      <c r="J496" s="39"/>
      <c r="K496" s="39"/>
      <c r="O496" s="39"/>
      <c r="Q496" s="39"/>
      <c r="R496" s="39"/>
      <c r="S496" s="39"/>
      <c r="U496" s="39"/>
      <c r="V496" s="39"/>
      <c r="W496" s="39"/>
      <c r="X496" s="39"/>
      <c r="Y496" s="39"/>
      <c r="Z496" s="39"/>
      <c r="AA496" s="39"/>
      <c r="AB496" s="39"/>
    </row>
    <row r="497">
      <c r="C497" s="39"/>
      <c r="J497" s="39"/>
      <c r="K497" s="39"/>
      <c r="O497" s="39"/>
      <c r="Q497" s="39"/>
      <c r="R497" s="39"/>
      <c r="S497" s="39"/>
      <c r="U497" s="39"/>
      <c r="V497" s="39"/>
      <c r="W497" s="39"/>
      <c r="X497" s="39"/>
      <c r="Y497" s="39"/>
      <c r="Z497" s="39"/>
      <c r="AA497" s="39"/>
      <c r="AB497" s="39"/>
    </row>
    <row r="498">
      <c r="C498" s="39"/>
      <c r="J498" s="39"/>
      <c r="K498" s="39"/>
      <c r="O498" s="39"/>
      <c r="Q498" s="39"/>
      <c r="R498" s="39"/>
      <c r="S498" s="39"/>
      <c r="U498" s="39"/>
      <c r="V498" s="39"/>
      <c r="W498" s="39"/>
      <c r="X498" s="39"/>
      <c r="Y498" s="39"/>
      <c r="Z498" s="39"/>
      <c r="AA498" s="39"/>
      <c r="AB498" s="39"/>
    </row>
    <row r="499">
      <c r="C499" s="39"/>
      <c r="J499" s="39"/>
      <c r="K499" s="39"/>
      <c r="O499" s="39"/>
      <c r="Q499" s="39"/>
      <c r="R499" s="39"/>
      <c r="S499" s="39"/>
      <c r="U499" s="39"/>
      <c r="V499" s="39"/>
      <c r="W499" s="39"/>
      <c r="X499" s="39"/>
      <c r="Y499" s="39"/>
      <c r="Z499" s="39"/>
      <c r="AA499" s="39"/>
      <c r="AB499" s="39"/>
    </row>
    <row r="500">
      <c r="C500" s="39"/>
      <c r="J500" s="39"/>
      <c r="K500" s="39"/>
      <c r="O500" s="39"/>
      <c r="Q500" s="39"/>
      <c r="R500" s="39"/>
      <c r="S500" s="39"/>
      <c r="U500" s="39"/>
      <c r="V500" s="39"/>
      <c r="W500" s="39"/>
      <c r="X500" s="39"/>
      <c r="Y500" s="39"/>
      <c r="Z500" s="39"/>
      <c r="AA500" s="39"/>
      <c r="AB500" s="39"/>
    </row>
    <row r="501">
      <c r="C501" s="39"/>
      <c r="J501" s="39"/>
      <c r="K501" s="39"/>
      <c r="O501" s="39"/>
      <c r="Q501" s="39"/>
      <c r="R501" s="39"/>
      <c r="S501" s="39"/>
      <c r="U501" s="39"/>
      <c r="V501" s="39"/>
      <c r="W501" s="39"/>
      <c r="X501" s="39"/>
      <c r="Y501" s="39"/>
      <c r="Z501" s="39"/>
      <c r="AA501" s="39"/>
      <c r="AB501" s="39"/>
    </row>
    <row r="502">
      <c r="C502" s="39"/>
      <c r="J502" s="39"/>
      <c r="K502" s="39"/>
      <c r="O502" s="39"/>
      <c r="Q502" s="39"/>
      <c r="R502" s="39"/>
      <c r="S502" s="39"/>
      <c r="U502" s="39"/>
      <c r="V502" s="39"/>
      <c r="W502" s="39"/>
      <c r="X502" s="39"/>
      <c r="Y502" s="39"/>
      <c r="Z502" s="39"/>
      <c r="AA502" s="39"/>
      <c r="AB502" s="39"/>
    </row>
    <row r="503">
      <c r="C503" s="39"/>
      <c r="J503" s="39"/>
      <c r="K503" s="39"/>
      <c r="O503" s="39"/>
      <c r="Q503" s="39"/>
      <c r="R503" s="39"/>
      <c r="S503" s="39"/>
      <c r="U503" s="39"/>
      <c r="V503" s="39"/>
      <c r="W503" s="39"/>
      <c r="X503" s="39"/>
      <c r="Y503" s="39"/>
      <c r="Z503" s="39"/>
      <c r="AA503" s="39"/>
      <c r="AB503" s="39"/>
    </row>
    <row r="504">
      <c r="C504" s="39"/>
      <c r="J504" s="39"/>
      <c r="K504" s="39"/>
      <c r="O504" s="39"/>
      <c r="Q504" s="39"/>
      <c r="R504" s="39"/>
      <c r="S504" s="39"/>
      <c r="U504" s="39"/>
      <c r="V504" s="39"/>
      <c r="W504" s="39"/>
      <c r="X504" s="39"/>
      <c r="Y504" s="39"/>
      <c r="Z504" s="39"/>
      <c r="AA504" s="39"/>
      <c r="AB504" s="39"/>
    </row>
    <row r="505">
      <c r="C505" s="39"/>
      <c r="J505" s="39"/>
      <c r="K505" s="39"/>
      <c r="O505" s="39"/>
      <c r="Q505" s="39"/>
      <c r="R505" s="39"/>
      <c r="S505" s="39"/>
      <c r="U505" s="39"/>
      <c r="V505" s="39"/>
      <c r="W505" s="39"/>
      <c r="X505" s="39"/>
      <c r="Y505" s="39"/>
      <c r="Z505" s="39"/>
      <c r="AA505" s="39"/>
      <c r="AB505" s="39"/>
    </row>
    <row r="506">
      <c r="C506" s="39"/>
      <c r="J506" s="39"/>
      <c r="K506" s="39"/>
      <c r="O506" s="39"/>
      <c r="Q506" s="39"/>
      <c r="R506" s="39"/>
      <c r="S506" s="39"/>
      <c r="U506" s="39"/>
      <c r="V506" s="39"/>
      <c r="W506" s="39"/>
      <c r="X506" s="39"/>
      <c r="Y506" s="39"/>
      <c r="Z506" s="39"/>
      <c r="AA506" s="39"/>
      <c r="AB506" s="39"/>
    </row>
    <row r="507">
      <c r="C507" s="39"/>
      <c r="J507" s="39"/>
      <c r="K507" s="39"/>
      <c r="O507" s="39"/>
      <c r="Q507" s="39"/>
      <c r="R507" s="39"/>
      <c r="S507" s="39"/>
      <c r="U507" s="39"/>
      <c r="V507" s="39"/>
      <c r="W507" s="39"/>
      <c r="X507" s="39"/>
      <c r="Y507" s="39"/>
      <c r="Z507" s="39"/>
      <c r="AA507" s="39"/>
      <c r="AB507" s="39"/>
    </row>
    <row r="508">
      <c r="C508" s="39"/>
      <c r="J508" s="39"/>
      <c r="K508" s="39"/>
      <c r="O508" s="39"/>
      <c r="Q508" s="39"/>
      <c r="R508" s="39"/>
      <c r="S508" s="39"/>
      <c r="U508" s="39"/>
      <c r="V508" s="39"/>
      <c r="W508" s="39"/>
      <c r="X508" s="39"/>
      <c r="Y508" s="39"/>
      <c r="Z508" s="39"/>
      <c r="AA508" s="39"/>
      <c r="AB508" s="39"/>
    </row>
    <row r="509">
      <c r="C509" s="39"/>
      <c r="J509" s="39"/>
      <c r="K509" s="39"/>
      <c r="O509" s="39"/>
      <c r="Q509" s="39"/>
      <c r="R509" s="39"/>
      <c r="S509" s="39"/>
      <c r="U509" s="39"/>
      <c r="V509" s="39"/>
      <c r="W509" s="39"/>
      <c r="X509" s="39"/>
      <c r="Y509" s="39"/>
      <c r="Z509" s="39"/>
      <c r="AA509" s="39"/>
      <c r="AB509" s="39"/>
    </row>
    <row r="510">
      <c r="C510" s="39"/>
      <c r="J510" s="39"/>
      <c r="K510" s="39"/>
      <c r="O510" s="39"/>
      <c r="Q510" s="39"/>
      <c r="R510" s="39"/>
      <c r="S510" s="39"/>
      <c r="U510" s="39"/>
      <c r="V510" s="39"/>
      <c r="W510" s="39"/>
      <c r="X510" s="39"/>
      <c r="Y510" s="39"/>
      <c r="Z510" s="39"/>
      <c r="AA510" s="39"/>
      <c r="AB510" s="39"/>
    </row>
    <row r="511">
      <c r="C511" s="39"/>
      <c r="J511" s="39"/>
      <c r="K511" s="39"/>
      <c r="O511" s="39"/>
      <c r="Q511" s="39"/>
      <c r="R511" s="39"/>
      <c r="S511" s="39"/>
      <c r="U511" s="39"/>
      <c r="V511" s="39"/>
      <c r="W511" s="39"/>
      <c r="X511" s="39"/>
      <c r="Y511" s="39"/>
      <c r="Z511" s="39"/>
      <c r="AA511" s="39"/>
      <c r="AB511" s="39"/>
    </row>
    <row r="512">
      <c r="C512" s="39"/>
      <c r="J512" s="39"/>
      <c r="K512" s="39"/>
      <c r="O512" s="39"/>
      <c r="Q512" s="39"/>
      <c r="R512" s="39"/>
      <c r="S512" s="39"/>
      <c r="U512" s="39"/>
      <c r="V512" s="39"/>
      <c r="W512" s="39"/>
      <c r="X512" s="39"/>
      <c r="Y512" s="39"/>
      <c r="Z512" s="39"/>
      <c r="AA512" s="39"/>
      <c r="AB512" s="39"/>
    </row>
    <row r="513">
      <c r="C513" s="39"/>
      <c r="J513" s="39"/>
      <c r="K513" s="39"/>
      <c r="O513" s="39"/>
      <c r="Q513" s="39"/>
      <c r="R513" s="39"/>
      <c r="S513" s="39"/>
      <c r="U513" s="39"/>
      <c r="V513" s="39"/>
      <c r="W513" s="39"/>
      <c r="X513" s="39"/>
      <c r="Y513" s="39"/>
      <c r="Z513" s="39"/>
      <c r="AA513" s="39"/>
      <c r="AB513" s="39"/>
    </row>
    <row r="514">
      <c r="C514" s="39"/>
      <c r="J514" s="39"/>
      <c r="K514" s="39"/>
      <c r="O514" s="39"/>
      <c r="Q514" s="39"/>
      <c r="R514" s="39"/>
      <c r="S514" s="39"/>
      <c r="U514" s="39"/>
      <c r="V514" s="39"/>
      <c r="W514" s="39"/>
      <c r="X514" s="39"/>
      <c r="Y514" s="39"/>
      <c r="Z514" s="39"/>
      <c r="AA514" s="39"/>
      <c r="AB514" s="39"/>
    </row>
    <row r="515">
      <c r="C515" s="39"/>
      <c r="J515" s="39"/>
      <c r="K515" s="39"/>
      <c r="O515" s="39"/>
      <c r="Q515" s="39"/>
      <c r="R515" s="39"/>
      <c r="S515" s="39"/>
      <c r="U515" s="39"/>
      <c r="V515" s="39"/>
      <c r="W515" s="39"/>
      <c r="X515" s="39"/>
      <c r="Y515" s="39"/>
      <c r="Z515" s="39"/>
      <c r="AA515" s="39"/>
      <c r="AB515" s="39"/>
    </row>
    <row r="516">
      <c r="C516" s="39"/>
      <c r="J516" s="39"/>
      <c r="K516" s="39"/>
      <c r="O516" s="39"/>
      <c r="Q516" s="39"/>
      <c r="R516" s="39"/>
      <c r="S516" s="39"/>
      <c r="U516" s="39"/>
      <c r="V516" s="39"/>
      <c r="W516" s="39"/>
      <c r="X516" s="39"/>
      <c r="Y516" s="39"/>
      <c r="Z516" s="39"/>
      <c r="AA516" s="39"/>
      <c r="AB516" s="39"/>
    </row>
    <row r="517">
      <c r="C517" s="39"/>
      <c r="J517" s="39"/>
      <c r="K517" s="39"/>
      <c r="O517" s="39"/>
      <c r="Q517" s="39"/>
      <c r="R517" s="39"/>
      <c r="S517" s="39"/>
      <c r="U517" s="39"/>
      <c r="V517" s="39"/>
      <c r="W517" s="39"/>
      <c r="X517" s="39"/>
      <c r="Y517" s="39"/>
      <c r="Z517" s="39"/>
      <c r="AA517" s="39"/>
      <c r="AB517" s="39"/>
    </row>
    <row r="518">
      <c r="C518" s="39"/>
      <c r="J518" s="39"/>
      <c r="K518" s="39"/>
      <c r="O518" s="39"/>
      <c r="Q518" s="39"/>
      <c r="R518" s="39"/>
      <c r="S518" s="39"/>
      <c r="U518" s="39"/>
      <c r="V518" s="39"/>
      <c r="W518" s="39"/>
      <c r="X518" s="39"/>
      <c r="Y518" s="39"/>
      <c r="Z518" s="39"/>
      <c r="AA518" s="39"/>
      <c r="AB518" s="39"/>
    </row>
    <row r="519">
      <c r="C519" s="39"/>
      <c r="J519" s="39"/>
      <c r="K519" s="39"/>
      <c r="O519" s="39"/>
      <c r="Q519" s="39"/>
      <c r="R519" s="39"/>
      <c r="S519" s="39"/>
      <c r="U519" s="39"/>
      <c r="V519" s="39"/>
      <c r="W519" s="39"/>
      <c r="X519" s="39"/>
      <c r="Y519" s="39"/>
      <c r="Z519" s="39"/>
      <c r="AA519" s="39"/>
      <c r="AB519" s="39"/>
    </row>
    <row r="520">
      <c r="C520" s="39"/>
      <c r="J520" s="39"/>
      <c r="K520" s="39"/>
      <c r="O520" s="39"/>
      <c r="Q520" s="39"/>
      <c r="R520" s="39"/>
      <c r="S520" s="39"/>
      <c r="U520" s="39"/>
      <c r="V520" s="39"/>
      <c r="W520" s="39"/>
      <c r="X520" s="39"/>
      <c r="Y520" s="39"/>
      <c r="Z520" s="39"/>
      <c r="AA520" s="39"/>
      <c r="AB520" s="39"/>
    </row>
    <row r="521">
      <c r="C521" s="39"/>
      <c r="J521" s="39"/>
      <c r="K521" s="39"/>
      <c r="O521" s="39"/>
      <c r="Q521" s="39"/>
      <c r="R521" s="39"/>
      <c r="S521" s="39"/>
      <c r="U521" s="39"/>
      <c r="V521" s="39"/>
      <c r="W521" s="39"/>
      <c r="X521" s="39"/>
      <c r="Y521" s="39"/>
      <c r="Z521" s="39"/>
      <c r="AA521" s="39"/>
      <c r="AB521" s="39"/>
    </row>
    <row r="522">
      <c r="C522" s="39"/>
      <c r="J522" s="39"/>
      <c r="K522" s="39"/>
      <c r="O522" s="39"/>
      <c r="Q522" s="39"/>
      <c r="R522" s="39"/>
      <c r="S522" s="39"/>
      <c r="U522" s="39"/>
      <c r="V522" s="39"/>
      <c r="W522" s="39"/>
      <c r="X522" s="39"/>
      <c r="Y522" s="39"/>
      <c r="Z522" s="39"/>
      <c r="AA522" s="39"/>
      <c r="AB522" s="39"/>
    </row>
    <row r="523">
      <c r="C523" s="39"/>
      <c r="J523" s="39"/>
      <c r="K523" s="39"/>
      <c r="O523" s="39"/>
      <c r="Q523" s="39"/>
      <c r="R523" s="39"/>
      <c r="S523" s="39"/>
      <c r="U523" s="39"/>
      <c r="V523" s="39"/>
      <c r="W523" s="39"/>
      <c r="X523" s="39"/>
      <c r="Y523" s="39"/>
      <c r="Z523" s="39"/>
      <c r="AA523" s="39"/>
      <c r="AB523" s="39"/>
    </row>
    <row r="524">
      <c r="C524" s="39"/>
      <c r="J524" s="39"/>
      <c r="K524" s="39"/>
      <c r="O524" s="39"/>
      <c r="Q524" s="39"/>
      <c r="R524" s="39"/>
      <c r="S524" s="39"/>
      <c r="U524" s="39"/>
      <c r="V524" s="39"/>
      <c r="W524" s="39"/>
      <c r="X524" s="39"/>
      <c r="Y524" s="39"/>
      <c r="Z524" s="39"/>
      <c r="AA524" s="39"/>
      <c r="AB524" s="39"/>
    </row>
    <row r="525">
      <c r="C525" s="39"/>
      <c r="J525" s="39"/>
      <c r="K525" s="39"/>
      <c r="O525" s="39"/>
      <c r="Q525" s="39"/>
      <c r="R525" s="39"/>
      <c r="S525" s="39"/>
      <c r="U525" s="39"/>
      <c r="V525" s="39"/>
      <c r="W525" s="39"/>
      <c r="X525" s="39"/>
      <c r="Y525" s="39"/>
      <c r="Z525" s="39"/>
      <c r="AA525" s="39"/>
      <c r="AB525" s="39"/>
    </row>
    <row r="526">
      <c r="C526" s="39"/>
      <c r="J526" s="39"/>
      <c r="K526" s="39"/>
      <c r="O526" s="39"/>
      <c r="Q526" s="39"/>
      <c r="R526" s="39"/>
      <c r="S526" s="39"/>
      <c r="U526" s="39"/>
      <c r="V526" s="39"/>
      <c r="W526" s="39"/>
      <c r="X526" s="39"/>
      <c r="Y526" s="39"/>
      <c r="Z526" s="39"/>
      <c r="AA526" s="39"/>
      <c r="AB526" s="39"/>
    </row>
    <row r="527">
      <c r="C527" s="39"/>
      <c r="J527" s="39"/>
      <c r="K527" s="39"/>
      <c r="O527" s="39"/>
      <c r="Q527" s="39"/>
      <c r="R527" s="39"/>
      <c r="S527" s="39"/>
      <c r="U527" s="39"/>
      <c r="V527" s="39"/>
      <c r="W527" s="39"/>
      <c r="X527" s="39"/>
      <c r="Y527" s="39"/>
      <c r="Z527" s="39"/>
      <c r="AA527" s="39"/>
      <c r="AB527" s="39"/>
    </row>
    <row r="528">
      <c r="C528" s="39"/>
      <c r="J528" s="39"/>
      <c r="K528" s="39"/>
      <c r="O528" s="39"/>
      <c r="Q528" s="39"/>
      <c r="R528" s="39"/>
      <c r="S528" s="39"/>
      <c r="U528" s="39"/>
      <c r="V528" s="39"/>
      <c r="W528" s="39"/>
      <c r="X528" s="39"/>
      <c r="Y528" s="39"/>
      <c r="Z528" s="39"/>
      <c r="AA528" s="39"/>
      <c r="AB528" s="39"/>
    </row>
    <row r="529">
      <c r="C529" s="39"/>
      <c r="J529" s="39"/>
      <c r="K529" s="39"/>
      <c r="O529" s="39"/>
      <c r="Q529" s="39"/>
      <c r="R529" s="39"/>
      <c r="S529" s="39"/>
      <c r="U529" s="39"/>
      <c r="V529" s="39"/>
      <c r="W529" s="39"/>
      <c r="X529" s="39"/>
      <c r="Y529" s="39"/>
      <c r="Z529" s="39"/>
      <c r="AA529" s="39"/>
      <c r="AB529" s="39"/>
    </row>
    <row r="530">
      <c r="C530" s="39"/>
      <c r="J530" s="39"/>
      <c r="K530" s="39"/>
      <c r="O530" s="39"/>
      <c r="Q530" s="39"/>
      <c r="R530" s="39"/>
      <c r="S530" s="39"/>
      <c r="U530" s="39"/>
      <c r="V530" s="39"/>
      <c r="W530" s="39"/>
      <c r="X530" s="39"/>
      <c r="Y530" s="39"/>
      <c r="Z530" s="39"/>
      <c r="AA530" s="39"/>
      <c r="AB530" s="39"/>
    </row>
    <row r="531">
      <c r="C531" s="39"/>
      <c r="J531" s="39"/>
      <c r="K531" s="39"/>
      <c r="O531" s="39"/>
      <c r="Q531" s="39"/>
      <c r="R531" s="39"/>
      <c r="S531" s="39"/>
      <c r="U531" s="39"/>
      <c r="V531" s="39"/>
      <c r="W531" s="39"/>
      <c r="X531" s="39"/>
      <c r="Y531" s="39"/>
      <c r="Z531" s="39"/>
      <c r="AA531" s="39"/>
      <c r="AB531" s="39"/>
    </row>
    <row r="532">
      <c r="C532" s="39"/>
      <c r="J532" s="39"/>
      <c r="K532" s="39"/>
      <c r="O532" s="39"/>
      <c r="Q532" s="39"/>
      <c r="R532" s="39"/>
      <c r="S532" s="39"/>
      <c r="U532" s="39"/>
      <c r="V532" s="39"/>
      <c r="W532" s="39"/>
      <c r="X532" s="39"/>
      <c r="Y532" s="39"/>
      <c r="Z532" s="39"/>
      <c r="AA532" s="39"/>
      <c r="AB532" s="39"/>
    </row>
    <row r="533">
      <c r="C533" s="39"/>
      <c r="J533" s="39"/>
      <c r="K533" s="39"/>
      <c r="O533" s="39"/>
      <c r="Q533" s="39"/>
      <c r="R533" s="39"/>
      <c r="S533" s="39"/>
      <c r="U533" s="39"/>
      <c r="V533" s="39"/>
      <c r="W533" s="39"/>
      <c r="X533" s="39"/>
      <c r="Y533" s="39"/>
      <c r="Z533" s="39"/>
      <c r="AA533" s="39"/>
      <c r="AB533" s="39"/>
    </row>
    <row r="534">
      <c r="C534" s="39"/>
      <c r="J534" s="39"/>
      <c r="K534" s="39"/>
      <c r="O534" s="39"/>
      <c r="Q534" s="39"/>
      <c r="R534" s="39"/>
      <c r="S534" s="39"/>
      <c r="U534" s="39"/>
      <c r="V534" s="39"/>
      <c r="W534" s="39"/>
      <c r="X534" s="39"/>
      <c r="Y534" s="39"/>
      <c r="Z534" s="39"/>
      <c r="AA534" s="39"/>
      <c r="AB534" s="39"/>
    </row>
    <row r="535">
      <c r="C535" s="39"/>
      <c r="J535" s="39"/>
      <c r="K535" s="39"/>
      <c r="O535" s="39"/>
      <c r="Q535" s="39"/>
      <c r="R535" s="39"/>
      <c r="S535" s="39"/>
      <c r="U535" s="39"/>
      <c r="V535" s="39"/>
      <c r="W535" s="39"/>
      <c r="X535" s="39"/>
      <c r="Y535" s="39"/>
      <c r="Z535" s="39"/>
      <c r="AA535" s="39"/>
      <c r="AB535" s="39"/>
    </row>
    <row r="536">
      <c r="C536" s="39"/>
      <c r="J536" s="39"/>
      <c r="K536" s="39"/>
      <c r="O536" s="39"/>
      <c r="Q536" s="39"/>
      <c r="R536" s="39"/>
      <c r="S536" s="39"/>
      <c r="U536" s="39"/>
      <c r="V536" s="39"/>
      <c r="W536" s="39"/>
      <c r="X536" s="39"/>
      <c r="Y536" s="39"/>
      <c r="Z536" s="39"/>
      <c r="AA536" s="39"/>
      <c r="AB536" s="39"/>
    </row>
    <row r="537">
      <c r="C537" s="39"/>
      <c r="J537" s="39"/>
      <c r="K537" s="39"/>
      <c r="O537" s="39"/>
      <c r="Q537" s="39"/>
      <c r="R537" s="39"/>
      <c r="S537" s="39"/>
      <c r="U537" s="39"/>
      <c r="V537" s="39"/>
      <c r="W537" s="39"/>
      <c r="X537" s="39"/>
      <c r="Y537" s="39"/>
      <c r="Z537" s="39"/>
      <c r="AA537" s="39"/>
      <c r="AB537" s="39"/>
    </row>
    <row r="538">
      <c r="C538" s="39"/>
      <c r="J538" s="39"/>
      <c r="K538" s="39"/>
      <c r="O538" s="39"/>
      <c r="Q538" s="39"/>
      <c r="R538" s="39"/>
      <c r="S538" s="39"/>
      <c r="U538" s="39"/>
      <c r="V538" s="39"/>
      <c r="W538" s="39"/>
      <c r="X538" s="39"/>
      <c r="Y538" s="39"/>
      <c r="Z538" s="39"/>
      <c r="AA538" s="39"/>
      <c r="AB538" s="39"/>
    </row>
    <row r="539">
      <c r="C539" s="39"/>
      <c r="J539" s="39"/>
      <c r="K539" s="39"/>
      <c r="O539" s="39"/>
      <c r="Q539" s="39"/>
      <c r="R539" s="39"/>
      <c r="S539" s="39"/>
      <c r="U539" s="39"/>
      <c r="V539" s="39"/>
      <c r="W539" s="39"/>
      <c r="X539" s="39"/>
      <c r="Y539" s="39"/>
      <c r="Z539" s="39"/>
      <c r="AA539" s="39"/>
      <c r="AB539" s="39"/>
    </row>
    <row r="540">
      <c r="C540" s="39"/>
      <c r="J540" s="39"/>
      <c r="K540" s="39"/>
      <c r="O540" s="39"/>
      <c r="Q540" s="39"/>
      <c r="R540" s="39"/>
      <c r="S540" s="39"/>
      <c r="U540" s="39"/>
      <c r="V540" s="39"/>
      <c r="W540" s="39"/>
      <c r="X540" s="39"/>
      <c r="Y540" s="39"/>
      <c r="Z540" s="39"/>
      <c r="AA540" s="39"/>
      <c r="AB540" s="39"/>
    </row>
    <row r="541">
      <c r="C541" s="39"/>
      <c r="J541" s="39"/>
      <c r="K541" s="39"/>
      <c r="O541" s="39"/>
      <c r="Q541" s="39"/>
      <c r="R541" s="39"/>
      <c r="S541" s="39"/>
      <c r="U541" s="39"/>
      <c r="V541" s="39"/>
      <c r="W541" s="39"/>
      <c r="X541" s="39"/>
      <c r="Y541" s="39"/>
      <c r="Z541" s="39"/>
      <c r="AA541" s="39"/>
      <c r="AB541" s="39"/>
    </row>
    <row r="542">
      <c r="C542" s="39"/>
      <c r="J542" s="39"/>
      <c r="K542" s="39"/>
      <c r="O542" s="39"/>
      <c r="Q542" s="39"/>
      <c r="R542" s="39"/>
      <c r="S542" s="39"/>
      <c r="U542" s="39"/>
      <c r="V542" s="39"/>
      <c r="W542" s="39"/>
      <c r="X542" s="39"/>
      <c r="Y542" s="39"/>
      <c r="Z542" s="39"/>
      <c r="AA542" s="39"/>
      <c r="AB542" s="39"/>
    </row>
    <row r="543">
      <c r="C543" s="39"/>
      <c r="J543" s="39"/>
      <c r="K543" s="39"/>
      <c r="O543" s="39"/>
      <c r="Q543" s="39"/>
      <c r="R543" s="39"/>
      <c r="S543" s="39"/>
      <c r="U543" s="39"/>
      <c r="V543" s="39"/>
      <c r="W543" s="39"/>
      <c r="X543" s="39"/>
      <c r="Y543" s="39"/>
      <c r="Z543" s="39"/>
      <c r="AA543" s="39"/>
      <c r="AB543" s="39"/>
    </row>
    <row r="544">
      <c r="C544" s="39"/>
      <c r="J544" s="39"/>
      <c r="K544" s="39"/>
      <c r="O544" s="39"/>
      <c r="Q544" s="39"/>
      <c r="R544" s="39"/>
      <c r="S544" s="39"/>
      <c r="U544" s="39"/>
      <c r="V544" s="39"/>
      <c r="W544" s="39"/>
      <c r="X544" s="39"/>
      <c r="Y544" s="39"/>
      <c r="Z544" s="39"/>
      <c r="AA544" s="39"/>
      <c r="AB544" s="39"/>
    </row>
    <row r="545">
      <c r="C545" s="39"/>
      <c r="J545" s="39"/>
      <c r="K545" s="39"/>
      <c r="O545" s="39"/>
      <c r="Q545" s="39"/>
      <c r="R545" s="39"/>
      <c r="S545" s="39"/>
      <c r="U545" s="39"/>
      <c r="V545" s="39"/>
      <c r="W545" s="39"/>
      <c r="X545" s="39"/>
      <c r="Y545" s="39"/>
      <c r="Z545" s="39"/>
      <c r="AA545" s="39"/>
      <c r="AB545" s="39"/>
    </row>
    <row r="546">
      <c r="C546" s="39"/>
      <c r="J546" s="39"/>
      <c r="K546" s="39"/>
      <c r="O546" s="39"/>
      <c r="Q546" s="39"/>
      <c r="R546" s="39"/>
      <c r="S546" s="39"/>
      <c r="U546" s="39"/>
      <c r="V546" s="39"/>
      <c r="W546" s="39"/>
      <c r="X546" s="39"/>
      <c r="Y546" s="39"/>
      <c r="Z546" s="39"/>
      <c r="AA546" s="39"/>
      <c r="AB546" s="39"/>
    </row>
    <row r="547">
      <c r="C547" s="39"/>
      <c r="J547" s="39"/>
      <c r="K547" s="39"/>
      <c r="O547" s="39"/>
      <c r="Q547" s="39"/>
      <c r="R547" s="39"/>
      <c r="S547" s="39"/>
      <c r="U547" s="39"/>
      <c r="V547" s="39"/>
      <c r="W547" s="39"/>
      <c r="X547" s="39"/>
      <c r="Y547" s="39"/>
      <c r="Z547" s="39"/>
      <c r="AA547" s="39"/>
      <c r="AB547" s="39"/>
    </row>
    <row r="548">
      <c r="C548" s="39"/>
      <c r="J548" s="39"/>
      <c r="K548" s="39"/>
      <c r="O548" s="39"/>
      <c r="Q548" s="39"/>
      <c r="R548" s="39"/>
      <c r="S548" s="39"/>
      <c r="U548" s="39"/>
      <c r="V548" s="39"/>
      <c r="W548" s="39"/>
      <c r="X548" s="39"/>
      <c r="Y548" s="39"/>
      <c r="Z548" s="39"/>
      <c r="AA548" s="39"/>
      <c r="AB548" s="39"/>
    </row>
    <row r="549">
      <c r="C549" s="39"/>
      <c r="J549" s="39"/>
      <c r="K549" s="39"/>
      <c r="O549" s="39"/>
      <c r="Q549" s="39"/>
      <c r="R549" s="39"/>
      <c r="S549" s="39"/>
      <c r="U549" s="39"/>
      <c r="V549" s="39"/>
      <c r="W549" s="39"/>
      <c r="X549" s="39"/>
      <c r="Y549" s="39"/>
      <c r="Z549" s="39"/>
      <c r="AA549" s="39"/>
      <c r="AB549" s="39"/>
    </row>
    <row r="550">
      <c r="C550" s="39"/>
      <c r="J550" s="39"/>
      <c r="K550" s="39"/>
      <c r="O550" s="39"/>
      <c r="Q550" s="39"/>
      <c r="R550" s="39"/>
      <c r="S550" s="39"/>
      <c r="U550" s="39"/>
      <c r="V550" s="39"/>
      <c r="W550" s="39"/>
      <c r="X550" s="39"/>
      <c r="Y550" s="39"/>
      <c r="Z550" s="39"/>
      <c r="AA550" s="39"/>
      <c r="AB550" s="39"/>
    </row>
    <row r="551">
      <c r="C551" s="39"/>
      <c r="J551" s="39"/>
      <c r="K551" s="39"/>
      <c r="O551" s="39"/>
      <c r="Q551" s="39"/>
      <c r="R551" s="39"/>
      <c r="S551" s="39"/>
      <c r="U551" s="39"/>
      <c r="V551" s="39"/>
      <c r="W551" s="39"/>
      <c r="X551" s="39"/>
      <c r="Y551" s="39"/>
      <c r="Z551" s="39"/>
      <c r="AA551" s="39"/>
      <c r="AB551" s="39"/>
    </row>
    <row r="552">
      <c r="C552" s="39"/>
      <c r="J552" s="39"/>
      <c r="K552" s="39"/>
      <c r="O552" s="39"/>
      <c r="Q552" s="39"/>
      <c r="R552" s="39"/>
      <c r="S552" s="39"/>
      <c r="U552" s="39"/>
      <c r="V552" s="39"/>
      <c r="W552" s="39"/>
      <c r="X552" s="39"/>
      <c r="Y552" s="39"/>
      <c r="Z552" s="39"/>
      <c r="AA552" s="39"/>
      <c r="AB552" s="39"/>
    </row>
    <row r="553">
      <c r="C553" s="39"/>
      <c r="J553" s="39"/>
      <c r="K553" s="39"/>
      <c r="O553" s="39"/>
      <c r="Q553" s="39"/>
      <c r="R553" s="39"/>
      <c r="S553" s="39"/>
      <c r="U553" s="39"/>
      <c r="V553" s="39"/>
      <c r="W553" s="39"/>
      <c r="X553" s="39"/>
      <c r="Y553" s="39"/>
      <c r="Z553" s="39"/>
      <c r="AA553" s="39"/>
      <c r="AB553" s="39"/>
    </row>
    <row r="554">
      <c r="C554" s="39"/>
      <c r="J554" s="39"/>
      <c r="K554" s="39"/>
      <c r="O554" s="39"/>
      <c r="Q554" s="39"/>
      <c r="R554" s="39"/>
      <c r="S554" s="39"/>
      <c r="U554" s="39"/>
      <c r="V554" s="39"/>
      <c r="W554" s="39"/>
      <c r="X554" s="39"/>
      <c r="Y554" s="39"/>
      <c r="Z554" s="39"/>
      <c r="AA554" s="39"/>
      <c r="AB554" s="39"/>
    </row>
    <row r="555">
      <c r="C555" s="39"/>
      <c r="J555" s="39"/>
      <c r="K555" s="39"/>
      <c r="O555" s="39"/>
      <c r="Q555" s="39"/>
      <c r="R555" s="39"/>
      <c r="S555" s="39"/>
      <c r="U555" s="39"/>
      <c r="V555" s="39"/>
      <c r="W555" s="39"/>
      <c r="X555" s="39"/>
      <c r="Y555" s="39"/>
      <c r="Z555" s="39"/>
      <c r="AA555" s="39"/>
      <c r="AB555" s="39"/>
    </row>
    <row r="556">
      <c r="C556" s="39"/>
      <c r="J556" s="39"/>
      <c r="K556" s="39"/>
      <c r="O556" s="39"/>
      <c r="Q556" s="39"/>
      <c r="R556" s="39"/>
      <c r="S556" s="39"/>
      <c r="U556" s="39"/>
      <c r="V556" s="39"/>
      <c r="W556" s="39"/>
      <c r="X556" s="39"/>
      <c r="Y556" s="39"/>
      <c r="Z556" s="39"/>
      <c r="AA556" s="39"/>
      <c r="AB556" s="39"/>
    </row>
    <row r="557">
      <c r="C557" s="39"/>
      <c r="J557" s="39"/>
      <c r="K557" s="39"/>
      <c r="O557" s="39"/>
      <c r="Q557" s="39"/>
      <c r="R557" s="39"/>
      <c r="S557" s="39"/>
      <c r="U557" s="39"/>
      <c r="V557" s="39"/>
      <c r="W557" s="39"/>
      <c r="X557" s="39"/>
      <c r="Y557" s="39"/>
      <c r="Z557" s="39"/>
      <c r="AA557" s="39"/>
      <c r="AB557" s="39"/>
    </row>
    <row r="558">
      <c r="C558" s="39"/>
      <c r="J558" s="39"/>
      <c r="K558" s="39"/>
      <c r="O558" s="39"/>
      <c r="Q558" s="39"/>
      <c r="R558" s="39"/>
      <c r="S558" s="39"/>
      <c r="U558" s="39"/>
      <c r="V558" s="39"/>
      <c r="W558" s="39"/>
      <c r="X558" s="39"/>
      <c r="Y558" s="39"/>
      <c r="Z558" s="39"/>
      <c r="AA558" s="39"/>
      <c r="AB558" s="39"/>
    </row>
    <row r="559">
      <c r="C559" s="39"/>
      <c r="J559" s="39"/>
      <c r="K559" s="39"/>
      <c r="O559" s="39"/>
      <c r="Q559" s="39"/>
      <c r="R559" s="39"/>
      <c r="S559" s="39"/>
      <c r="U559" s="39"/>
      <c r="V559" s="39"/>
      <c r="W559" s="39"/>
      <c r="X559" s="39"/>
      <c r="Y559" s="39"/>
      <c r="Z559" s="39"/>
      <c r="AA559" s="39"/>
      <c r="AB559" s="39"/>
    </row>
    <row r="560">
      <c r="C560" s="39"/>
      <c r="J560" s="39"/>
      <c r="K560" s="39"/>
      <c r="O560" s="39"/>
      <c r="Q560" s="39"/>
      <c r="R560" s="39"/>
      <c r="S560" s="39"/>
      <c r="U560" s="39"/>
      <c r="V560" s="39"/>
      <c r="W560" s="39"/>
      <c r="X560" s="39"/>
      <c r="Y560" s="39"/>
      <c r="Z560" s="39"/>
      <c r="AA560" s="39"/>
      <c r="AB560" s="39"/>
    </row>
    <row r="561">
      <c r="C561" s="39"/>
      <c r="J561" s="39"/>
      <c r="K561" s="39"/>
      <c r="O561" s="39"/>
      <c r="Q561" s="39"/>
      <c r="R561" s="39"/>
      <c r="S561" s="39"/>
      <c r="U561" s="39"/>
      <c r="V561" s="39"/>
      <c r="W561" s="39"/>
      <c r="X561" s="39"/>
      <c r="Y561" s="39"/>
      <c r="Z561" s="39"/>
      <c r="AA561" s="39"/>
      <c r="AB561" s="39"/>
    </row>
    <row r="562">
      <c r="C562" s="39"/>
      <c r="J562" s="39"/>
      <c r="K562" s="39"/>
      <c r="O562" s="39"/>
      <c r="Q562" s="39"/>
      <c r="R562" s="39"/>
      <c r="S562" s="39"/>
      <c r="U562" s="39"/>
      <c r="V562" s="39"/>
      <c r="W562" s="39"/>
      <c r="X562" s="39"/>
      <c r="Y562" s="39"/>
      <c r="Z562" s="39"/>
      <c r="AA562" s="39"/>
      <c r="AB562" s="39"/>
    </row>
    <row r="563">
      <c r="C563" s="39"/>
      <c r="J563" s="39"/>
      <c r="K563" s="39"/>
      <c r="O563" s="39"/>
      <c r="Q563" s="39"/>
      <c r="R563" s="39"/>
      <c r="S563" s="39"/>
      <c r="U563" s="39"/>
      <c r="V563" s="39"/>
      <c r="W563" s="39"/>
      <c r="X563" s="39"/>
      <c r="Y563" s="39"/>
      <c r="Z563" s="39"/>
      <c r="AA563" s="39"/>
      <c r="AB563" s="39"/>
    </row>
    <row r="564">
      <c r="C564" s="39"/>
      <c r="J564" s="39"/>
      <c r="K564" s="39"/>
      <c r="O564" s="39"/>
      <c r="Q564" s="39"/>
      <c r="R564" s="39"/>
      <c r="S564" s="39"/>
      <c r="U564" s="39"/>
      <c r="V564" s="39"/>
      <c r="W564" s="39"/>
      <c r="X564" s="39"/>
      <c r="Y564" s="39"/>
      <c r="Z564" s="39"/>
      <c r="AA564" s="39"/>
      <c r="AB564" s="39"/>
    </row>
    <row r="565">
      <c r="C565" s="39"/>
      <c r="J565" s="39"/>
      <c r="K565" s="39"/>
      <c r="O565" s="39"/>
      <c r="Q565" s="39"/>
      <c r="R565" s="39"/>
      <c r="S565" s="39"/>
      <c r="U565" s="39"/>
      <c r="V565" s="39"/>
      <c r="W565" s="39"/>
      <c r="X565" s="39"/>
      <c r="Y565" s="39"/>
      <c r="Z565" s="39"/>
      <c r="AA565" s="39"/>
      <c r="AB565" s="39"/>
    </row>
    <row r="566">
      <c r="C566" s="39"/>
      <c r="J566" s="39"/>
      <c r="K566" s="39"/>
      <c r="O566" s="39"/>
      <c r="Q566" s="39"/>
      <c r="R566" s="39"/>
      <c r="S566" s="39"/>
      <c r="U566" s="39"/>
      <c r="V566" s="39"/>
      <c r="W566" s="39"/>
      <c r="X566" s="39"/>
      <c r="Y566" s="39"/>
      <c r="Z566" s="39"/>
      <c r="AA566" s="39"/>
      <c r="AB566" s="39"/>
    </row>
    <row r="567">
      <c r="C567" s="39"/>
      <c r="J567" s="39"/>
      <c r="K567" s="39"/>
      <c r="O567" s="39"/>
      <c r="Q567" s="39"/>
      <c r="R567" s="39"/>
      <c r="S567" s="39"/>
      <c r="U567" s="39"/>
      <c r="V567" s="39"/>
      <c r="W567" s="39"/>
      <c r="X567" s="39"/>
      <c r="Y567" s="39"/>
      <c r="Z567" s="39"/>
      <c r="AA567" s="39"/>
      <c r="AB567" s="39"/>
    </row>
    <row r="568">
      <c r="C568" s="39"/>
      <c r="J568" s="39"/>
      <c r="K568" s="39"/>
      <c r="O568" s="39"/>
      <c r="Q568" s="39"/>
      <c r="R568" s="39"/>
      <c r="S568" s="39"/>
      <c r="U568" s="39"/>
      <c r="V568" s="39"/>
      <c r="W568" s="39"/>
      <c r="X568" s="39"/>
      <c r="Y568" s="39"/>
      <c r="Z568" s="39"/>
      <c r="AA568" s="39"/>
      <c r="AB568" s="39"/>
    </row>
    <row r="569">
      <c r="C569" s="39"/>
      <c r="J569" s="39"/>
      <c r="K569" s="39"/>
      <c r="O569" s="39"/>
      <c r="Q569" s="39"/>
      <c r="R569" s="39"/>
      <c r="S569" s="39"/>
      <c r="U569" s="39"/>
      <c r="V569" s="39"/>
      <c r="W569" s="39"/>
      <c r="X569" s="39"/>
      <c r="Y569" s="39"/>
      <c r="Z569" s="39"/>
      <c r="AA569" s="39"/>
      <c r="AB569" s="39"/>
    </row>
    <row r="570">
      <c r="C570" s="39"/>
      <c r="J570" s="39"/>
      <c r="K570" s="39"/>
      <c r="O570" s="39"/>
      <c r="Q570" s="39"/>
      <c r="R570" s="39"/>
      <c r="S570" s="39"/>
      <c r="U570" s="39"/>
      <c r="V570" s="39"/>
      <c r="W570" s="39"/>
      <c r="X570" s="39"/>
      <c r="Y570" s="39"/>
      <c r="Z570" s="39"/>
      <c r="AA570" s="39"/>
      <c r="AB570" s="39"/>
    </row>
    <row r="571">
      <c r="C571" s="39"/>
      <c r="J571" s="39"/>
      <c r="K571" s="39"/>
      <c r="O571" s="39"/>
      <c r="Q571" s="39"/>
      <c r="R571" s="39"/>
      <c r="S571" s="39"/>
      <c r="U571" s="39"/>
      <c r="V571" s="39"/>
      <c r="W571" s="39"/>
      <c r="X571" s="39"/>
      <c r="Y571" s="39"/>
      <c r="Z571" s="39"/>
      <c r="AA571" s="39"/>
      <c r="AB571" s="39"/>
    </row>
    <row r="572">
      <c r="C572" s="39"/>
      <c r="J572" s="39"/>
      <c r="K572" s="39"/>
      <c r="O572" s="39"/>
      <c r="Q572" s="39"/>
      <c r="R572" s="39"/>
      <c r="S572" s="39"/>
      <c r="U572" s="39"/>
      <c r="V572" s="39"/>
      <c r="W572" s="39"/>
      <c r="X572" s="39"/>
      <c r="Y572" s="39"/>
      <c r="Z572" s="39"/>
      <c r="AA572" s="39"/>
      <c r="AB572" s="39"/>
    </row>
    <row r="573">
      <c r="C573" s="39"/>
      <c r="J573" s="39"/>
      <c r="K573" s="39"/>
      <c r="O573" s="39"/>
      <c r="Q573" s="39"/>
      <c r="R573" s="39"/>
      <c r="S573" s="39"/>
      <c r="U573" s="39"/>
      <c r="V573" s="39"/>
      <c r="W573" s="39"/>
      <c r="X573" s="39"/>
      <c r="Y573" s="39"/>
      <c r="Z573" s="39"/>
      <c r="AA573" s="39"/>
      <c r="AB573" s="39"/>
    </row>
    <row r="574">
      <c r="C574" s="39"/>
      <c r="J574" s="39"/>
      <c r="K574" s="39"/>
      <c r="O574" s="39"/>
      <c r="Q574" s="39"/>
      <c r="R574" s="39"/>
      <c r="S574" s="39"/>
      <c r="U574" s="39"/>
      <c r="V574" s="39"/>
      <c r="W574" s="39"/>
      <c r="X574" s="39"/>
      <c r="Y574" s="39"/>
      <c r="Z574" s="39"/>
      <c r="AA574" s="39"/>
      <c r="AB574" s="39"/>
    </row>
    <row r="575">
      <c r="C575" s="39"/>
      <c r="J575" s="39"/>
      <c r="K575" s="39"/>
      <c r="O575" s="39"/>
      <c r="Q575" s="39"/>
      <c r="R575" s="39"/>
      <c r="S575" s="39"/>
      <c r="U575" s="39"/>
      <c r="V575" s="39"/>
      <c r="W575" s="39"/>
      <c r="X575" s="39"/>
      <c r="Y575" s="39"/>
      <c r="Z575" s="39"/>
      <c r="AA575" s="39"/>
      <c r="AB575" s="39"/>
    </row>
    <row r="576">
      <c r="C576" s="39"/>
      <c r="J576" s="39"/>
      <c r="K576" s="39"/>
      <c r="O576" s="39"/>
      <c r="Q576" s="39"/>
      <c r="R576" s="39"/>
      <c r="S576" s="39"/>
      <c r="U576" s="39"/>
      <c r="V576" s="39"/>
      <c r="W576" s="39"/>
      <c r="X576" s="39"/>
      <c r="Y576" s="39"/>
      <c r="Z576" s="39"/>
      <c r="AA576" s="39"/>
      <c r="AB576" s="39"/>
    </row>
    <row r="577">
      <c r="C577" s="39"/>
      <c r="J577" s="39"/>
      <c r="K577" s="39"/>
      <c r="O577" s="39"/>
      <c r="Q577" s="39"/>
      <c r="R577" s="39"/>
      <c r="S577" s="39"/>
      <c r="U577" s="39"/>
      <c r="V577" s="39"/>
      <c r="W577" s="39"/>
      <c r="X577" s="39"/>
      <c r="Y577" s="39"/>
      <c r="Z577" s="39"/>
      <c r="AA577" s="39"/>
      <c r="AB577" s="39"/>
    </row>
    <row r="578">
      <c r="C578" s="39"/>
      <c r="J578" s="39"/>
      <c r="K578" s="39"/>
      <c r="O578" s="39"/>
      <c r="Q578" s="39"/>
      <c r="R578" s="39"/>
      <c r="S578" s="39"/>
      <c r="U578" s="39"/>
      <c r="V578" s="39"/>
      <c r="W578" s="39"/>
      <c r="X578" s="39"/>
      <c r="Y578" s="39"/>
      <c r="Z578" s="39"/>
      <c r="AA578" s="39"/>
      <c r="AB578" s="39"/>
    </row>
    <row r="579">
      <c r="C579" s="39"/>
      <c r="J579" s="39"/>
      <c r="K579" s="39"/>
      <c r="O579" s="39"/>
      <c r="Q579" s="39"/>
      <c r="R579" s="39"/>
      <c r="S579" s="39"/>
      <c r="U579" s="39"/>
      <c r="V579" s="39"/>
      <c r="W579" s="39"/>
      <c r="X579" s="39"/>
      <c r="Y579" s="39"/>
      <c r="Z579" s="39"/>
      <c r="AA579" s="39"/>
      <c r="AB579" s="39"/>
    </row>
    <row r="580">
      <c r="C580" s="39"/>
      <c r="J580" s="39"/>
      <c r="K580" s="39"/>
      <c r="O580" s="39"/>
      <c r="Q580" s="39"/>
      <c r="R580" s="39"/>
      <c r="S580" s="39"/>
      <c r="U580" s="39"/>
      <c r="V580" s="39"/>
      <c r="W580" s="39"/>
      <c r="X580" s="39"/>
      <c r="Y580" s="39"/>
      <c r="Z580" s="39"/>
      <c r="AA580" s="39"/>
      <c r="AB580" s="39"/>
    </row>
    <row r="581">
      <c r="C581" s="39"/>
      <c r="J581" s="39"/>
      <c r="K581" s="39"/>
      <c r="O581" s="39"/>
      <c r="Q581" s="39"/>
      <c r="R581" s="39"/>
      <c r="S581" s="39"/>
      <c r="U581" s="39"/>
      <c r="V581" s="39"/>
      <c r="W581" s="39"/>
      <c r="X581" s="39"/>
      <c r="Y581" s="39"/>
      <c r="Z581" s="39"/>
      <c r="AA581" s="39"/>
      <c r="AB581" s="39"/>
    </row>
    <row r="582">
      <c r="C582" s="39"/>
      <c r="J582" s="39"/>
      <c r="K582" s="39"/>
      <c r="O582" s="39"/>
      <c r="Q582" s="39"/>
      <c r="R582" s="39"/>
      <c r="S582" s="39"/>
      <c r="U582" s="39"/>
      <c r="V582" s="39"/>
      <c r="W582" s="39"/>
      <c r="X582" s="39"/>
      <c r="Y582" s="39"/>
      <c r="Z582" s="39"/>
      <c r="AA582" s="39"/>
      <c r="AB582" s="39"/>
    </row>
    <row r="583">
      <c r="C583" s="39"/>
      <c r="J583" s="39"/>
      <c r="K583" s="39"/>
      <c r="O583" s="39"/>
      <c r="Q583" s="39"/>
      <c r="R583" s="39"/>
      <c r="S583" s="39"/>
      <c r="U583" s="39"/>
      <c r="V583" s="39"/>
      <c r="W583" s="39"/>
      <c r="X583" s="39"/>
      <c r="Y583" s="39"/>
      <c r="Z583" s="39"/>
      <c r="AA583" s="39"/>
      <c r="AB583" s="39"/>
    </row>
    <row r="584">
      <c r="C584" s="39"/>
      <c r="J584" s="39"/>
      <c r="K584" s="39"/>
      <c r="O584" s="39"/>
      <c r="Q584" s="39"/>
      <c r="R584" s="39"/>
      <c r="S584" s="39"/>
      <c r="U584" s="39"/>
      <c r="V584" s="39"/>
      <c r="W584" s="39"/>
      <c r="X584" s="39"/>
      <c r="Y584" s="39"/>
      <c r="Z584" s="39"/>
      <c r="AA584" s="39"/>
      <c r="AB584" s="39"/>
    </row>
    <row r="585">
      <c r="C585" s="39"/>
      <c r="J585" s="39"/>
      <c r="K585" s="39"/>
      <c r="O585" s="39"/>
      <c r="Q585" s="39"/>
      <c r="R585" s="39"/>
      <c r="S585" s="39"/>
      <c r="U585" s="39"/>
      <c r="V585" s="39"/>
      <c r="W585" s="39"/>
      <c r="X585" s="39"/>
      <c r="Y585" s="39"/>
      <c r="Z585" s="39"/>
      <c r="AA585" s="39"/>
      <c r="AB585" s="39"/>
    </row>
    <row r="586">
      <c r="C586" s="39"/>
      <c r="J586" s="39"/>
      <c r="K586" s="39"/>
      <c r="O586" s="39"/>
      <c r="Q586" s="39"/>
      <c r="R586" s="39"/>
      <c r="S586" s="39"/>
      <c r="U586" s="39"/>
      <c r="V586" s="39"/>
      <c r="W586" s="39"/>
      <c r="X586" s="39"/>
      <c r="Y586" s="39"/>
      <c r="Z586" s="39"/>
      <c r="AA586" s="39"/>
      <c r="AB586" s="39"/>
    </row>
    <row r="587">
      <c r="C587" s="39"/>
      <c r="J587" s="39"/>
      <c r="K587" s="39"/>
      <c r="O587" s="39"/>
      <c r="Q587" s="39"/>
      <c r="R587" s="39"/>
      <c r="S587" s="39"/>
      <c r="U587" s="39"/>
      <c r="V587" s="39"/>
      <c r="W587" s="39"/>
      <c r="X587" s="39"/>
      <c r="Y587" s="39"/>
      <c r="Z587" s="39"/>
      <c r="AA587" s="39"/>
      <c r="AB587" s="39"/>
    </row>
    <row r="588">
      <c r="C588" s="39"/>
      <c r="J588" s="39"/>
      <c r="K588" s="39"/>
      <c r="O588" s="39"/>
      <c r="Q588" s="39"/>
      <c r="R588" s="39"/>
      <c r="S588" s="39"/>
      <c r="U588" s="39"/>
      <c r="V588" s="39"/>
      <c r="W588" s="39"/>
      <c r="X588" s="39"/>
      <c r="Y588" s="39"/>
      <c r="Z588" s="39"/>
      <c r="AA588" s="39"/>
      <c r="AB588" s="39"/>
    </row>
    <row r="589">
      <c r="C589" s="39"/>
      <c r="J589" s="39"/>
      <c r="K589" s="39"/>
      <c r="O589" s="39"/>
      <c r="Q589" s="39"/>
      <c r="R589" s="39"/>
      <c r="S589" s="39"/>
      <c r="U589" s="39"/>
      <c r="V589" s="39"/>
      <c r="W589" s="39"/>
      <c r="X589" s="39"/>
      <c r="Y589" s="39"/>
      <c r="Z589" s="39"/>
      <c r="AA589" s="39"/>
      <c r="AB589" s="39"/>
    </row>
    <row r="590">
      <c r="C590" s="39"/>
      <c r="J590" s="39"/>
      <c r="K590" s="39"/>
      <c r="O590" s="39"/>
      <c r="Q590" s="39"/>
      <c r="R590" s="39"/>
      <c r="S590" s="39"/>
      <c r="U590" s="39"/>
      <c r="V590" s="39"/>
      <c r="W590" s="39"/>
      <c r="X590" s="39"/>
      <c r="Y590" s="39"/>
      <c r="Z590" s="39"/>
      <c r="AA590" s="39"/>
      <c r="AB590" s="39"/>
    </row>
    <row r="591">
      <c r="C591" s="39"/>
      <c r="J591" s="39"/>
      <c r="K591" s="39"/>
      <c r="O591" s="39"/>
      <c r="Q591" s="39"/>
      <c r="R591" s="39"/>
      <c r="S591" s="39"/>
      <c r="U591" s="39"/>
      <c r="V591" s="39"/>
      <c r="W591" s="39"/>
      <c r="X591" s="39"/>
      <c r="Y591" s="39"/>
      <c r="Z591" s="39"/>
      <c r="AA591" s="39"/>
      <c r="AB591" s="39"/>
    </row>
    <row r="592">
      <c r="C592" s="39"/>
      <c r="J592" s="39"/>
      <c r="K592" s="39"/>
      <c r="O592" s="39"/>
      <c r="Q592" s="39"/>
      <c r="R592" s="39"/>
      <c r="S592" s="39"/>
      <c r="U592" s="39"/>
      <c r="V592" s="39"/>
      <c r="W592" s="39"/>
      <c r="X592" s="39"/>
      <c r="Y592" s="39"/>
      <c r="Z592" s="39"/>
      <c r="AA592" s="39"/>
      <c r="AB592" s="39"/>
    </row>
    <row r="593">
      <c r="C593" s="39"/>
      <c r="J593" s="39"/>
      <c r="K593" s="39"/>
      <c r="O593" s="39"/>
      <c r="Q593" s="39"/>
      <c r="R593" s="39"/>
      <c r="S593" s="39"/>
      <c r="U593" s="39"/>
      <c r="V593" s="39"/>
      <c r="W593" s="39"/>
      <c r="X593" s="39"/>
      <c r="Y593" s="39"/>
      <c r="Z593" s="39"/>
      <c r="AA593" s="39"/>
      <c r="AB593" s="39"/>
    </row>
    <row r="594">
      <c r="C594" s="39"/>
      <c r="J594" s="39"/>
      <c r="K594" s="39"/>
      <c r="O594" s="39"/>
      <c r="Q594" s="39"/>
      <c r="R594" s="39"/>
      <c r="S594" s="39"/>
      <c r="U594" s="39"/>
      <c r="V594" s="39"/>
      <c r="W594" s="39"/>
      <c r="X594" s="39"/>
      <c r="Y594" s="39"/>
      <c r="Z594" s="39"/>
      <c r="AA594" s="39"/>
      <c r="AB594" s="39"/>
    </row>
    <row r="595">
      <c r="C595" s="39"/>
      <c r="J595" s="39"/>
      <c r="K595" s="39"/>
      <c r="O595" s="39"/>
      <c r="Q595" s="39"/>
      <c r="R595" s="39"/>
      <c r="S595" s="39"/>
      <c r="U595" s="39"/>
      <c r="V595" s="39"/>
      <c r="W595" s="39"/>
      <c r="X595" s="39"/>
      <c r="Y595" s="39"/>
      <c r="Z595" s="39"/>
      <c r="AA595" s="39"/>
      <c r="AB595" s="39"/>
    </row>
    <row r="596">
      <c r="C596" s="39"/>
      <c r="J596" s="39"/>
      <c r="K596" s="39"/>
      <c r="O596" s="39"/>
      <c r="Q596" s="39"/>
      <c r="R596" s="39"/>
      <c r="S596" s="39"/>
      <c r="U596" s="39"/>
      <c r="V596" s="39"/>
      <c r="W596" s="39"/>
      <c r="X596" s="39"/>
      <c r="Y596" s="39"/>
      <c r="Z596" s="39"/>
      <c r="AA596" s="39"/>
      <c r="AB596" s="39"/>
    </row>
    <row r="597">
      <c r="C597" s="39"/>
      <c r="J597" s="39"/>
      <c r="K597" s="39"/>
      <c r="O597" s="39"/>
      <c r="Q597" s="39"/>
      <c r="R597" s="39"/>
      <c r="S597" s="39"/>
      <c r="U597" s="39"/>
      <c r="V597" s="39"/>
      <c r="W597" s="39"/>
      <c r="X597" s="39"/>
      <c r="Y597" s="39"/>
      <c r="Z597" s="39"/>
      <c r="AA597" s="39"/>
      <c r="AB597" s="39"/>
    </row>
    <row r="598">
      <c r="C598" s="39"/>
      <c r="J598" s="39"/>
      <c r="K598" s="39"/>
      <c r="O598" s="39"/>
      <c r="Q598" s="39"/>
      <c r="R598" s="39"/>
      <c r="S598" s="39"/>
      <c r="U598" s="39"/>
      <c r="V598" s="39"/>
      <c r="W598" s="39"/>
      <c r="X598" s="39"/>
      <c r="Y598" s="39"/>
      <c r="Z598" s="39"/>
      <c r="AA598" s="39"/>
      <c r="AB598" s="39"/>
    </row>
    <row r="599">
      <c r="C599" s="39"/>
      <c r="J599" s="39"/>
      <c r="K599" s="39"/>
      <c r="O599" s="39"/>
      <c r="Q599" s="39"/>
      <c r="R599" s="39"/>
      <c r="S599" s="39"/>
      <c r="U599" s="39"/>
      <c r="V599" s="39"/>
      <c r="W599" s="39"/>
      <c r="X599" s="39"/>
      <c r="Y599" s="39"/>
      <c r="Z599" s="39"/>
      <c r="AA599" s="39"/>
      <c r="AB599" s="39"/>
    </row>
    <row r="600">
      <c r="C600" s="39"/>
      <c r="J600" s="39"/>
      <c r="K600" s="39"/>
      <c r="O600" s="39"/>
      <c r="Q600" s="39"/>
      <c r="R600" s="39"/>
      <c r="S600" s="39"/>
      <c r="U600" s="39"/>
      <c r="V600" s="39"/>
      <c r="W600" s="39"/>
      <c r="X600" s="39"/>
      <c r="Y600" s="39"/>
      <c r="Z600" s="39"/>
      <c r="AA600" s="39"/>
      <c r="AB600" s="39"/>
    </row>
    <row r="601">
      <c r="C601" s="39"/>
      <c r="J601" s="39"/>
      <c r="K601" s="39"/>
      <c r="O601" s="39"/>
      <c r="Q601" s="39"/>
      <c r="R601" s="39"/>
      <c r="S601" s="39"/>
      <c r="U601" s="39"/>
      <c r="V601" s="39"/>
      <c r="W601" s="39"/>
      <c r="X601" s="39"/>
      <c r="Y601" s="39"/>
      <c r="Z601" s="39"/>
      <c r="AA601" s="39"/>
      <c r="AB601" s="39"/>
    </row>
    <row r="602">
      <c r="C602" s="39"/>
      <c r="J602" s="39"/>
      <c r="K602" s="39"/>
      <c r="O602" s="39"/>
      <c r="Q602" s="39"/>
      <c r="R602" s="39"/>
      <c r="S602" s="39"/>
      <c r="U602" s="39"/>
      <c r="V602" s="39"/>
      <c r="W602" s="39"/>
      <c r="X602" s="39"/>
      <c r="Y602" s="39"/>
      <c r="Z602" s="39"/>
      <c r="AA602" s="39"/>
      <c r="AB602" s="39"/>
    </row>
    <row r="603">
      <c r="C603" s="39"/>
      <c r="J603" s="39"/>
      <c r="K603" s="39"/>
      <c r="O603" s="39"/>
      <c r="Q603" s="39"/>
      <c r="R603" s="39"/>
      <c r="S603" s="39"/>
      <c r="U603" s="39"/>
      <c r="V603" s="39"/>
      <c r="W603" s="39"/>
      <c r="X603" s="39"/>
      <c r="Y603" s="39"/>
      <c r="Z603" s="39"/>
      <c r="AA603" s="39"/>
      <c r="AB603" s="39"/>
    </row>
    <row r="604">
      <c r="C604" s="39"/>
      <c r="J604" s="39"/>
      <c r="K604" s="39"/>
      <c r="O604" s="39"/>
      <c r="Q604" s="39"/>
      <c r="R604" s="39"/>
      <c r="S604" s="39"/>
      <c r="U604" s="39"/>
      <c r="V604" s="39"/>
      <c r="W604" s="39"/>
      <c r="X604" s="39"/>
      <c r="Y604" s="39"/>
      <c r="Z604" s="39"/>
      <c r="AA604" s="39"/>
      <c r="AB604" s="39"/>
    </row>
    <row r="605">
      <c r="C605" s="39"/>
      <c r="J605" s="39"/>
      <c r="K605" s="39"/>
      <c r="O605" s="39"/>
      <c r="Q605" s="39"/>
      <c r="R605" s="39"/>
      <c r="S605" s="39"/>
      <c r="U605" s="39"/>
      <c r="V605" s="39"/>
      <c r="W605" s="39"/>
      <c r="X605" s="39"/>
      <c r="Y605" s="39"/>
      <c r="Z605" s="39"/>
      <c r="AA605" s="39"/>
      <c r="AB605" s="39"/>
    </row>
    <row r="606">
      <c r="C606" s="39"/>
      <c r="J606" s="39"/>
      <c r="K606" s="39"/>
      <c r="O606" s="39"/>
      <c r="Q606" s="39"/>
      <c r="R606" s="39"/>
      <c r="S606" s="39"/>
      <c r="U606" s="39"/>
      <c r="V606" s="39"/>
      <c r="W606" s="39"/>
      <c r="X606" s="39"/>
      <c r="Y606" s="39"/>
      <c r="Z606" s="39"/>
      <c r="AA606" s="39"/>
      <c r="AB606" s="39"/>
    </row>
    <row r="607">
      <c r="C607" s="39"/>
      <c r="J607" s="39"/>
      <c r="K607" s="39"/>
      <c r="O607" s="39"/>
      <c r="Q607" s="39"/>
      <c r="R607" s="39"/>
      <c r="S607" s="39"/>
      <c r="U607" s="39"/>
      <c r="V607" s="39"/>
      <c r="W607" s="39"/>
      <c r="X607" s="39"/>
      <c r="Y607" s="39"/>
      <c r="Z607" s="39"/>
      <c r="AA607" s="39"/>
      <c r="AB607" s="39"/>
    </row>
    <row r="608">
      <c r="C608" s="39"/>
      <c r="J608" s="39"/>
      <c r="K608" s="39"/>
      <c r="O608" s="39"/>
      <c r="Q608" s="39"/>
      <c r="R608" s="39"/>
      <c r="S608" s="39"/>
      <c r="U608" s="39"/>
      <c r="V608" s="39"/>
      <c r="W608" s="39"/>
      <c r="X608" s="39"/>
      <c r="Y608" s="39"/>
      <c r="Z608" s="39"/>
      <c r="AA608" s="39"/>
      <c r="AB608" s="39"/>
    </row>
    <row r="609">
      <c r="C609" s="39"/>
      <c r="J609" s="39"/>
      <c r="K609" s="39"/>
      <c r="O609" s="39"/>
      <c r="Q609" s="39"/>
      <c r="R609" s="39"/>
      <c r="S609" s="39"/>
      <c r="U609" s="39"/>
      <c r="V609" s="39"/>
      <c r="W609" s="39"/>
      <c r="X609" s="39"/>
      <c r="Y609" s="39"/>
      <c r="Z609" s="39"/>
      <c r="AA609" s="39"/>
      <c r="AB609" s="39"/>
    </row>
    <row r="610">
      <c r="C610" s="39"/>
      <c r="J610" s="39"/>
      <c r="K610" s="39"/>
      <c r="O610" s="39"/>
      <c r="Q610" s="39"/>
      <c r="R610" s="39"/>
      <c r="S610" s="39"/>
      <c r="U610" s="39"/>
      <c r="V610" s="39"/>
      <c r="W610" s="39"/>
      <c r="X610" s="39"/>
      <c r="Y610" s="39"/>
      <c r="Z610" s="39"/>
      <c r="AA610" s="39"/>
      <c r="AB610" s="39"/>
    </row>
    <row r="611">
      <c r="C611" s="39"/>
      <c r="J611" s="39"/>
      <c r="K611" s="39"/>
      <c r="O611" s="39"/>
      <c r="Q611" s="39"/>
      <c r="R611" s="39"/>
      <c r="S611" s="39"/>
      <c r="U611" s="39"/>
      <c r="V611" s="39"/>
      <c r="W611" s="39"/>
      <c r="X611" s="39"/>
      <c r="Y611" s="39"/>
      <c r="Z611" s="39"/>
      <c r="AA611" s="39"/>
      <c r="AB611" s="39"/>
    </row>
    <row r="612">
      <c r="C612" s="39"/>
      <c r="J612" s="39"/>
      <c r="K612" s="39"/>
      <c r="O612" s="39"/>
      <c r="Q612" s="39"/>
      <c r="R612" s="39"/>
      <c r="S612" s="39"/>
      <c r="U612" s="39"/>
      <c r="V612" s="39"/>
      <c r="W612" s="39"/>
      <c r="X612" s="39"/>
      <c r="Y612" s="39"/>
      <c r="Z612" s="39"/>
      <c r="AA612" s="39"/>
      <c r="AB612" s="39"/>
    </row>
    <row r="613">
      <c r="C613" s="39"/>
      <c r="J613" s="39"/>
      <c r="K613" s="39"/>
      <c r="O613" s="39"/>
      <c r="Q613" s="39"/>
      <c r="R613" s="39"/>
      <c r="S613" s="39"/>
      <c r="U613" s="39"/>
      <c r="V613" s="39"/>
      <c r="W613" s="39"/>
      <c r="X613" s="39"/>
      <c r="Y613" s="39"/>
      <c r="Z613" s="39"/>
      <c r="AA613" s="39"/>
      <c r="AB613" s="39"/>
    </row>
    <row r="614">
      <c r="C614" s="39"/>
      <c r="J614" s="39"/>
      <c r="K614" s="39"/>
      <c r="O614" s="39"/>
      <c r="Q614" s="39"/>
      <c r="R614" s="39"/>
      <c r="S614" s="39"/>
      <c r="U614" s="39"/>
      <c r="V614" s="39"/>
      <c r="W614" s="39"/>
      <c r="X614" s="39"/>
      <c r="Y614" s="39"/>
      <c r="Z614" s="39"/>
      <c r="AA614" s="39"/>
      <c r="AB614" s="39"/>
    </row>
    <row r="615">
      <c r="C615" s="39"/>
      <c r="J615" s="39"/>
      <c r="K615" s="39"/>
      <c r="O615" s="39"/>
      <c r="Q615" s="39"/>
      <c r="R615" s="39"/>
      <c r="S615" s="39"/>
      <c r="U615" s="39"/>
      <c r="V615" s="39"/>
      <c r="W615" s="39"/>
      <c r="X615" s="39"/>
      <c r="Y615" s="39"/>
      <c r="Z615" s="39"/>
      <c r="AA615" s="39"/>
      <c r="AB615" s="39"/>
    </row>
    <row r="616">
      <c r="C616" s="39"/>
      <c r="J616" s="39"/>
      <c r="K616" s="39"/>
      <c r="O616" s="39"/>
      <c r="Q616" s="39"/>
      <c r="R616" s="39"/>
      <c r="S616" s="39"/>
      <c r="U616" s="39"/>
      <c r="V616" s="39"/>
      <c r="W616" s="39"/>
      <c r="X616" s="39"/>
      <c r="Y616" s="39"/>
      <c r="Z616" s="39"/>
      <c r="AA616" s="39"/>
      <c r="AB616" s="39"/>
    </row>
    <row r="617">
      <c r="C617" s="39"/>
      <c r="J617" s="39"/>
      <c r="K617" s="39"/>
      <c r="O617" s="39"/>
      <c r="Q617" s="39"/>
      <c r="R617" s="39"/>
      <c r="S617" s="39"/>
      <c r="U617" s="39"/>
      <c r="V617" s="39"/>
      <c r="W617" s="39"/>
      <c r="X617" s="39"/>
      <c r="Y617" s="39"/>
      <c r="Z617" s="39"/>
      <c r="AA617" s="39"/>
      <c r="AB617" s="39"/>
    </row>
    <row r="618">
      <c r="C618" s="39"/>
      <c r="J618" s="39"/>
      <c r="K618" s="39"/>
      <c r="O618" s="39"/>
      <c r="Q618" s="39"/>
      <c r="R618" s="39"/>
      <c r="S618" s="39"/>
      <c r="U618" s="39"/>
      <c r="V618" s="39"/>
      <c r="W618" s="39"/>
      <c r="X618" s="39"/>
      <c r="Y618" s="39"/>
      <c r="Z618" s="39"/>
      <c r="AA618" s="39"/>
      <c r="AB618" s="39"/>
    </row>
    <row r="619">
      <c r="C619" s="39"/>
      <c r="J619" s="39"/>
      <c r="K619" s="39"/>
      <c r="O619" s="39"/>
      <c r="Q619" s="39"/>
      <c r="R619" s="39"/>
      <c r="S619" s="39"/>
      <c r="U619" s="39"/>
      <c r="V619" s="39"/>
      <c r="W619" s="39"/>
      <c r="X619" s="39"/>
      <c r="Y619" s="39"/>
      <c r="Z619" s="39"/>
      <c r="AA619" s="39"/>
      <c r="AB619" s="39"/>
    </row>
    <row r="620">
      <c r="C620" s="39"/>
      <c r="J620" s="39"/>
      <c r="K620" s="39"/>
      <c r="O620" s="39"/>
      <c r="Q620" s="39"/>
      <c r="R620" s="39"/>
      <c r="S620" s="39"/>
      <c r="U620" s="39"/>
      <c r="V620" s="39"/>
      <c r="W620" s="39"/>
      <c r="X620" s="39"/>
      <c r="Y620" s="39"/>
      <c r="Z620" s="39"/>
      <c r="AA620" s="39"/>
      <c r="AB620" s="39"/>
    </row>
    <row r="621">
      <c r="C621" s="39"/>
      <c r="J621" s="39"/>
      <c r="K621" s="39"/>
      <c r="O621" s="39"/>
      <c r="Q621" s="39"/>
      <c r="R621" s="39"/>
      <c r="S621" s="39"/>
      <c r="U621" s="39"/>
      <c r="V621" s="39"/>
      <c r="W621" s="39"/>
      <c r="X621" s="39"/>
      <c r="Y621" s="39"/>
      <c r="Z621" s="39"/>
      <c r="AA621" s="39"/>
      <c r="AB621" s="39"/>
    </row>
    <row r="622">
      <c r="C622" s="39"/>
      <c r="J622" s="39"/>
      <c r="K622" s="39"/>
      <c r="O622" s="39"/>
      <c r="Q622" s="39"/>
      <c r="R622" s="39"/>
      <c r="S622" s="39"/>
      <c r="U622" s="39"/>
      <c r="V622" s="39"/>
      <c r="W622" s="39"/>
      <c r="X622" s="39"/>
      <c r="Y622" s="39"/>
      <c r="Z622" s="39"/>
      <c r="AA622" s="39"/>
      <c r="AB622" s="39"/>
    </row>
    <row r="623">
      <c r="C623" s="39"/>
      <c r="J623" s="39"/>
      <c r="K623" s="39"/>
      <c r="O623" s="39"/>
      <c r="Q623" s="39"/>
      <c r="R623" s="39"/>
      <c r="S623" s="39"/>
      <c r="U623" s="39"/>
      <c r="V623" s="39"/>
      <c r="W623" s="39"/>
      <c r="X623" s="39"/>
      <c r="Y623" s="39"/>
      <c r="Z623" s="39"/>
      <c r="AA623" s="39"/>
      <c r="AB623" s="39"/>
    </row>
    <row r="624">
      <c r="C624" s="39"/>
      <c r="J624" s="39"/>
      <c r="K624" s="39"/>
      <c r="O624" s="39"/>
      <c r="Q624" s="39"/>
      <c r="R624" s="39"/>
      <c r="S624" s="39"/>
      <c r="U624" s="39"/>
      <c r="V624" s="39"/>
      <c r="W624" s="39"/>
      <c r="X624" s="39"/>
      <c r="Y624" s="39"/>
      <c r="Z624" s="39"/>
      <c r="AA624" s="39"/>
      <c r="AB624" s="39"/>
    </row>
    <row r="625">
      <c r="C625" s="39"/>
      <c r="J625" s="39"/>
      <c r="K625" s="39"/>
      <c r="O625" s="39"/>
      <c r="Q625" s="39"/>
      <c r="R625" s="39"/>
      <c r="S625" s="39"/>
      <c r="U625" s="39"/>
      <c r="V625" s="39"/>
      <c r="W625" s="39"/>
      <c r="X625" s="39"/>
      <c r="Y625" s="39"/>
      <c r="Z625" s="39"/>
      <c r="AA625" s="39"/>
      <c r="AB625" s="39"/>
    </row>
    <row r="626">
      <c r="C626" s="39"/>
      <c r="J626" s="39"/>
      <c r="K626" s="39"/>
      <c r="O626" s="39"/>
      <c r="Q626" s="39"/>
      <c r="R626" s="39"/>
      <c r="S626" s="39"/>
      <c r="U626" s="39"/>
      <c r="V626" s="39"/>
      <c r="W626" s="39"/>
      <c r="X626" s="39"/>
      <c r="Y626" s="39"/>
      <c r="Z626" s="39"/>
      <c r="AA626" s="39"/>
      <c r="AB626" s="39"/>
    </row>
    <row r="627">
      <c r="C627" s="39"/>
      <c r="J627" s="39"/>
      <c r="K627" s="39"/>
      <c r="O627" s="39"/>
      <c r="Q627" s="39"/>
      <c r="R627" s="39"/>
      <c r="S627" s="39"/>
      <c r="U627" s="39"/>
      <c r="V627" s="39"/>
      <c r="W627" s="39"/>
      <c r="X627" s="39"/>
      <c r="Y627" s="39"/>
      <c r="Z627" s="39"/>
      <c r="AA627" s="39"/>
      <c r="AB627" s="39"/>
    </row>
    <row r="628">
      <c r="C628" s="39"/>
      <c r="J628" s="39"/>
      <c r="K628" s="39"/>
      <c r="O628" s="39"/>
      <c r="Q628" s="39"/>
      <c r="R628" s="39"/>
      <c r="S628" s="39"/>
      <c r="U628" s="39"/>
      <c r="V628" s="39"/>
      <c r="W628" s="39"/>
      <c r="X628" s="39"/>
      <c r="Y628" s="39"/>
      <c r="Z628" s="39"/>
      <c r="AA628" s="39"/>
      <c r="AB628" s="39"/>
    </row>
    <row r="629">
      <c r="C629" s="39"/>
      <c r="J629" s="39"/>
      <c r="K629" s="39"/>
      <c r="O629" s="39"/>
      <c r="Q629" s="39"/>
      <c r="R629" s="39"/>
      <c r="S629" s="39"/>
      <c r="U629" s="39"/>
      <c r="V629" s="39"/>
      <c r="W629" s="39"/>
      <c r="X629" s="39"/>
      <c r="Y629" s="39"/>
      <c r="Z629" s="39"/>
      <c r="AA629" s="39"/>
      <c r="AB629" s="39"/>
    </row>
    <row r="630">
      <c r="C630" s="39"/>
      <c r="J630" s="39"/>
      <c r="K630" s="39"/>
      <c r="O630" s="39"/>
      <c r="Q630" s="39"/>
      <c r="R630" s="39"/>
      <c r="S630" s="39"/>
      <c r="U630" s="39"/>
      <c r="V630" s="39"/>
      <c r="W630" s="39"/>
      <c r="X630" s="39"/>
      <c r="Y630" s="39"/>
      <c r="Z630" s="39"/>
      <c r="AA630" s="39"/>
      <c r="AB630" s="39"/>
    </row>
    <row r="631">
      <c r="C631" s="39"/>
      <c r="J631" s="39"/>
      <c r="K631" s="39"/>
      <c r="O631" s="39"/>
      <c r="Q631" s="39"/>
      <c r="R631" s="39"/>
      <c r="S631" s="39"/>
      <c r="U631" s="39"/>
      <c r="V631" s="39"/>
      <c r="W631" s="39"/>
      <c r="X631" s="39"/>
      <c r="Y631" s="39"/>
      <c r="Z631" s="39"/>
      <c r="AA631" s="39"/>
      <c r="AB631" s="39"/>
    </row>
    <row r="632">
      <c r="C632" s="39"/>
      <c r="J632" s="39"/>
      <c r="K632" s="39"/>
      <c r="O632" s="39"/>
      <c r="Q632" s="39"/>
      <c r="R632" s="39"/>
      <c r="S632" s="39"/>
      <c r="U632" s="39"/>
      <c r="V632" s="39"/>
      <c r="W632" s="39"/>
      <c r="X632" s="39"/>
      <c r="Y632" s="39"/>
      <c r="Z632" s="39"/>
      <c r="AA632" s="39"/>
      <c r="AB632" s="39"/>
    </row>
    <row r="633">
      <c r="C633" s="39"/>
      <c r="J633" s="39"/>
      <c r="K633" s="39"/>
      <c r="O633" s="39"/>
      <c r="Q633" s="39"/>
      <c r="R633" s="39"/>
      <c r="S633" s="39"/>
      <c r="U633" s="39"/>
      <c r="V633" s="39"/>
      <c r="W633" s="39"/>
      <c r="X633" s="39"/>
      <c r="Y633" s="39"/>
      <c r="Z633" s="39"/>
      <c r="AA633" s="39"/>
      <c r="AB633" s="39"/>
    </row>
    <row r="634">
      <c r="C634" s="39"/>
      <c r="J634" s="39"/>
      <c r="K634" s="39"/>
      <c r="O634" s="39"/>
      <c r="Q634" s="39"/>
      <c r="R634" s="39"/>
      <c r="S634" s="39"/>
      <c r="U634" s="39"/>
      <c r="V634" s="39"/>
      <c r="W634" s="39"/>
      <c r="X634" s="39"/>
      <c r="Y634" s="39"/>
      <c r="Z634" s="39"/>
      <c r="AA634" s="39"/>
      <c r="AB634" s="39"/>
    </row>
    <row r="635">
      <c r="C635" s="39"/>
      <c r="J635" s="39"/>
      <c r="K635" s="39"/>
      <c r="O635" s="39"/>
      <c r="Q635" s="39"/>
      <c r="R635" s="39"/>
      <c r="S635" s="39"/>
      <c r="U635" s="39"/>
      <c r="V635" s="39"/>
      <c r="W635" s="39"/>
      <c r="X635" s="39"/>
      <c r="Y635" s="39"/>
      <c r="Z635" s="39"/>
      <c r="AA635" s="39"/>
      <c r="AB635" s="39"/>
    </row>
    <row r="636">
      <c r="C636" s="39"/>
      <c r="J636" s="39"/>
      <c r="K636" s="39"/>
      <c r="O636" s="39"/>
      <c r="Q636" s="39"/>
      <c r="R636" s="39"/>
      <c r="S636" s="39"/>
      <c r="U636" s="39"/>
      <c r="V636" s="39"/>
      <c r="W636" s="39"/>
      <c r="X636" s="39"/>
      <c r="Y636" s="39"/>
      <c r="Z636" s="39"/>
      <c r="AA636" s="39"/>
      <c r="AB636" s="39"/>
    </row>
    <row r="637">
      <c r="C637" s="39"/>
      <c r="J637" s="39"/>
      <c r="K637" s="39"/>
      <c r="O637" s="39"/>
      <c r="Q637" s="39"/>
      <c r="R637" s="39"/>
      <c r="S637" s="39"/>
      <c r="U637" s="39"/>
      <c r="V637" s="39"/>
      <c r="W637" s="39"/>
      <c r="X637" s="39"/>
      <c r="Y637" s="39"/>
      <c r="Z637" s="39"/>
      <c r="AA637" s="39"/>
      <c r="AB637" s="39"/>
    </row>
    <row r="638">
      <c r="C638" s="39"/>
      <c r="J638" s="39"/>
      <c r="K638" s="39"/>
      <c r="O638" s="39"/>
      <c r="Q638" s="39"/>
      <c r="R638" s="39"/>
      <c r="S638" s="39"/>
      <c r="U638" s="39"/>
      <c r="V638" s="39"/>
      <c r="W638" s="39"/>
      <c r="X638" s="39"/>
      <c r="Y638" s="39"/>
      <c r="Z638" s="39"/>
      <c r="AA638" s="39"/>
      <c r="AB638" s="39"/>
    </row>
    <row r="639">
      <c r="C639" s="39"/>
      <c r="J639" s="39"/>
      <c r="K639" s="39"/>
      <c r="O639" s="39"/>
      <c r="Q639" s="39"/>
      <c r="R639" s="39"/>
      <c r="S639" s="39"/>
      <c r="U639" s="39"/>
      <c r="V639" s="39"/>
      <c r="W639" s="39"/>
      <c r="X639" s="39"/>
      <c r="Y639" s="39"/>
      <c r="Z639" s="39"/>
      <c r="AA639" s="39"/>
      <c r="AB639" s="39"/>
    </row>
    <row r="640">
      <c r="C640" s="39"/>
      <c r="J640" s="39"/>
      <c r="K640" s="39"/>
      <c r="O640" s="39"/>
      <c r="Q640" s="39"/>
      <c r="R640" s="39"/>
      <c r="S640" s="39"/>
      <c r="U640" s="39"/>
      <c r="V640" s="39"/>
      <c r="W640" s="39"/>
      <c r="X640" s="39"/>
      <c r="Y640" s="39"/>
      <c r="Z640" s="39"/>
      <c r="AA640" s="39"/>
      <c r="AB640" s="39"/>
    </row>
    <row r="641">
      <c r="C641" s="39"/>
      <c r="J641" s="39"/>
      <c r="K641" s="39"/>
      <c r="O641" s="39"/>
      <c r="Q641" s="39"/>
      <c r="R641" s="39"/>
      <c r="S641" s="39"/>
      <c r="U641" s="39"/>
      <c r="V641" s="39"/>
      <c r="W641" s="39"/>
      <c r="X641" s="39"/>
      <c r="Y641" s="39"/>
      <c r="Z641" s="39"/>
      <c r="AA641" s="39"/>
      <c r="AB641" s="39"/>
    </row>
    <row r="642">
      <c r="C642" s="39"/>
      <c r="J642" s="39"/>
      <c r="K642" s="39"/>
      <c r="O642" s="39"/>
      <c r="Q642" s="39"/>
      <c r="R642" s="39"/>
      <c r="S642" s="39"/>
      <c r="U642" s="39"/>
      <c r="V642" s="39"/>
      <c r="W642" s="39"/>
      <c r="X642" s="39"/>
      <c r="Y642" s="39"/>
      <c r="Z642" s="39"/>
      <c r="AA642" s="39"/>
      <c r="AB642" s="39"/>
    </row>
    <row r="643">
      <c r="C643" s="39"/>
      <c r="J643" s="39"/>
      <c r="K643" s="39"/>
      <c r="O643" s="39"/>
      <c r="Q643" s="39"/>
      <c r="R643" s="39"/>
      <c r="S643" s="39"/>
      <c r="U643" s="39"/>
      <c r="V643" s="39"/>
      <c r="W643" s="39"/>
      <c r="X643" s="39"/>
      <c r="Y643" s="39"/>
      <c r="Z643" s="39"/>
      <c r="AA643" s="39"/>
      <c r="AB643" s="39"/>
    </row>
    <row r="644">
      <c r="C644" s="39"/>
      <c r="J644" s="39"/>
      <c r="K644" s="39"/>
      <c r="O644" s="39"/>
      <c r="Q644" s="39"/>
      <c r="R644" s="39"/>
      <c r="S644" s="39"/>
      <c r="U644" s="39"/>
      <c r="V644" s="39"/>
      <c r="W644" s="39"/>
      <c r="X644" s="39"/>
      <c r="Y644" s="39"/>
      <c r="Z644" s="39"/>
      <c r="AA644" s="39"/>
      <c r="AB644" s="39"/>
    </row>
    <row r="645">
      <c r="C645" s="39"/>
      <c r="J645" s="39"/>
      <c r="K645" s="39"/>
      <c r="O645" s="39"/>
      <c r="Q645" s="39"/>
      <c r="R645" s="39"/>
      <c r="S645" s="39"/>
      <c r="U645" s="39"/>
      <c r="V645" s="39"/>
      <c r="W645" s="39"/>
      <c r="X645" s="39"/>
      <c r="Y645" s="39"/>
      <c r="Z645" s="39"/>
      <c r="AA645" s="39"/>
      <c r="AB645" s="39"/>
    </row>
    <row r="646">
      <c r="C646" s="39"/>
      <c r="J646" s="39"/>
      <c r="K646" s="39"/>
      <c r="O646" s="39"/>
      <c r="Q646" s="39"/>
      <c r="R646" s="39"/>
      <c r="S646" s="39"/>
      <c r="U646" s="39"/>
      <c r="V646" s="39"/>
      <c r="W646" s="39"/>
      <c r="X646" s="39"/>
      <c r="Y646" s="39"/>
      <c r="Z646" s="39"/>
      <c r="AA646" s="39"/>
      <c r="AB646" s="39"/>
    </row>
    <row r="647">
      <c r="C647" s="39"/>
      <c r="J647" s="39"/>
      <c r="K647" s="39"/>
      <c r="O647" s="39"/>
      <c r="Q647" s="39"/>
      <c r="R647" s="39"/>
      <c r="S647" s="39"/>
      <c r="U647" s="39"/>
      <c r="V647" s="39"/>
      <c r="W647" s="39"/>
      <c r="X647" s="39"/>
      <c r="Y647" s="39"/>
      <c r="Z647" s="39"/>
      <c r="AA647" s="39"/>
      <c r="AB647" s="39"/>
    </row>
    <row r="648">
      <c r="C648" s="39"/>
      <c r="J648" s="39"/>
      <c r="K648" s="39"/>
      <c r="O648" s="39"/>
      <c r="Q648" s="39"/>
      <c r="R648" s="39"/>
      <c r="S648" s="39"/>
      <c r="U648" s="39"/>
      <c r="V648" s="39"/>
      <c r="W648" s="39"/>
      <c r="X648" s="39"/>
      <c r="Y648" s="39"/>
      <c r="Z648" s="39"/>
      <c r="AA648" s="39"/>
      <c r="AB648" s="39"/>
    </row>
    <row r="649">
      <c r="C649" s="39"/>
      <c r="J649" s="39"/>
      <c r="K649" s="39"/>
      <c r="O649" s="39"/>
      <c r="Q649" s="39"/>
      <c r="R649" s="39"/>
      <c r="S649" s="39"/>
      <c r="U649" s="39"/>
      <c r="V649" s="39"/>
      <c r="W649" s="39"/>
      <c r="X649" s="39"/>
      <c r="Y649" s="39"/>
      <c r="Z649" s="39"/>
      <c r="AA649" s="39"/>
      <c r="AB649" s="39"/>
    </row>
    <row r="650">
      <c r="C650" s="39"/>
      <c r="J650" s="39"/>
      <c r="K650" s="39"/>
      <c r="O650" s="39"/>
      <c r="Q650" s="39"/>
      <c r="R650" s="39"/>
      <c r="S650" s="39"/>
      <c r="U650" s="39"/>
      <c r="V650" s="39"/>
      <c r="W650" s="39"/>
      <c r="X650" s="39"/>
      <c r="Y650" s="39"/>
      <c r="Z650" s="39"/>
      <c r="AA650" s="39"/>
      <c r="AB650" s="39"/>
    </row>
    <row r="651">
      <c r="C651" s="39"/>
      <c r="J651" s="39"/>
      <c r="K651" s="39"/>
      <c r="O651" s="39"/>
      <c r="Q651" s="39"/>
      <c r="R651" s="39"/>
      <c r="S651" s="39"/>
      <c r="U651" s="39"/>
      <c r="V651" s="39"/>
      <c r="W651" s="39"/>
      <c r="X651" s="39"/>
      <c r="Y651" s="39"/>
      <c r="Z651" s="39"/>
      <c r="AA651" s="39"/>
      <c r="AB651" s="39"/>
    </row>
    <row r="652">
      <c r="C652" s="39"/>
      <c r="J652" s="39"/>
      <c r="K652" s="39"/>
      <c r="O652" s="39"/>
      <c r="Q652" s="39"/>
      <c r="R652" s="39"/>
      <c r="S652" s="39"/>
      <c r="U652" s="39"/>
      <c r="V652" s="39"/>
      <c r="W652" s="39"/>
      <c r="X652" s="39"/>
      <c r="Y652" s="39"/>
      <c r="Z652" s="39"/>
      <c r="AA652" s="39"/>
      <c r="AB652" s="39"/>
    </row>
    <row r="653">
      <c r="C653" s="39"/>
      <c r="J653" s="39"/>
      <c r="K653" s="39"/>
      <c r="O653" s="39"/>
      <c r="Q653" s="39"/>
      <c r="R653" s="39"/>
      <c r="S653" s="39"/>
      <c r="U653" s="39"/>
      <c r="V653" s="39"/>
      <c r="W653" s="39"/>
      <c r="X653" s="39"/>
      <c r="Y653" s="39"/>
      <c r="Z653" s="39"/>
      <c r="AA653" s="39"/>
      <c r="AB653" s="39"/>
    </row>
    <row r="654">
      <c r="C654" s="39"/>
      <c r="J654" s="39"/>
      <c r="K654" s="39"/>
      <c r="O654" s="39"/>
      <c r="Q654" s="39"/>
      <c r="R654" s="39"/>
      <c r="S654" s="39"/>
      <c r="U654" s="39"/>
      <c r="V654" s="39"/>
      <c r="W654" s="39"/>
      <c r="X654" s="39"/>
      <c r="Y654" s="39"/>
      <c r="Z654" s="39"/>
      <c r="AA654" s="39"/>
      <c r="AB654" s="39"/>
    </row>
    <row r="655">
      <c r="C655" s="39"/>
      <c r="J655" s="39"/>
      <c r="K655" s="39"/>
      <c r="O655" s="39"/>
      <c r="Q655" s="39"/>
      <c r="R655" s="39"/>
      <c r="S655" s="39"/>
      <c r="U655" s="39"/>
      <c r="V655" s="39"/>
      <c r="W655" s="39"/>
      <c r="X655" s="39"/>
      <c r="Y655" s="39"/>
      <c r="Z655" s="39"/>
      <c r="AA655" s="39"/>
      <c r="AB655" s="39"/>
    </row>
    <row r="656">
      <c r="C656" s="39"/>
      <c r="J656" s="39"/>
      <c r="K656" s="39"/>
      <c r="O656" s="39"/>
      <c r="Q656" s="39"/>
      <c r="R656" s="39"/>
      <c r="S656" s="39"/>
      <c r="U656" s="39"/>
      <c r="V656" s="39"/>
      <c r="W656" s="39"/>
      <c r="X656" s="39"/>
      <c r="Y656" s="39"/>
      <c r="Z656" s="39"/>
      <c r="AA656" s="39"/>
      <c r="AB656" s="39"/>
    </row>
    <row r="657">
      <c r="C657" s="39"/>
      <c r="J657" s="39"/>
      <c r="K657" s="39"/>
      <c r="O657" s="39"/>
      <c r="Q657" s="39"/>
      <c r="R657" s="39"/>
      <c r="S657" s="39"/>
      <c r="U657" s="39"/>
      <c r="V657" s="39"/>
      <c r="W657" s="39"/>
      <c r="X657" s="39"/>
      <c r="Y657" s="39"/>
      <c r="Z657" s="39"/>
      <c r="AA657" s="39"/>
      <c r="AB657" s="39"/>
    </row>
    <row r="658">
      <c r="C658" s="39"/>
      <c r="J658" s="39"/>
      <c r="K658" s="39"/>
      <c r="O658" s="39"/>
      <c r="Q658" s="39"/>
      <c r="R658" s="39"/>
      <c r="S658" s="39"/>
      <c r="U658" s="39"/>
      <c r="V658" s="39"/>
      <c r="W658" s="39"/>
      <c r="X658" s="39"/>
      <c r="Y658" s="39"/>
      <c r="Z658" s="39"/>
      <c r="AA658" s="39"/>
      <c r="AB658" s="39"/>
    </row>
    <row r="659">
      <c r="C659" s="39"/>
      <c r="J659" s="39"/>
      <c r="K659" s="39"/>
      <c r="O659" s="39"/>
      <c r="Q659" s="39"/>
      <c r="R659" s="39"/>
      <c r="S659" s="39"/>
      <c r="U659" s="39"/>
      <c r="V659" s="39"/>
      <c r="W659" s="39"/>
      <c r="X659" s="39"/>
      <c r="Y659" s="39"/>
      <c r="Z659" s="39"/>
      <c r="AA659" s="39"/>
      <c r="AB659" s="39"/>
    </row>
    <row r="660">
      <c r="C660" s="39"/>
      <c r="J660" s="39"/>
      <c r="K660" s="39"/>
      <c r="O660" s="39"/>
      <c r="Q660" s="39"/>
      <c r="R660" s="39"/>
      <c r="S660" s="39"/>
      <c r="U660" s="39"/>
      <c r="V660" s="39"/>
      <c r="W660" s="39"/>
      <c r="X660" s="39"/>
      <c r="Y660" s="39"/>
      <c r="Z660" s="39"/>
      <c r="AA660" s="39"/>
      <c r="AB660" s="39"/>
    </row>
    <row r="661">
      <c r="C661" s="39"/>
      <c r="J661" s="39"/>
      <c r="K661" s="39"/>
      <c r="O661" s="39"/>
      <c r="Q661" s="39"/>
      <c r="R661" s="39"/>
      <c r="S661" s="39"/>
      <c r="U661" s="39"/>
      <c r="V661" s="39"/>
      <c r="W661" s="39"/>
      <c r="X661" s="39"/>
      <c r="Y661" s="39"/>
      <c r="Z661" s="39"/>
      <c r="AA661" s="39"/>
      <c r="AB661" s="39"/>
    </row>
    <row r="662">
      <c r="C662" s="39"/>
      <c r="J662" s="39"/>
      <c r="K662" s="39"/>
      <c r="O662" s="39"/>
      <c r="Q662" s="39"/>
      <c r="R662" s="39"/>
      <c r="S662" s="39"/>
      <c r="U662" s="39"/>
      <c r="V662" s="39"/>
      <c r="W662" s="39"/>
      <c r="X662" s="39"/>
      <c r="Y662" s="39"/>
      <c r="Z662" s="39"/>
      <c r="AA662" s="39"/>
      <c r="AB662" s="39"/>
    </row>
    <row r="663">
      <c r="C663" s="39"/>
      <c r="J663" s="39"/>
      <c r="K663" s="39"/>
      <c r="O663" s="39"/>
      <c r="Q663" s="39"/>
      <c r="R663" s="39"/>
      <c r="S663" s="39"/>
      <c r="U663" s="39"/>
      <c r="V663" s="39"/>
      <c r="W663" s="39"/>
      <c r="X663" s="39"/>
      <c r="Y663" s="39"/>
      <c r="Z663" s="39"/>
      <c r="AA663" s="39"/>
      <c r="AB663" s="39"/>
    </row>
    <row r="664">
      <c r="C664" s="39"/>
      <c r="J664" s="39"/>
      <c r="K664" s="39"/>
      <c r="O664" s="39"/>
      <c r="Q664" s="39"/>
      <c r="R664" s="39"/>
      <c r="S664" s="39"/>
      <c r="U664" s="39"/>
      <c r="V664" s="39"/>
      <c r="W664" s="39"/>
      <c r="X664" s="39"/>
      <c r="Y664" s="39"/>
      <c r="Z664" s="39"/>
      <c r="AA664" s="39"/>
      <c r="AB664" s="39"/>
    </row>
    <row r="665">
      <c r="C665" s="39"/>
      <c r="J665" s="39"/>
      <c r="K665" s="39"/>
      <c r="O665" s="39"/>
      <c r="Q665" s="39"/>
      <c r="R665" s="39"/>
      <c r="S665" s="39"/>
      <c r="U665" s="39"/>
      <c r="V665" s="39"/>
      <c r="W665" s="39"/>
      <c r="X665" s="39"/>
      <c r="Y665" s="39"/>
      <c r="Z665" s="39"/>
      <c r="AA665" s="39"/>
      <c r="AB665" s="39"/>
    </row>
    <row r="666">
      <c r="C666" s="39"/>
      <c r="J666" s="39"/>
      <c r="K666" s="39"/>
      <c r="O666" s="39"/>
      <c r="Q666" s="39"/>
      <c r="R666" s="39"/>
      <c r="S666" s="39"/>
      <c r="U666" s="39"/>
      <c r="V666" s="39"/>
      <c r="W666" s="39"/>
      <c r="X666" s="39"/>
      <c r="Y666" s="39"/>
      <c r="Z666" s="39"/>
      <c r="AA666" s="39"/>
      <c r="AB666" s="39"/>
    </row>
    <row r="667">
      <c r="C667" s="39"/>
      <c r="J667" s="39"/>
      <c r="K667" s="39"/>
      <c r="O667" s="39"/>
      <c r="Q667" s="39"/>
      <c r="R667" s="39"/>
      <c r="S667" s="39"/>
      <c r="U667" s="39"/>
      <c r="V667" s="39"/>
      <c r="W667" s="39"/>
      <c r="X667" s="39"/>
      <c r="Y667" s="39"/>
      <c r="Z667" s="39"/>
      <c r="AA667" s="39"/>
      <c r="AB667" s="39"/>
    </row>
    <row r="668">
      <c r="C668" s="39"/>
      <c r="J668" s="39"/>
      <c r="K668" s="39"/>
      <c r="O668" s="39"/>
      <c r="Q668" s="39"/>
      <c r="R668" s="39"/>
      <c r="S668" s="39"/>
      <c r="U668" s="39"/>
      <c r="V668" s="39"/>
      <c r="W668" s="39"/>
      <c r="X668" s="39"/>
      <c r="Y668" s="39"/>
      <c r="Z668" s="39"/>
      <c r="AA668" s="39"/>
      <c r="AB668" s="39"/>
    </row>
    <row r="669">
      <c r="C669" s="39"/>
      <c r="J669" s="39"/>
      <c r="K669" s="39"/>
      <c r="O669" s="39"/>
      <c r="Q669" s="39"/>
      <c r="R669" s="39"/>
      <c r="S669" s="39"/>
      <c r="U669" s="39"/>
      <c r="V669" s="39"/>
      <c r="W669" s="39"/>
      <c r="X669" s="39"/>
      <c r="Y669" s="39"/>
      <c r="Z669" s="39"/>
      <c r="AA669" s="39"/>
      <c r="AB669" s="39"/>
    </row>
    <row r="670">
      <c r="C670" s="39"/>
      <c r="J670" s="39"/>
      <c r="K670" s="39"/>
      <c r="O670" s="39"/>
      <c r="Q670" s="39"/>
      <c r="R670" s="39"/>
      <c r="S670" s="39"/>
      <c r="U670" s="39"/>
      <c r="V670" s="39"/>
      <c r="W670" s="39"/>
      <c r="X670" s="39"/>
      <c r="Y670" s="39"/>
      <c r="Z670" s="39"/>
      <c r="AA670" s="39"/>
      <c r="AB670" s="39"/>
    </row>
    <row r="671">
      <c r="C671" s="39"/>
      <c r="J671" s="39"/>
      <c r="K671" s="39"/>
      <c r="O671" s="39"/>
      <c r="Q671" s="39"/>
      <c r="R671" s="39"/>
      <c r="S671" s="39"/>
      <c r="U671" s="39"/>
      <c r="V671" s="39"/>
      <c r="W671" s="39"/>
      <c r="X671" s="39"/>
      <c r="Y671" s="39"/>
      <c r="Z671" s="39"/>
      <c r="AA671" s="39"/>
      <c r="AB671" s="39"/>
    </row>
    <row r="672">
      <c r="C672" s="39"/>
      <c r="J672" s="39"/>
      <c r="K672" s="39"/>
      <c r="O672" s="39"/>
      <c r="Q672" s="39"/>
      <c r="R672" s="39"/>
      <c r="S672" s="39"/>
      <c r="U672" s="39"/>
      <c r="V672" s="39"/>
      <c r="W672" s="39"/>
      <c r="X672" s="39"/>
      <c r="Y672" s="39"/>
      <c r="Z672" s="39"/>
      <c r="AA672" s="39"/>
      <c r="AB672" s="39"/>
    </row>
    <row r="673">
      <c r="C673" s="39"/>
      <c r="J673" s="39"/>
      <c r="K673" s="39"/>
      <c r="O673" s="39"/>
      <c r="Q673" s="39"/>
      <c r="R673" s="39"/>
      <c r="S673" s="39"/>
      <c r="U673" s="39"/>
      <c r="V673" s="39"/>
      <c r="W673" s="39"/>
      <c r="X673" s="39"/>
      <c r="Y673" s="39"/>
      <c r="Z673" s="39"/>
      <c r="AA673" s="39"/>
      <c r="AB673" s="39"/>
    </row>
    <row r="674">
      <c r="C674" s="39"/>
      <c r="J674" s="39"/>
      <c r="K674" s="39"/>
      <c r="O674" s="39"/>
      <c r="Q674" s="39"/>
      <c r="R674" s="39"/>
      <c r="S674" s="39"/>
      <c r="U674" s="39"/>
      <c r="V674" s="39"/>
      <c r="W674" s="39"/>
      <c r="X674" s="39"/>
      <c r="Y674" s="39"/>
      <c r="Z674" s="39"/>
      <c r="AA674" s="39"/>
      <c r="AB674" s="39"/>
    </row>
    <row r="675">
      <c r="C675" s="39"/>
      <c r="J675" s="39"/>
      <c r="K675" s="39"/>
      <c r="O675" s="39"/>
      <c r="Q675" s="39"/>
      <c r="R675" s="39"/>
      <c r="S675" s="39"/>
      <c r="U675" s="39"/>
      <c r="V675" s="39"/>
      <c r="W675" s="39"/>
      <c r="X675" s="39"/>
      <c r="Y675" s="39"/>
      <c r="Z675" s="39"/>
      <c r="AA675" s="39"/>
      <c r="AB675" s="39"/>
    </row>
    <row r="676">
      <c r="C676" s="39"/>
      <c r="J676" s="39"/>
      <c r="K676" s="39"/>
      <c r="O676" s="39"/>
      <c r="Q676" s="39"/>
      <c r="R676" s="39"/>
      <c r="S676" s="39"/>
      <c r="U676" s="39"/>
      <c r="V676" s="39"/>
      <c r="W676" s="39"/>
      <c r="X676" s="39"/>
      <c r="Y676" s="39"/>
      <c r="Z676" s="39"/>
      <c r="AA676" s="39"/>
      <c r="AB676" s="39"/>
    </row>
    <row r="677">
      <c r="C677" s="39"/>
      <c r="J677" s="39"/>
      <c r="K677" s="39"/>
      <c r="O677" s="39"/>
      <c r="Q677" s="39"/>
      <c r="R677" s="39"/>
      <c r="S677" s="39"/>
      <c r="U677" s="39"/>
      <c r="V677" s="39"/>
      <c r="W677" s="39"/>
      <c r="X677" s="39"/>
      <c r="Y677" s="39"/>
      <c r="Z677" s="39"/>
      <c r="AA677" s="39"/>
      <c r="AB677" s="39"/>
    </row>
    <row r="678">
      <c r="C678" s="39"/>
      <c r="J678" s="39"/>
      <c r="K678" s="39"/>
      <c r="O678" s="39"/>
      <c r="Q678" s="39"/>
      <c r="R678" s="39"/>
      <c r="S678" s="39"/>
      <c r="U678" s="39"/>
      <c r="V678" s="39"/>
      <c r="W678" s="39"/>
      <c r="X678" s="39"/>
      <c r="Y678" s="39"/>
      <c r="Z678" s="39"/>
      <c r="AA678" s="39"/>
      <c r="AB678" s="39"/>
    </row>
    <row r="679">
      <c r="C679" s="39"/>
      <c r="J679" s="39"/>
      <c r="K679" s="39"/>
      <c r="O679" s="39"/>
      <c r="Q679" s="39"/>
      <c r="R679" s="39"/>
      <c r="S679" s="39"/>
      <c r="U679" s="39"/>
      <c r="V679" s="39"/>
      <c r="W679" s="39"/>
      <c r="X679" s="39"/>
      <c r="Y679" s="39"/>
      <c r="Z679" s="39"/>
      <c r="AA679" s="39"/>
      <c r="AB679" s="39"/>
    </row>
    <row r="680">
      <c r="C680" s="39"/>
      <c r="J680" s="39"/>
      <c r="K680" s="39"/>
      <c r="O680" s="39"/>
      <c r="Q680" s="39"/>
      <c r="R680" s="39"/>
      <c r="S680" s="39"/>
      <c r="U680" s="39"/>
      <c r="V680" s="39"/>
      <c r="W680" s="39"/>
      <c r="X680" s="39"/>
      <c r="Y680" s="39"/>
      <c r="Z680" s="39"/>
      <c r="AA680" s="39"/>
      <c r="AB680" s="39"/>
    </row>
    <row r="681">
      <c r="C681" s="39"/>
      <c r="J681" s="39"/>
      <c r="K681" s="39"/>
      <c r="O681" s="39"/>
      <c r="Q681" s="39"/>
      <c r="R681" s="39"/>
      <c r="S681" s="39"/>
      <c r="U681" s="39"/>
      <c r="V681" s="39"/>
      <c r="W681" s="39"/>
      <c r="X681" s="39"/>
      <c r="Y681" s="39"/>
      <c r="Z681" s="39"/>
      <c r="AA681" s="39"/>
      <c r="AB681" s="39"/>
    </row>
    <row r="682">
      <c r="C682" s="39"/>
      <c r="J682" s="39"/>
      <c r="K682" s="39"/>
      <c r="O682" s="39"/>
      <c r="Q682" s="39"/>
      <c r="R682" s="39"/>
      <c r="S682" s="39"/>
      <c r="U682" s="39"/>
      <c r="V682" s="39"/>
      <c r="W682" s="39"/>
      <c r="X682" s="39"/>
      <c r="Y682" s="39"/>
      <c r="Z682" s="39"/>
      <c r="AA682" s="39"/>
      <c r="AB682" s="39"/>
    </row>
    <row r="683">
      <c r="C683" s="39"/>
      <c r="J683" s="39"/>
      <c r="K683" s="39"/>
      <c r="O683" s="39"/>
      <c r="Q683" s="39"/>
      <c r="R683" s="39"/>
      <c r="S683" s="39"/>
      <c r="U683" s="39"/>
      <c r="V683" s="39"/>
      <c r="W683" s="39"/>
      <c r="X683" s="39"/>
      <c r="Y683" s="39"/>
      <c r="Z683" s="39"/>
      <c r="AA683" s="39"/>
      <c r="AB683" s="39"/>
    </row>
    <row r="684">
      <c r="C684" s="39"/>
      <c r="J684" s="39"/>
      <c r="K684" s="39"/>
      <c r="O684" s="39"/>
      <c r="Q684" s="39"/>
      <c r="R684" s="39"/>
      <c r="S684" s="39"/>
      <c r="U684" s="39"/>
      <c r="V684" s="39"/>
      <c r="W684" s="39"/>
      <c r="X684" s="39"/>
      <c r="Y684" s="39"/>
      <c r="Z684" s="39"/>
      <c r="AA684" s="39"/>
      <c r="AB684" s="39"/>
    </row>
    <row r="685">
      <c r="C685" s="39"/>
      <c r="J685" s="39"/>
      <c r="K685" s="39"/>
      <c r="O685" s="39"/>
      <c r="Q685" s="39"/>
      <c r="R685" s="39"/>
      <c r="S685" s="39"/>
      <c r="U685" s="39"/>
      <c r="V685" s="39"/>
      <c r="W685" s="39"/>
      <c r="X685" s="39"/>
      <c r="Y685" s="39"/>
      <c r="Z685" s="39"/>
      <c r="AA685" s="39"/>
      <c r="AB685" s="39"/>
    </row>
    <row r="686">
      <c r="C686" s="39"/>
      <c r="J686" s="39"/>
      <c r="K686" s="39"/>
      <c r="O686" s="39"/>
      <c r="Q686" s="39"/>
      <c r="R686" s="39"/>
      <c r="S686" s="39"/>
      <c r="U686" s="39"/>
      <c r="V686" s="39"/>
      <c r="W686" s="39"/>
      <c r="X686" s="39"/>
      <c r="Y686" s="39"/>
      <c r="Z686" s="39"/>
      <c r="AA686" s="39"/>
      <c r="AB686" s="39"/>
    </row>
    <row r="687">
      <c r="C687" s="39"/>
      <c r="J687" s="39"/>
      <c r="K687" s="39"/>
      <c r="O687" s="39"/>
      <c r="Q687" s="39"/>
      <c r="R687" s="39"/>
      <c r="S687" s="39"/>
      <c r="U687" s="39"/>
      <c r="V687" s="39"/>
      <c r="W687" s="39"/>
      <c r="X687" s="39"/>
      <c r="Y687" s="39"/>
      <c r="Z687" s="39"/>
      <c r="AA687" s="39"/>
      <c r="AB687" s="39"/>
    </row>
    <row r="688">
      <c r="C688" s="39"/>
      <c r="J688" s="39"/>
      <c r="K688" s="39"/>
      <c r="O688" s="39"/>
      <c r="Q688" s="39"/>
      <c r="R688" s="39"/>
      <c r="S688" s="39"/>
      <c r="U688" s="39"/>
      <c r="V688" s="39"/>
      <c r="W688" s="39"/>
      <c r="X688" s="39"/>
      <c r="Y688" s="39"/>
      <c r="Z688" s="39"/>
      <c r="AA688" s="39"/>
      <c r="AB688" s="39"/>
    </row>
    <row r="689">
      <c r="C689" s="39"/>
      <c r="J689" s="39"/>
      <c r="K689" s="39"/>
      <c r="O689" s="39"/>
      <c r="Q689" s="39"/>
      <c r="R689" s="39"/>
      <c r="S689" s="39"/>
      <c r="U689" s="39"/>
      <c r="V689" s="39"/>
      <c r="W689" s="39"/>
      <c r="X689" s="39"/>
      <c r="Y689" s="39"/>
      <c r="Z689" s="39"/>
      <c r="AA689" s="39"/>
      <c r="AB689" s="39"/>
    </row>
    <row r="690">
      <c r="C690" s="39"/>
      <c r="J690" s="39"/>
      <c r="K690" s="39"/>
      <c r="O690" s="39"/>
      <c r="Q690" s="39"/>
      <c r="R690" s="39"/>
      <c r="S690" s="39"/>
      <c r="U690" s="39"/>
      <c r="V690" s="39"/>
      <c r="W690" s="39"/>
      <c r="X690" s="39"/>
      <c r="Y690" s="39"/>
      <c r="Z690" s="39"/>
      <c r="AA690" s="39"/>
      <c r="AB690" s="39"/>
    </row>
    <row r="691">
      <c r="C691" s="39"/>
      <c r="J691" s="39"/>
      <c r="K691" s="39"/>
      <c r="O691" s="39"/>
      <c r="Q691" s="39"/>
      <c r="R691" s="39"/>
      <c r="S691" s="39"/>
      <c r="U691" s="39"/>
      <c r="V691" s="39"/>
      <c r="W691" s="39"/>
      <c r="X691" s="39"/>
      <c r="Y691" s="39"/>
      <c r="Z691" s="39"/>
      <c r="AA691" s="39"/>
      <c r="AB691" s="39"/>
    </row>
    <row r="692">
      <c r="C692" s="39"/>
      <c r="J692" s="39"/>
      <c r="K692" s="39"/>
      <c r="O692" s="39"/>
      <c r="Q692" s="39"/>
      <c r="R692" s="39"/>
      <c r="S692" s="39"/>
      <c r="U692" s="39"/>
      <c r="V692" s="39"/>
      <c r="W692" s="39"/>
      <c r="X692" s="39"/>
      <c r="Y692" s="39"/>
      <c r="Z692" s="39"/>
      <c r="AA692" s="39"/>
      <c r="AB692" s="39"/>
    </row>
    <row r="693">
      <c r="C693" s="39"/>
      <c r="J693" s="39"/>
      <c r="K693" s="39"/>
      <c r="O693" s="39"/>
      <c r="Q693" s="39"/>
      <c r="R693" s="39"/>
      <c r="S693" s="39"/>
      <c r="U693" s="39"/>
      <c r="V693" s="39"/>
      <c r="W693" s="39"/>
      <c r="X693" s="39"/>
      <c r="Y693" s="39"/>
      <c r="Z693" s="39"/>
      <c r="AA693" s="39"/>
      <c r="AB693" s="39"/>
    </row>
    <row r="694">
      <c r="C694" s="39"/>
      <c r="J694" s="39"/>
      <c r="K694" s="39"/>
      <c r="O694" s="39"/>
      <c r="Q694" s="39"/>
      <c r="R694" s="39"/>
      <c r="S694" s="39"/>
      <c r="U694" s="39"/>
      <c r="V694" s="39"/>
      <c r="W694" s="39"/>
      <c r="X694" s="39"/>
      <c r="Y694" s="39"/>
      <c r="Z694" s="39"/>
      <c r="AA694" s="39"/>
      <c r="AB694" s="39"/>
    </row>
    <row r="695">
      <c r="C695" s="39"/>
      <c r="J695" s="39"/>
      <c r="K695" s="39"/>
      <c r="O695" s="39"/>
      <c r="Q695" s="39"/>
      <c r="R695" s="39"/>
      <c r="S695" s="39"/>
      <c r="U695" s="39"/>
      <c r="V695" s="39"/>
      <c r="W695" s="39"/>
      <c r="X695" s="39"/>
      <c r="Y695" s="39"/>
      <c r="Z695" s="39"/>
      <c r="AA695" s="39"/>
      <c r="AB695" s="39"/>
    </row>
    <row r="696">
      <c r="C696" s="39"/>
      <c r="J696" s="39"/>
      <c r="K696" s="39"/>
      <c r="O696" s="39"/>
      <c r="Q696" s="39"/>
      <c r="R696" s="39"/>
      <c r="S696" s="39"/>
      <c r="U696" s="39"/>
      <c r="V696" s="39"/>
      <c r="W696" s="39"/>
      <c r="X696" s="39"/>
      <c r="Y696" s="39"/>
      <c r="Z696" s="39"/>
      <c r="AA696" s="39"/>
      <c r="AB696" s="39"/>
    </row>
    <row r="697">
      <c r="C697" s="39"/>
      <c r="J697" s="39"/>
      <c r="K697" s="39"/>
      <c r="O697" s="39"/>
      <c r="Q697" s="39"/>
      <c r="R697" s="39"/>
      <c r="S697" s="39"/>
      <c r="U697" s="39"/>
      <c r="V697" s="39"/>
      <c r="W697" s="39"/>
      <c r="X697" s="39"/>
      <c r="Y697" s="39"/>
      <c r="Z697" s="39"/>
      <c r="AA697" s="39"/>
      <c r="AB697" s="39"/>
    </row>
    <row r="698">
      <c r="C698" s="39"/>
      <c r="J698" s="39"/>
      <c r="K698" s="39"/>
      <c r="O698" s="39"/>
      <c r="Q698" s="39"/>
      <c r="R698" s="39"/>
      <c r="S698" s="39"/>
      <c r="U698" s="39"/>
      <c r="V698" s="39"/>
      <c r="W698" s="39"/>
      <c r="X698" s="39"/>
      <c r="Y698" s="39"/>
      <c r="Z698" s="39"/>
      <c r="AA698" s="39"/>
      <c r="AB698" s="39"/>
    </row>
    <row r="699">
      <c r="C699" s="39"/>
      <c r="J699" s="39"/>
      <c r="K699" s="39"/>
      <c r="O699" s="39"/>
      <c r="Q699" s="39"/>
      <c r="R699" s="39"/>
      <c r="S699" s="39"/>
      <c r="U699" s="39"/>
      <c r="V699" s="39"/>
      <c r="W699" s="39"/>
      <c r="X699" s="39"/>
      <c r="Y699" s="39"/>
      <c r="Z699" s="39"/>
      <c r="AA699" s="39"/>
      <c r="AB699" s="39"/>
    </row>
    <row r="700">
      <c r="C700" s="39"/>
      <c r="J700" s="39"/>
      <c r="K700" s="39"/>
      <c r="O700" s="39"/>
      <c r="Q700" s="39"/>
      <c r="R700" s="39"/>
      <c r="S700" s="39"/>
      <c r="U700" s="39"/>
      <c r="V700" s="39"/>
      <c r="W700" s="39"/>
      <c r="X700" s="39"/>
      <c r="Y700" s="39"/>
      <c r="Z700" s="39"/>
      <c r="AA700" s="39"/>
      <c r="AB700" s="39"/>
    </row>
    <row r="701">
      <c r="C701" s="39"/>
      <c r="J701" s="39"/>
      <c r="K701" s="39"/>
      <c r="O701" s="39"/>
      <c r="Q701" s="39"/>
      <c r="R701" s="39"/>
      <c r="S701" s="39"/>
      <c r="U701" s="39"/>
      <c r="V701" s="39"/>
      <c r="W701" s="39"/>
      <c r="X701" s="39"/>
      <c r="Y701" s="39"/>
      <c r="Z701" s="39"/>
      <c r="AA701" s="39"/>
      <c r="AB701" s="39"/>
    </row>
    <row r="702">
      <c r="C702" s="39"/>
      <c r="J702" s="39"/>
      <c r="K702" s="39"/>
      <c r="O702" s="39"/>
      <c r="Q702" s="39"/>
      <c r="R702" s="39"/>
      <c r="S702" s="39"/>
      <c r="U702" s="39"/>
      <c r="V702" s="39"/>
      <c r="W702" s="39"/>
      <c r="X702" s="39"/>
      <c r="Y702" s="39"/>
      <c r="Z702" s="39"/>
      <c r="AA702" s="39"/>
      <c r="AB702" s="39"/>
    </row>
    <row r="703">
      <c r="C703" s="39"/>
      <c r="J703" s="39"/>
      <c r="K703" s="39"/>
      <c r="O703" s="39"/>
      <c r="Q703" s="39"/>
      <c r="R703" s="39"/>
      <c r="S703" s="39"/>
      <c r="U703" s="39"/>
      <c r="V703" s="39"/>
      <c r="W703" s="39"/>
      <c r="X703" s="39"/>
      <c r="Y703" s="39"/>
      <c r="Z703" s="39"/>
      <c r="AA703" s="39"/>
      <c r="AB703" s="39"/>
    </row>
    <row r="704">
      <c r="C704" s="39"/>
      <c r="J704" s="39"/>
      <c r="K704" s="39"/>
      <c r="O704" s="39"/>
      <c r="Q704" s="39"/>
      <c r="R704" s="39"/>
      <c r="S704" s="39"/>
      <c r="U704" s="39"/>
      <c r="V704" s="39"/>
      <c r="W704" s="39"/>
      <c r="X704" s="39"/>
      <c r="Y704" s="39"/>
      <c r="Z704" s="39"/>
      <c r="AA704" s="39"/>
      <c r="AB704" s="39"/>
    </row>
    <row r="705">
      <c r="C705" s="39"/>
      <c r="J705" s="39"/>
      <c r="K705" s="39"/>
      <c r="O705" s="39"/>
      <c r="Q705" s="39"/>
      <c r="R705" s="39"/>
      <c r="S705" s="39"/>
      <c r="U705" s="39"/>
      <c r="V705" s="39"/>
      <c r="W705" s="39"/>
      <c r="X705" s="39"/>
      <c r="Y705" s="39"/>
      <c r="Z705" s="39"/>
      <c r="AA705" s="39"/>
      <c r="AB705" s="39"/>
    </row>
    <row r="706">
      <c r="C706" s="39"/>
      <c r="J706" s="39"/>
      <c r="K706" s="39"/>
      <c r="O706" s="39"/>
      <c r="Q706" s="39"/>
      <c r="R706" s="39"/>
      <c r="S706" s="39"/>
      <c r="U706" s="39"/>
      <c r="V706" s="39"/>
      <c r="W706" s="39"/>
      <c r="X706" s="39"/>
      <c r="Y706" s="39"/>
      <c r="Z706" s="39"/>
      <c r="AA706" s="39"/>
      <c r="AB706" s="39"/>
    </row>
    <row r="707">
      <c r="C707" s="39"/>
      <c r="J707" s="39"/>
      <c r="K707" s="39"/>
      <c r="O707" s="39"/>
      <c r="Q707" s="39"/>
      <c r="R707" s="39"/>
      <c r="S707" s="39"/>
      <c r="U707" s="39"/>
      <c r="V707" s="39"/>
      <c r="W707" s="39"/>
      <c r="X707" s="39"/>
      <c r="Y707" s="39"/>
      <c r="Z707" s="39"/>
      <c r="AA707" s="39"/>
      <c r="AB707" s="39"/>
    </row>
    <row r="708">
      <c r="C708" s="39"/>
      <c r="J708" s="39"/>
      <c r="K708" s="39"/>
      <c r="O708" s="39"/>
      <c r="Q708" s="39"/>
      <c r="R708" s="39"/>
      <c r="S708" s="39"/>
      <c r="U708" s="39"/>
      <c r="V708" s="39"/>
      <c r="W708" s="39"/>
      <c r="X708" s="39"/>
      <c r="Y708" s="39"/>
      <c r="Z708" s="39"/>
      <c r="AA708" s="39"/>
      <c r="AB708" s="39"/>
    </row>
    <row r="709">
      <c r="C709" s="39"/>
      <c r="J709" s="39"/>
      <c r="K709" s="39"/>
      <c r="O709" s="39"/>
      <c r="Q709" s="39"/>
      <c r="R709" s="39"/>
      <c r="S709" s="39"/>
      <c r="U709" s="39"/>
      <c r="V709" s="39"/>
      <c r="W709" s="39"/>
      <c r="X709" s="39"/>
      <c r="Y709" s="39"/>
      <c r="Z709" s="39"/>
      <c r="AA709" s="39"/>
      <c r="AB709" s="39"/>
    </row>
    <row r="710">
      <c r="C710" s="39"/>
      <c r="J710" s="39"/>
      <c r="K710" s="39"/>
      <c r="O710" s="39"/>
      <c r="Q710" s="39"/>
      <c r="R710" s="39"/>
      <c r="S710" s="39"/>
      <c r="U710" s="39"/>
      <c r="V710" s="39"/>
      <c r="W710" s="39"/>
      <c r="X710" s="39"/>
      <c r="Y710" s="39"/>
      <c r="Z710" s="39"/>
      <c r="AA710" s="39"/>
      <c r="AB710" s="39"/>
    </row>
    <row r="711">
      <c r="C711" s="39"/>
      <c r="J711" s="39"/>
      <c r="K711" s="39"/>
      <c r="O711" s="39"/>
      <c r="Q711" s="39"/>
      <c r="R711" s="39"/>
      <c r="S711" s="39"/>
      <c r="U711" s="39"/>
      <c r="V711" s="39"/>
      <c r="W711" s="39"/>
      <c r="X711" s="39"/>
      <c r="Y711" s="39"/>
      <c r="Z711" s="39"/>
      <c r="AA711" s="39"/>
      <c r="AB711" s="39"/>
    </row>
    <row r="712">
      <c r="C712" s="39"/>
      <c r="J712" s="39"/>
      <c r="K712" s="39"/>
      <c r="O712" s="39"/>
      <c r="Q712" s="39"/>
      <c r="R712" s="39"/>
      <c r="S712" s="39"/>
      <c r="U712" s="39"/>
      <c r="V712" s="39"/>
      <c r="W712" s="39"/>
      <c r="X712" s="39"/>
      <c r="Y712" s="39"/>
      <c r="Z712" s="39"/>
      <c r="AA712" s="39"/>
      <c r="AB712" s="39"/>
    </row>
    <row r="713">
      <c r="C713" s="39"/>
      <c r="J713" s="39"/>
      <c r="K713" s="39"/>
      <c r="O713" s="39"/>
      <c r="Q713" s="39"/>
      <c r="R713" s="39"/>
      <c r="S713" s="39"/>
      <c r="U713" s="39"/>
      <c r="V713" s="39"/>
      <c r="W713" s="39"/>
      <c r="X713" s="39"/>
      <c r="Y713" s="39"/>
      <c r="Z713" s="39"/>
      <c r="AA713" s="39"/>
      <c r="AB713" s="39"/>
    </row>
    <row r="714">
      <c r="C714" s="39"/>
      <c r="J714" s="39"/>
      <c r="K714" s="39"/>
      <c r="O714" s="39"/>
      <c r="Q714" s="39"/>
      <c r="R714" s="39"/>
      <c r="S714" s="39"/>
      <c r="U714" s="39"/>
      <c r="V714" s="39"/>
      <c r="W714" s="39"/>
      <c r="X714" s="39"/>
      <c r="Y714" s="39"/>
      <c r="Z714" s="39"/>
      <c r="AA714" s="39"/>
      <c r="AB714" s="39"/>
    </row>
    <row r="715">
      <c r="C715" s="39"/>
      <c r="J715" s="39"/>
      <c r="K715" s="39"/>
      <c r="O715" s="39"/>
      <c r="Q715" s="39"/>
      <c r="R715" s="39"/>
      <c r="S715" s="39"/>
      <c r="U715" s="39"/>
      <c r="V715" s="39"/>
      <c r="W715" s="39"/>
      <c r="X715" s="39"/>
      <c r="Y715" s="39"/>
      <c r="Z715" s="39"/>
      <c r="AA715" s="39"/>
      <c r="AB715" s="39"/>
    </row>
    <row r="716">
      <c r="C716" s="39"/>
      <c r="J716" s="39"/>
      <c r="K716" s="39"/>
      <c r="O716" s="39"/>
      <c r="Q716" s="39"/>
      <c r="R716" s="39"/>
      <c r="S716" s="39"/>
      <c r="U716" s="39"/>
      <c r="V716" s="39"/>
      <c r="W716" s="39"/>
      <c r="X716" s="39"/>
      <c r="Y716" s="39"/>
      <c r="Z716" s="39"/>
      <c r="AA716" s="39"/>
      <c r="AB716" s="39"/>
    </row>
    <row r="717">
      <c r="C717" s="39"/>
      <c r="J717" s="39"/>
      <c r="K717" s="39"/>
      <c r="O717" s="39"/>
      <c r="Q717" s="39"/>
      <c r="R717" s="39"/>
      <c r="S717" s="39"/>
      <c r="U717" s="39"/>
      <c r="V717" s="39"/>
      <c r="W717" s="39"/>
      <c r="X717" s="39"/>
      <c r="Y717" s="39"/>
      <c r="Z717" s="39"/>
      <c r="AA717" s="39"/>
      <c r="AB717" s="39"/>
    </row>
    <row r="718">
      <c r="C718" s="39"/>
      <c r="J718" s="39"/>
      <c r="K718" s="39"/>
      <c r="O718" s="39"/>
      <c r="Q718" s="39"/>
      <c r="R718" s="39"/>
      <c r="S718" s="39"/>
      <c r="U718" s="39"/>
      <c r="V718" s="39"/>
      <c r="W718" s="39"/>
      <c r="X718" s="39"/>
      <c r="Y718" s="39"/>
      <c r="Z718" s="39"/>
      <c r="AA718" s="39"/>
      <c r="AB718" s="39"/>
    </row>
    <row r="719">
      <c r="C719" s="39"/>
      <c r="J719" s="39"/>
      <c r="K719" s="39"/>
      <c r="O719" s="39"/>
      <c r="Q719" s="39"/>
      <c r="R719" s="39"/>
      <c r="S719" s="39"/>
      <c r="U719" s="39"/>
      <c r="V719" s="39"/>
      <c r="W719" s="39"/>
      <c r="X719" s="39"/>
      <c r="Y719" s="39"/>
      <c r="Z719" s="39"/>
      <c r="AA719" s="39"/>
      <c r="AB719" s="39"/>
    </row>
    <row r="720">
      <c r="C720" s="39"/>
      <c r="J720" s="39"/>
      <c r="K720" s="39"/>
      <c r="O720" s="39"/>
      <c r="Q720" s="39"/>
      <c r="R720" s="39"/>
      <c r="S720" s="39"/>
      <c r="U720" s="39"/>
      <c r="V720" s="39"/>
      <c r="W720" s="39"/>
      <c r="X720" s="39"/>
      <c r="Y720" s="39"/>
      <c r="Z720" s="39"/>
      <c r="AA720" s="39"/>
      <c r="AB720" s="39"/>
    </row>
    <row r="721">
      <c r="C721" s="39"/>
      <c r="J721" s="39"/>
      <c r="K721" s="39"/>
      <c r="O721" s="39"/>
      <c r="Q721" s="39"/>
      <c r="R721" s="39"/>
      <c r="S721" s="39"/>
      <c r="U721" s="39"/>
      <c r="V721" s="39"/>
      <c r="W721" s="39"/>
      <c r="X721" s="39"/>
      <c r="Y721" s="39"/>
      <c r="Z721" s="39"/>
      <c r="AA721" s="39"/>
      <c r="AB721" s="39"/>
    </row>
    <row r="722">
      <c r="C722" s="39"/>
      <c r="J722" s="39"/>
      <c r="K722" s="39"/>
      <c r="O722" s="39"/>
      <c r="Q722" s="39"/>
      <c r="R722" s="39"/>
      <c r="S722" s="39"/>
      <c r="U722" s="39"/>
      <c r="V722" s="39"/>
      <c r="W722" s="39"/>
      <c r="X722" s="39"/>
      <c r="Y722" s="39"/>
      <c r="Z722" s="39"/>
      <c r="AA722" s="39"/>
      <c r="AB722" s="39"/>
    </row>
    <row r="723">
      <c r="C723" s="39"/>
      <c r="J723" s="39"/>
      <c r="K723" s="39"/>
      <c r="O723" s="39"/>
      <c r="Q723" s="39"/>
      <c r="R723" s="39"/>
      <c r="S723" s="39"/>
      <c r="U723" s="39"/>
      <c r="V723" s="39"/>
      <c r="W723" s="39"/>
      <c r="X723" s="39"/>
      <c r="Y723" s="39"/>
      <c r="Z723" s="39"/>
      <c r="AA723" s="39"/>
      <c r="AB723" s="39"/>
    </row>
    <row r="724">
      <c r="C724" s="39"/>
      <c r="J724" s="39"/>
      <c r="K724" s="39"/>
      <c r="O724" s="39"/>
      <c r="Q724" s="39"/>
      <c r="R724" s="39"/>
      <c r="S724" s="39"/>
      <c r="U724" s="39"/>
      <c r="V724" s="39"/>
      <c r="W724" s="39"/>
      <c r="X724" s="39"/>
      <c r="Y724" s="39"/>
      <c r="Z724" s="39"/>
      <c r="AA724" s="39"/>
      <c r="AB724" s="39"/>
    </row>
    <row r="725">
      <c r="C725" s="39"/>
      <c r="J725" s="39"/>
      <c r="K725" s="39"/>
      <c r="O725" s="39"/>
      <c r="Q725" s="39"/>
      <c r="R725" s="39"/>
      <c r="S725" s="39"/>
      <c r="U725" s="39"/>
      <c r="V725" s="39"/>
      <c r="W725" s="39"/>
      <c r="X725" s="39"/>
      <c r="Y725" s="39"/>
      <c r="Z725" s="39"/>
      <c r="AA725" s="39"/>
      <c r="AB725" s="39"/>
    </row>
    <row r="726">
      <c r="C726" s="39"/>
      <c r="J726" s="39"/>
      <c r="K726" s="39"/>
      <c r="O726" s="39"/>
      <c r="Q726" s="39"/>
      <c r="R726" s="39"/>
      <c r="S726" s="39"/>
      <c r="U726" s="39"/>
      <c r="V726" s="39"/>
      <c r="W726" s="39"/>
      <c r="X726" s="39"/>
      <c r="Y726" s="39"/>
      <c r="Z726" s="39"/>
      <c r="AA726" s="39"/>
      <c r="AB726" s="39"/>
    </row>
    <row r="727">
      <c r="C727" s="39"/>
      <c r="J727" s="39"/>
      <c r="K727" s="39"/>
      <c r="O727" s="39"/>
      <c r="Q727" s="39"/>
      <c r="R727" s="39"/>
      <c r="S727" s="39"/>
      <c r="U727" s="39"/>
      <c r="V727" s="39"/>
      <c r="W727" s="39"/>
      <c r="X727" s="39"/>
      <c r="Y727" s="39"/>
      <c r="Z727" s="39"/>
      <c r="AA727" s="39"/>
      <c r="AB727" s="39"/>
    </row>
    <row r="728">
      <c r="C728" s="39"/>
      <c r="J728" s="39"/>
      <c r="K728" s="39"/>
      <c r="O728" s="39"/>
      <c r="Q728" s="39"/>
      <c r="R728" s="39"/>
      <c r="S728" s="39"/>
      <c r="U728" s="39"/>
      <c r="V728" s="39"/>
      <c r="W728" s="39"/>
      <c r="X728" s="39"/>
      <c r="Y728" s="39"/>
      <c r="Z728" s="39"/>
      <c r="AA728" s="39"/>
      <c r="AB728" s="39"/>
    </row>
    <row r="729">
      <c r="C729" s="39"/>
      <c r="J729" s="39"/>
      <c r="K729" s="39"/>
      <c r="O729" s="39"/>
      <c r="Q729" s="39"/>
      <c r="R729" s="39"/>
      <c r="S729" s="39"/>
      <c r="U729" s="39"/>
      <c r="V729" s="39"/>
      <c r="W729" s="39"/>
      <c r="X729" s="39"/>
      <c r="Y729" s="39"/>
      <c r="Z729" s="39"/>
      <c r="AA729" s="39"/>
      <c r="AB729" s="39"/>
    </row>
    <row r="730">
      <c r="C730" s="39"/>
      <c r="J730" s="39"/>
      <c r="K730" s="39"/>
      <c r="O730" s="39"/>
      <c r="Q730" s="39"/>
      <c r="R730" s="39"/>
      <c r="S730" s="39"/>
      <c r="U730" s="39"/>
      <c r="V730" s="39"/>
      <c r="W730" s="39"/>
      <c r="X730" s="39"/>
      <c r="Y730" s="39"/>
      <c r="Z730" s="39"/>
      <c r="AA730" s="39"/>
      <c r="AB730" s="39"/>
    </row>
    <row r="731">
      <c r="C731" s="39"/>
      <c r="J731" s="39"/>
      <c r="K731" s="39"/>
      <c r="O731" s="39"/>
      <c r="Q731" s="39"/>
      <c r="R731" s="39"/>
      <c r="S731" s="39"/>
      <c r="U731" s="39"/>
      <c r="V731" s="39"/>
      <c r="W731" s="39"/>
      <c r="X731" s="39"/>
      <c r="Y731" s="39"/>
      <c r="Z731" s="39"/>
      <c r="AA731" s="39"/>
      <c r="AB731" s="39"/>
    </row>
    <row r="732">
      <c r="C732" s="39"/>
      <c r="J732" s="39"/>
      <c r="K732" s="39"/>
      <c r="O732" s="39"/>
      <c r="Q732" s="39"/>
      <c r="R732" s="39"/>
      <c r="S732" s="39"/>
      <c r="U732" s="39"/>
      <c r="V732" s="39"/>
      <c r="W732" s="39"/>
      <c r="X732" s="39"/>
      <c r="Y732" s="39"/>
      <c r="Z732" s="39"/>
      <c r="AA732" s="39"/>
      <c r="AB732" s="39"/>
    </row>
    <row r="733">
      <c r="C733" s="39"/>
      <c r="J733" s="39"/>
      <c r="K733" s="39"/>
      <c r="O733" s="39"/>
      <c r="Q733" s="39"/>
      <c r="R733" s="39"/>
      <c r="S733" s="39"/>
      <c r="U733" s="39"/>
      <c r="V733" s="39"/>
      <c r="W733" s="39"/>
      <c r="X733" s="39"/>
      <c r="Y733" s="39"/>
      <c r="Z733" s="39"/>
      <c r="AA733" s="39"/>
      <c r="AB733" s="39"/>
    </row>
    <row r="734">
      <c r="C734" s="39"/>
      <c r="J734" s="39"/>
      <c r="K734" s="39"/>
      <c r="O734" s="39"/>
      <c r="Q734" s="39"/>
      <c r="R734" s="39"/>
      <c r="S734" s="39"/>
      <c r="U734" s="39"/>
      <c r="V734" s="39"/>
      <c r="W734" s="39"/>
      <c r="X734" s="39"/>
      <c r="Y734" s="39"/>
      <c r="Z734" s="39"/>
      <c r="AA734" s="39"/>
      <c r="AB734" s="39"/>
    </row>
    <row r="735">
      <c r="C735" s="39"/>
      <c r="J735" s="39"/>
      <c r="K735" s="39"/>
      <c r="O735" s="39"/>
      <c r="Q735" s="39"/>
      <c r="R735" s="39"/>
      <c r="S735" s="39"/>
      <c r="U735" s="39"/>
      <c r="V735" s="39"/>
      <c r="W735" s="39"/>
      <c r="X735" s="39"/>
      <c r="Y735" s="39"/>
      <c r="Z735" s="39"/>
      <c r="AA735" s="39"/>
      <c r="AB735" s="39"/>
    </row>
    <row r="736">
      <c r="C736" s="39"/>
      <c r="J736" s="39"/>
      <c r="K736" s="39"/>
      <c r="O736" s="39"/>
      <c r="Q736" s="39"/>
      <c r="R736" s="39"/>
      <c r="S736" s="39"/>
      <c r="U736" s="39"/>
      <c r="V736" s="39"/>
      <c r="W736" s="39"/>
      <c r="X736" s="39"/>
      <c r="Y736" s="39"/>
      <c r="Z736" s="39"/>
      <c r="AA736" s="39"/>
      <c r="AB736" s="39"/>
    </row>
    <row r="737">
      <c r="C737" s="39"/>
      <c r="J737" s="39"/>
      <c r="K737" s="39"/>
      <c r="O737" s="39"/>
      <c r="Q737" s="39"/>
      <c r="R737" s="39"/>
      <c r="S737" s="39"/>
      <c r="U737" s="39"/>
      <c r="V737" s="39"/>
      <c r="W737" s="39"/>
      <c r="X737" s="39"/>
      <c r="Y737" s="39"/>
      <c r="Z737" s="39"/>
      <c r="AA737" s="39"/>
      <c r="AB737" s="39"/>
    </row>
    <row r="738">
      <c r="C738" s="39"/>
      <c r="J738" s="39"/>
      <c r="K738" s="39"/>
      <c r="O738" s="39"/>
      <c r="Q738" s="39"/>
      <c r="R738" s="39"/>
      <c r="S738" s="39"/>
      <c r="U738" s="39"/>
      <c r="V738" s="39"/>
      <c r="W738" s="39"/>
      <c r="X738" s="39"/>
      <c r="Y738" s="39"/>
      <c r="Z738" s="39"/>
      <c r="AA738" s="39"/>
      <c r="AB738" s="39"/>
    </row>
    <row r="739">
      <c r="C739" s="39"/>
      <c r="J739" s="39"/>
      <c r="K739" s="39"/>
      <c r="O739" s="39"/>
      <c r="Q739" s="39"/>
      <c r="R739" s="39"/>
      <c r="S739" s="39"/>
      <c r="U739" s="39"/>
      <c r="V739" s="39"/>
      <c r="W739" s="39"/>
      <c r="X739" s="39"/>
      <c r="Y739" s="39"/>
      <c r="Z739" s="39"/>
      <c r="AA739" s="39"/>
      <c r="AB739" s="39"/>
    </row>
    <row r="740">
      <c r="C740" s="39"/>
      <c r="J740" s="39"/>
      <c r="K740" s="39"/>
      <c r="O740" s="39"/>
      <c r="Q740" s="39"/>
      <c r="R740" s="39"/>
      <c r="S740" s="39"/>
      <c r="U740" s="39"/>
      <c r="V740" s="39"/>
      <c r="W740" s="39"/>
      <c r="X740" s="39"/>
      <c r="Y740" s="39"/>
      <c r="Z740" s="39"/>
      <c r="AA740" s="39"/>
      <c r="AB740" s="39"/>
    </row>
    <row r="741">
      <c r="C741" s="39"/>
      <c r="J741" s="39"/>
      <c r="K741" s="39"/>
      <c r="O741" s="39"/>
      <c r="Q741" s="39"/>
      <c r="R741" s="39"/>
      <c r="S741" s="39"/>
      <c r="U741" s="39"/>
      <c r="V741" s="39"/>
      <c r="W741" s="39"/>
      <c r="X741" s="39"/>
      <c r="Y741" s="39"/>
      <c r="Z741" s="39"/>
      <c r="AA741" s="39"/>
      <c r="AB741" s="39"/>
    </row>
    <row r="742">
      <c r="C742" s="39"/>
      <c r="J742" s="39"/>
      <c r="K742" s="39"/>
      <c r="O742" s="39"/>
      <c r="Q742" s="39"/>
      <c r="R742" s="39"/>
      <c r="S742" s="39"/>
      <c r="U742" s="39"/>
      <c r="V742" s="39"/>
      <c r="W742" s="39"/>
      <c r="X742" s="39"/>
      <c r="Y742" s="39"/>
      <c r="Z742" s="39"/>
      <c r="AA742" s="39"/>
      <c r="AB742" s="39"/>
    </row>
    <row r="743">
      <c r="C743" s="39"/>
      <c r="J743" s="39"/>
      <c r="K743" s="39"/>
      <c r="O743" s="39"/>
      <c r="Q743" s="39"/>
      <c r="R743" s="39"/>
      <c r="S743" s="39"/>
      <c r="U743" s="39"/>
      <c r="V743" s="39"/>
      <c r="W743" s="39"/>
      <c r="X743" s="39"/>
      <c r="Y743" s="39"/>
      <c r="Z743" s="39"/>
      <c r="AA743" s="39"/>
      <c r="AB743" s="39"/>
    </row>
    <row r="744">
      <c r="C744" s="39"/>
      <c r="J744" s="39"/>
      <c r="K744" s="39"/>
      <c r="O744" s="39"/>
      <c r="Q744" s="39"/>
      <c r="R744" s="39"/>
      <c r="S744" s="39"/>
      <c r="U744" s="39"/>
      <c r="V744" s="39"/>
      <c r="W744" s="39"/>
      <c r="X744" s="39"/>
      <c r="Y744" s="39"/>
      <c r="Z744" s="39"/>
      <c r="AA744" s="39"/>
      <c r="AB744" s="39"/>
    </row>
    <row r="745">
      <c r="C745" s="39"/>
      <c r="J745" s="39"/>
      <c r="K745" s="39"/>
      <c r="O745" s="39"/>
      <c r="Q745" s="39"/>
      <c r="R745" s="39"/>
      <c r="S745" s="39"/>
      <c r="U745" s="39"/>
      <c r="V745" s="39"/>
      <c r="W745" s="39"/>
      <c r="X745" s="39"/>
      <c r="Y745" s="39"/>
      <c r="Z745" s="39"/>
      <c r="AA745" s="39"/>
      <c r="AB745" s="39"/>
    </row>
    <row r="746">
      <c r="C746" s="39"/>
      <c r="J746" s="39"/>
      <c r="K746" s="39"/>
      <c r="O746" s="39"/>
      <c r="Q746" s="39"/>
      <c r="R746" s="39"/>
      <c r="S746" s="39"/>
      <c r="U746" s="39"/>
      <c r="V746" s="39"/>
      <c r="W746" s="39"/>
      <c r="X746" s="39"/>
      <c r="Y746" s="39"/>
      <c r="Z746" s="39"/>
      <c r="AA746" s="39"/>
      <c r="AB746" s="39"/>
    </row>
    <row r="747">
      <c r="C747" s="39"/>
      <c r="J747" s="39"/>
      <c r="K747" s="39"/>
      <c r="O747" s="39"/>
      <c r="Q747" s="39"/>
      <c r="R747" s="39"/>
      <c r="S747" s="39"/>
      <c r="U747" s="39"/>
      <c r="V747" s="39"/>
      <c r="W747" s="39"/>
      <c r="X747" s="39"/>
      <c r="Y747" s="39"/>
      <c r="Z747" s="39"/>
      <c r="AA747" s="39"/>
      <c r="AB747" s="39"/>
    </row>
    <row r="748">
      <c r="C748" s="39"/>
      <c r="J748" s="39"/>
      <c r="K748" s="39"/>
      <c r="O748" s="39"/>
      <c r="Q748" s="39"/>
      <c r="R748" s="39"/>
      <c r="S748" s="39"/>
      <c r="U748" s="39"/>
      <c r="V748" s="39"/>
      <c r="W748" s="39"/>
      <c r="X748" s="39"/>
      <c r="Y748" s="39"/>
      <c r="Z748" s="39"/>
      <c r="AA748" s="39"/>
      <c r="AB748" s="39"/>
    </row>
    <row r="749">
      <c r="C749" s="39"/>
      <c r="J749" s="39"/>
      <c r="K749" s="39"/>
      <c r="O749" s="39"/>
      <c r="Q749" s="39"/>
      <c r="R749" s="39"/>
      <c r="S749" s="39"/>
      <c r="U749" s="39"/>
      <c r="V749" s="39"/>
      <c r="W749" s="39"/>
      <c r="X749" s="39"/>
      <c r="Y749" s="39"/>
      <c r="Z749" s="39"/>
      <c r="AA749" s="39"/>
      <c r="AB749" s="39"/>
    </row>
    <row r="750">
      <c r="C750" s="39"/>
      <c r="J750" s="39"/>
      <c r="K750" s="39"/>
      <c r="O750" s="39"/>
      <c r="Q750" s="39"/>
      <c r="R750" s="39"/>
      <c r="S750" s="39"/>
      <c r="U750" s="39"/>
      <c r="V750" s="39"/>
      <c r="W750" s="39"/>
      <c r="X750" s="39"/>
      <c r="Y750" s="39"/>
      <c r="Z750" s="39"/>
      <c r="AA750" s="39"/>
      <c r="AB750" s="39"/>
    </row>
    <row r="751">
      <c r="C751" s="39"/>
      <c r="J751" s="39"/>
      <c r="K751" s="39"/>
      <c r="O751" s="39"/>
      <c r="Q751" s="39"/>
      <c r="R751" s="39"/>
      <c r="S751" s="39"/>
      <c r="U751" s="39"/>
      <c r="V751" s="39"/>
      <c r="W751" s="39"/>
      <c r="X751" s="39"/>
      <c r="Y751" s="39"/>
      <c r="Z751" s="39"/>
      <c r="AA751" s="39"/>
      <c r="AB751" s="39"/>
    </row>
    <row r="752">
      <c r="C752" s="39"/>
      <c r="J752" s="39"/>
      <c r="K752" s="39"/>
      <c r="O752" s="39"/>
      <c r="Q752" s="39"/>
      <c r="R752" s="39"/>
      <c r="S752" s="39"/>
      <c r="U752" s="39"/>
      <c r="V752" s="39"/>
      <c r="W752" s="39"/>
      <c r="X752" s="39"/>
      <c r="Y752" s="39"/>
      <c r="Z752" s="39"/>
      <c r="AA752" s="39"/>
      <c r="AB752" s="39"/>
    </row>
    <row r="753">
      <c r="C753" s="39"/>
      <c r="J753" s="39"/>
      <c r="K753" s="39"/>
      <c r="O753" s="39"/>
      <c r="Q753" s="39"/>
      <c r="R753" s="39"/>
      <c r="S753" s="39"/>
      <c r="U753" s="39"/>
      <c r="V753" s="39"/>
      <c r="W753" s="39"/>
      <c r="X753" s="39"/>
      <c r="Y753" s="39"/>
      <c r="Z753" s="39"/>
      <c r="AA753" s="39"/>
      <c r="AB753" s="39"/>
    </row>
    <row r="754">
      <c r="C754" s="39"/>
      <c r="J754" s="39"/>
      <c r="K754" s="39"/>
      <c r="O754" s="39"/>
      <c r="Q754" s="39"/>
      <c r="R754" s="39"/>
      <c r="S754" s="39"/>
      <c r="U754" s="39"/>
      <c r="V754" s="39"/>
      <c r="W754" s="39"/>
      <c r="X754" s="39"/>
      <c r="Y754" s="39"/>
      <c r="Z754" s="39"/>
      <c r="AA754" s="39"/>
      <c r="AB754" s="39"/>
    </row>
    <row r="755">
      <c r="C755" s="39"/>
      <c r="J755" s="39"/>
      <c r="K755" s="39"/>
      <c r="O755" s="39"/>
      <c r="Q755" s="39"/>
      <c r="R755" s="39"/>
      <c r="S755" s="39"/>
      <c r="U755" s="39"/>
      <c r="V755" s="39"/>
      <c r="W755" s="39"/>
      <c r="X755" s="39"/>
      <c r="Y755" s="39"/>
      <c r="Z755" s="39"/>
      <c r="AA755" s="39"/>
      <c r="AB755" s="39"/>
    </row>
    <row r="756">
      <c r="C756" s="39"/>
      <c r="J756" s="39"/>
      <c r="K756" s="39"/>
      <c r="O756" s="39"/>
      <c r="Q756" s="39"/>
      <c r="R756" s="39"/>
      <c r="S756" s="39"/>
      <c r="U756" s="39"/>
      <c r="V756" s="39"/>
      <c r="W756" s="39"/>
      <c r="X756" s="39"/>
      <c r="Y756" s="39"/>
      <c r="Z756" s="39"/>
      <c r="AA756" s="39"/>
      <c r="AB756" s="39"/>
    </row>
    <row r="757">
      <c r="C757" s="39"/>
      <c r="J757" s="39"/>
      <c r="K757" s="39"/>
      <c r="O757" s="39"/>
      <c r="Q757" s="39"/>
      <c r="R757" s="39"/>
      <c r="S757" s="39"/>
      <c r="U757" s="39"/>
      <c r="V757" s="39"/>
      <c r="W757" s="39"/>
      <c r="X757" s="39"/>
      <c r="Y757" s="39"/>
      <c r="Z757" s="39"/>
      <c r="AA757" s="39"/>
      <c r="AB757" s="39"/>
    </row>
    <row r="758">
      <c r="C758" s="39"/>
      <c r="J758" s="39"/>
      <c r="K758" s="39"/>
      <c r="O758" s="39"/>
      <c r="Q758" s="39"/>
      <c r="R758" s="39"/>
      <c r="S758" s="39"/>
      <c r="U758" s="39"/>
      <c r="V758" s="39"/>
      <c r="W758" s="39"/>
      <c r="X758" s="39"/>
      <c r="Y758" s="39"/>
      <c r="Z758" s="39"/>
      <c r="AA758" s="39"/>
      <c r="AB758" s="39"/>
    </row>
    <row r="759">
      <c r="C759" s="39"/>
      <c r="J759" s="39"/>
      <c r="K759" s="39"/>
      <c r="O759" s="39"/>
      <c r="Q759" s="39"/>
      <c r="R759" s="39"/>
      <c r="S759" s="39"/>
      <c r="U759" s="39"/>
      <c r="V759" s="39"/>
      <c r="W759" s="39"/>
      <c r="X759" s="39"/>
      <c r="Y759" s="39"/>
      <c r="Z759" s="39"/>
      <c r="AA759" s="39"/>
      <c r="AB759" s="39"/>
    </row>
    <row r="760">
      <c r="C760" s="39"/>
      <c r="J760" s="39"/>
      <c r="K760" s="39"/>
      <c r="O760" s="39"/>
      <c r="Q760" s="39"/>
      <c r="R760" s="39"/>
      <c r="S760" s="39"/>
      <c r="U760" s="39"/>
      <c r="V760" s="39"/>
      <c r="W760" s="39"/>
      <c r="X760" s="39"/>
      <c r="Y760" s="39"/>
      <c r="Z760" s="39"/>
      <c r="AA760" s="39"/>
      <c r="AB760" s="39"/>
    </row>
    <row r="761">
      <c r="C761" s="39"/>
      <c r="J761" s="39"/>
      <c r="K761" s="39"/>
      <c r="O761" s="39"/>
      <c r="Q761" s="39"/>
      <c r="R761" s="39"/>
      <c r="S761" s="39"/>
      <c r="U761" s="39"/>
      <c r="V761" s="39"/>
      <c r="W761" s="39"/>
      <c r="X761" s="39"/>
      <c r="Y761" s="39"/>
      <c r="Z761" s="39"/>
      <c r="AA761" s="39"/>
      <c r="AB761" s="39"/>
    </row>
    <row r="762">
      <c r="C762" s="39"/>
      <c r="J762" s="39"/>
      <c r="K762" s="39"/>
      <c r="O762" s="39"/>
      <c r="Q762" s="39"/>
      <c r="R762" s="39"/>
      <c r="S762" s="39"/>
      <c r="U762" s="39"/>
      <c r="V762" s="39"/>
      <c r="W762" s="39"/>
      <c r="X762" s="39"/>
      <c r="Y762" s="39"/>
      <c r="Z762" s="39"/>
      <c r="AA762" s="39"/>
      <c r="AB762" s="39"/>
    </row>
    <row r="763">
      <c r="C763" s="39"/>
      <c r="J763" s="39"/>
      <c r="K763" s="39"/>
      <c r="O763" s="39"/>
      <c r="Q763" s="39"/>
      <c r="R763" s="39"/>
      <c r="S763" s="39"/>
      <c r="U763" s="39"/>
      <c r="V763" s="39"/>
      <c r="W763" s="39"/>
      <c r="X763" s="39"/>
      <c r="Y763" s="39"/>
      <c r="Z763" s="39"/>
      <c r="AA763" s="39"/>
      <c r="AB763" s="39"/>
    </row>
    <row r="764">
      <c r="C764" s="39"/>
      <c r="J764" s="39"/>
      <c r="K764" s="39"/>
      <c r="O764" s="39"/>
      <c r="Q764" s="39"/>
      <c r="R764" s="39"/>
      <c r="S764" s="39"/>
      <c r="U764" s="39"/>
      <c r="V764" s="39"/>
      <c r="W764" s="39"/>
      <c r="X764" s="39"/>
      <c r="Y764" s="39"/>
      <c r="Z764" s="39"/>
      <c r="AA764" s="39"/>
      <c r="AB764" s="39"/>
    </row>
    <row r="765">
      <c r="C765" s="39"/>
      <c r="J765" s="39"/>
      <c r="K765" s="39"/>
      <c r="O765" s="39"/>
      <c r="Q765" s="39"/>
      <c r="R765" s="39"/>
      <c r="S765" s="39"/>
      <c r="U765" s="39"/>
      <c r="V765" s="39"/>
      <c r="W765" s="39"/>
      <c r="X765" s="39"/>
      <c r="Y765" s="39"/>
      <c r="Z765" s="39"/>
      <c r="AA765" s="39"/>
      <c r="AB765" s="39"/>
    </row>
    <row r="766">
      <c r="C766" s="39"/>
      <c r="J766" s="39"/>
      <c r="K766" s="39"/>
      <c r="O766" s="39"/>
      <c r="Q766" s="39"/>
      <c r="R766" s="39"/>
      <c r="S766" s="39"/>
      <c r="U766" s="39"/>
      <c r="V766" s="39"/>
      <c r="W766" s="39"/>
      <c r="X766" s="39"/>
      <c r="Y766" s="39"/>
      <c r="Z766" s="39"/>
      <c r="AA766" s="39"/>
      <c r="AB766" s="39"/>
    </row>
    <row r="767">
      <c r="C767" s="39"/>
      <c r="J767" s="39"/>
      <c r="K767" s="39"/>
      <c r="O767" s="39"/>
      <c r="Q767" s="39"/>
      <c r="R767" s="39"/>
      <c r="S767" s="39"/>
      <c r="U767" s="39"/>
      <c r="V767" s="39"/>
      <c r="W767" s="39"/>
      <c r="X767" s="39"/>
      <c r="Y767" s="39"/>
      <c r="Z767" s="39"/>
      <c r="AA767" s="39"/>
      <c r="AB767" s="39"/>
    </row>
    <row r="768">
      <c r="C768" s="39"/>
      <c r="J768" s="39"/>
      <c r="K768" s="39"/>
      <c r="O768" s="39"/>
      <c r="Q768" s="39"/>
      <c r="R768" s="39"/>
      <c r="S768" s="39"/>
      <c r="U768" s="39"/>
      <c r="V768" s="39"/>
      <c r="W768" s="39"/>
      <c r="X768" s="39"/>
      <c r="Y768" s="39"/>
      <c r="Z768" s="39"/>
      <c r="AA768" s="39"/>
      <c r="AB768" s="39"/>
    </row>
    <row r="769">
      <c r="C769" s="39"/>
      <c r="J769" s="39"/>
      <c r="K769" s="39"/>
      <c r="O769" s="39"/>
      <c r="Q769" s="39"/>
      <c r="R769" s="39"/>
      <c r="S769" s="39"/>
      <c r="U769" s="39"/>
      <c r="V769" s="39"/>
      <c r="W769" s="39"/>
      <c r="X769" s="39"/>
      <c r="Y769" s="39"/>
      <c r="Z769" s="39"/>
      <c r="AA769" s="39"/>
      <c r="AB769" s="39"/>
    </row>
    <row r="770">
      <c r="C770" s="39"/>
      <c r="J770" s="39"/>
      <c r="K770" s="39"/>
      <c r="O770" s="39"/>
      <c r="Q770" s="39"/>
      <c r="R770" s="39"/>
      <c r="S770" s="39"/>
      <c r="U770" s="39"/>
      <c r="V770" s="39"/>
      <c r="W770" s="39"/>
      <c r="X770" s="39"/>
      <c r="Y770" s="39"/>
      <c r="Z770" s="39"/>
      <c r="AA770" s="39"/>
      <c r="AB770" s="39"/>
    </row>
    <row r="771">
      <c r="C771" s="39"/>
      <c r="J771" s="39"/>
      <c r="K771" s="39"/>
      <c r="O771" s="39"/>
      <c r="Q771" s="39"/>
      <c r="R771" s="39"/>
      <c r="S771" s="39"/>
      <c r="U771" s="39"/>
      <c r="V771" s="39"/>
      <c r="W771" s="39"/>
      <c r="X771" s="39"/>
      <c r="Y771" s="39"/>
      <c r="Z771" s="39"/>
      <c r="AA771" s="39"/>
      <c r="AB771" s="39"/>
    </row>
    <row r="772">
      <c r="C772" s="39"/>
      <c r="J772" s="39"/>
      <c r="K772" s="39"/>
      <c r="O772" s="39"/>
      <c r="Q772" s="39"/>
      <c r="R772" s="39"/>
      <c r="S772" s="39"/>
      <c r="U772" s="39"/>
      <c r="V772" s="39"/>
      <c r="W772" s="39"/>
      <c r="X772" s="39"/>
      <c r="Y772" s="39"/>
      <c r="Z772" s="39"/>
      <c r="AA772" s="39"/>
      <c r="AB772" s="39"/>
    </row>
    <row r="773">
      <c r="C773" s="39"/>
      <c r="J773" s="39"/>
      <c r="K773" s="39"/>
      <c r="O773" s="39"/>
      <c r="Q773" s="39"/>
      <c r="R773" s="39"/>
      <c r="S773" s="39"/>
      <c r="U773" s="39"/>
      <c r="V773" s="39"/>
      <c r="W773" s="39"/>
      <c r="X773" s="39"/>
      <c r="Y773" s="39"/>
      <c r="Z773" s="39"/>
      <c r="AA773" s="39"/>
      <c r="AB773" s="39"/>
    </row>
    <row r="774">
      <c r="C774" s="39"/>
      <c r="J774" s="39"/>
      <c r="K774" s="39"/>
      <c r="O774" s="39"/>
      <c r="Q774" s="39"/>
      <c r="R774" s="39"/>
      <c r="S774" s="39"/>
      <c r="U774" s="39"/>
      <c r="V774" s="39"/>
      <c r="W774" s="39"/>
      <c r="X774" s="39"/>
      <c r="Y774" s="39"/>
      <c r="Z774" s="39"/>
      <c r="AA774" s="39"/>
      <c r="AB774" s="39"/>
    </row>
    <row r="775">
      <c r="C775" s="39"/>
      <c r="J775" s="39"/>
      <c r="K775" s="39"/>
      <c r="O775" s="39"/>
      <c r="Q775" s="39"/>
      <c r="R775" s="39"/>
      <c r="S775" s="39"/>
      <c r="U775" s="39"/>
      <c r="V775" s="39"/>
      <c r="W775" s="39"/>
      <c r="X775" s="39"/>
      <c r="Y775" s="39"/>
      <c r="Z775" s="39"/>
      <c r="AA775" s="39"/>
      <c r="AB775" s="39"/>
    </row>
    <row r="776">
      <c r="C776" s="39"/>
      <c r="J776" s="39"/>
      <c r="K776" s="39"/>
      <c r="O776" s="39"/>
      <c r="Q776" s="39"/>
      <c r="R776" s="39"/>
      <c r="S776" s="39"/>
      <c r="U776" s="39"/>
      <c r="V776" s="39"/>
      <c r="W776" s="39"/>
      <c r="X776" s="39"/>
      <c r="Y776" s="39"/>
      <c r="Z776" s="39"/>
      <c r="AA776" s="39"/>
      <c r="AB776" s="39"/>
    </row>
    <row r="777">
      <c r="C777" s="39"/>
      <c r="J777" s="39"/>
      <c r="K777" s="39"/>
      <c r="O777" s="39"/>
      <c r="Q777" s="39"/>
      <c r="R777" s="39"/>
      <c r="S777" s="39"/>
      <c r="U777" s="39"/>
      <c r="V777" s="39"/>
      <c r="W777" s="39"/>
      <c r="X777" s="39"/>
      <c r="Y777" s="39"/>
      <c r="Z777" s="39"/>
      <c r="AA777" s="39"/>
      <c r="AB777" s="39"/>
    </row>
    <row r="778">
      <c r="C778" s="39"/>
      <c r="J778" s="39"/>
      <c r="K778" s="39"/>
      <c r="O778" s="39"/>
      <c r="Q778" s="39"/>
      <c r="R778" s="39"/>
      <c r="S778" s="39"/>
      <c r="U778" s="39"/>
      <c r="V778" s="39"/>
      <c r="W778" s="39"/>
      <c r="X778" s="39"/>
      <c r="Y778" s="39"/>
      <c r="Z778" s="39"/>
      <c r="AA778" s="39"/>
      <c r="AB778" s="39"/>
    </row>
    <row r="779">
      <c r="C779" s="39"/>
      <c r="J779" s="39"/>
      <c r="K779" s="39"/>
      <c r="O779" s="39"/>
      <c r="Q779" s="39"/>
      <c r="R779" s="39"/>
      <c r="S779" s="39"/>
      <c r="U779" s="39"/>
      <c r="V779" s="39"/>
      <c r="W779" s="39"/>
      <c r="X779" s="39"/>
      <c r="Y779" s="39"/>
      <c r="Z779" s="39"/>
      <c r="AA779" s="39"/>
      <c r="AB779" s="39"/>
    </row>
    <row r="780">
      <c r="C780" s="39"/>
      <c r="J780" s="39"/>
      <c r="K780" s="39"/>
      <c r="O780" s="39"/>
      <c r="Q780" s="39"/>
      <c r="R780" s="39"/>
      <c r="S780" s="39"/>
      <c r="U780" s="39"/>
      <c r="V780" s="39"/>
      <c r="W780" s="39"/>
      <c r="X780" s="39"/>
      <c r="Y780" s="39"/>
      <c r="Z780" s="39"/>
      <c r="AA780" s="39"/>
      <c r="AB780" s="39"/>
    </row>
    <row r="781">
      <c r="C781" s="39"/>
      <c r="J781" s="39"/>
      <c r="K781" s="39"/>
      <c r="O781" s="39"/>
      <c r="Q781" s="39"/>
      <c r="R781" s="39"/>
      <c r="S781" s="39"/>
      <c r="U781" s="39"/>
      <c r="V781" s="39"/>
      <c r="W781" s="39"/>
      <c r="X781" s="39"/>
      <c r="Y781" s="39"/>
      <c r="Z781" s="39"/>
      <c r="AA781" s="39"/>
      <c r="AB781" s="39"/>
    </row>
    <row r="782">
      <c r="C782" s="39"/>
      <c r="J782" s="39"/>
      <c r="K782" s="39"/>
      <c r="O782" s="39"/>
      <c r="Q782" s="39"/>
      <c r="R782" s="39"/>
      <c r="S782" s="39"/>
      <c r="U782" s="39"/>
      <c r="V782" s="39"/>
      <c r="W782" s="39"/>
      <c r="X782" s="39"/>
      <c r="Y782" s="39"/>
      <c r="Z782" s="39"/>
      <c r="AA782" s="39"/>
      <c r="AB782" s="39"/>
    </row>
    <row r="783">
      <c r="C783" s="39"/>
      <c r="J783" s="39"/>
      <c r="K783" s="39"/>
      <c r="O783" s="39"/>
      <c r="Q783" s="39"/>
      <c r="R783" s="39"/>
      <c r="S783" s="39"/>
      <c r="U783" s="39"/>
      <c r="V783" s="39"/>
      <c r="W783" s="39"/>
      <c r="X783" s="39"/>
      <c r="Y783" s="39"/>
      <c r="Z783" s="39"/>
      <c r="AA783" s="39"/>
      <c r="AB783" s="39"/>
    </row>
    <row r="784">
      <c r="C784" s="39"/>
      <c r="J784" s="39"/>
      <c r="K784" s="39"/>
      <c r="O784" s="39"/>
      <c r="Q784" s="39"/>
      <c r="R784" s="39"/>
      <c r="S784" s="39"/>
      <c r="U784" s="39"/>
      <c r="V784" s="39"/>
      <c r="W784" s="39"/>
      <c r="X784" s="39"/>
      <c r="Y784" s="39"/>
      <c r="Z784" s="39"/>
      <c r="AA784" s="39"/>
      <c r="AB784" s="39"/>
    </row>
    <row r="785">
      <c r="C785" s="39"/>
      <c r="J785" s="39"/>
      <c r="K785" s="39"/>
      <c r="O785" s="39"/>
      <c r="Q785" s="39"/>
      <c r="R785" s="39"/>
      <c r="S785" s="39"/>
      <c r="U785" s="39"/>
      <c r="V785" s="39"/>
      <c r="W785" s="39"/>
      <c r="X785" s="39"/>
      <c r="Y785" s="39"/>
      <c r="Z785" s="39"/>
      <c r="AA785" s="39"/>
      <c r="AB785" s="39"/>
    </row>
    <row r="786">
      <c r="C786" s="39"/>
      <c r="J786" s="39"/>
      <c r="K786" s="39"/>
      <c r="O786" s="39"/>
      <c r="Q786" s="39"/>
      <c r="R786" s="39"/>
      <c r="S786" s="39"/>
      <c r="U786" s="39"/>
      <c r="V786" s="39"/>
      <c r="W786" s="39"/>
      <c r="X786" s="39"/>
      <c r="Y786" s="39"/>
      <c r="Z786" s="39"/>
      <c r="AA786" s="39"/>
      <c r="AB786" s="39"/>
    </row>
    <row r="787">
      <c r="C787" s="39"/>
      <c r="J787" s="39"/>
      <c r="K787" s="39"/>
      <c r="O787" s="39"/>
      <c r="Q787" s="39"/>
      <c r="R787" s="39"/>
      <c r="S787" s="39"/>
      <c r="U787" s="39"/>
      <c r="V787" s="39"/>
      <c r="W787" s="39"/>
      <c r="X787" s="39"/>
      <c r="Y787" s="39"/>
      <c r="Z787" s="39"/>
      <c r="AA787" s="39"/>
      <c r="AB787" s="39"/>
    </row>
    <row r="788">
      <c r="C788" s="39"/>
      <c r="J788" s="39"/>
      <c r="K788" s="39"/>
      <c r="O788" s="39"/>
      <c r="Q788" s="39"/>
      <c r="R788" s="39"/>
      <c r="S788" s="39"/>
      <c r="U788" s="39"/>
      <c r="V788" s="39"/>
      <c r="W788" s="39"/>
      <c r="X788" s="39"/>
      <c r="Y788" s="39"/>
      <c r="Z788" s="39"/>
      <c r="AA788" s="39"/>
      <c r="AB788" s="39"/>
    </row>
    <row r="789">
      <c r="C789" s="39"/>
      <c r="J789" s="39"/>
      <c r="K789" s="39"/>
      <c r="O789" s="39"/>
      <c r="Q789" s="39"/>
      <c r="R789" s="39"/>
      <c r="S789" s="39"/>
      <c r="U789" s="39"/>
      <c r="V789" s="39"/>
      <c r="W789" s="39"/>
      <c r="X789" s="39"/>
      <c r="Y789" s="39"/>
      <c r="Z789" s="39"/>
      <c r="AA789" s="39"/>
      <c r="AB789" s="39"/>
    </row>
    <row r="790">
      <c r="C790" s="39"/>
      <c r="J790" s="39"/>
      <c r="K790" s="39"/>
      <c r="O790" s="39"/>
      <c r="Q790" s="39"/>
      <c r="R790" s="39"/>
      <c r="S790" s="39"/>
      <c r="U790" s="39"/>
      <c r="V790" s="39"/>
      <c r="W790" s="39"/>
      <c r="X790" s="39"/>
      <c r="Y790" s="39"/>
      <c r="Z790" s="39"/>
      <c r="AA790" s="39"/>
      <c r="AB790" s="39"/>
    </row>
    <row r="791">
      <c r="C791" s="39"/>
      <c r="J791" s="39"/>
      <c r="K791" s="39"/>
      <c r="O791" s="39"/>
      <c r="Q791" s="39"/>
      <c r="R791" s="39"/>
      <c r="S791" s="39"/>
      <c r="U791" s="39"/>
      <c r="V791" s="39"/>
      <c r="W791" s="39"/>
      <c r="X791" s="39"/>
      <c r="Y791" s="39"/>
      <c r="Z791" s="39"/>
      <c r="AA791" s="39"/>
      <c r="AB791" s="39"/>
    </row>
    <row r="792">
      <c r="C792" s="39"/>
      <c r="J792" s="39"/>
      <c r="K792" s="39"/>
      <c r="O792" s="39"/>
      <c r="Q792" s="39"/>
      <c r="R792" s="39"/>
      <c r="S792" s="39"/>
      <c r="U792" s="39"/>
      <c r="V792" s="39"/>
      <c r="W792" s="39"/>
      <c r="X792" s="39"/>
      <c r="Y792" s="39"/>
      <c r="Z792" s="39"/>
      <c r="AA792" s="39"/>
      <c r="AB792" s="39"/>
    </row>
    <row r="793">
      <c r="C793" s="39"/>
      <c r="J793" s="39"/>
      <c r="K793" s="39"/>
      <c r="O793" s="39"/>
      <c r="Q793" s="39"/>
      <c r="R793" s="39"/>
      <c r="S793" s="39"/>
      <c r="U793" s="39"/>
      <c r="V793" s="39"/>
      <c r="W793" s="39"/>
      <c r="X793" s="39"/>
      <c r="Y793" s="39"/>
      <c r="Z793" s="39"/>
      <c r="AA793" s="39"/>
      <c r="AB793" s="39"/>
    </row>
    <row r="794">
      <c r="C794" s="39"/>
      <c r="J794" s="39"/>
      <c r="K794" s="39"/>
      <c r="O794" s="39"/>
      <c r="Q794" s="39"/>
      <c r="R794" s="39"/>
      <c r="S794" s="39"/>
      <c r="U794" s="39"/>
      <c r="V794" s="39"/>
      <c r="W794" s="39"/>
      <c r="X794" s="39"/>
      <c r="Y794" s="39"/>
      <c r="Z794" s="39"/>
      <c r="AA794" s="39"/>
      <c r="AB794" s="39"/>
    </row>
    <row r="795">
      <c r="C795" s="39"/>
      <c r="J795" s="39"/>
      <c r="K795" s="39"/>
      <c r="O795" s="39"/>
      <c r="Q795" s="39"/>
      <c r="R795" s="39"/>
      <c r="S795" s="39"/>
      <c r="U795" s="39"/>
      <c r="V795" s="39"/>
      <c r="W795" s="39"/>
      <c r="X795" s="39"/>
      <c r="Y795" s="39"/>
      <c r="Z795" s="39"/>
      <c r="AA795" s="39"/>
      <c r="AB795" s="39"/>
    </row>
    <row r="796">
      <c r="C796" s="39"/>
      <c r="J796" s="39"/>
      <c r="K796" s="39"/>
      <c r="O796" s="39"/>
      <c r="Q796" s="39"/>
      <c r="R796" s="39"/>
      <c r="S796" s="39"/>
      <c r="U796" s="39"/>
      <c r="V796" s="39"/>
      <c r="W796" s="39"/>
      <c r="X796" s="39"/>
      <c r="Y796" s="39"/>
      <c r="Z796" s="39"/>
      <c r="AA796" s="39"/>
      <c r="AB796" s="39"/>
    </row>
    <row r="797">
      <c r="C797" s="39"/>
      <c r="J797" s="39"/>
      <c r="K797" s="39"/>
      <c r="O797" s="39"/>
      <c r="Q797" s="39"/>
      <c r="R797" s="39"/>
      <c r="S797" s="39"/>
      <c r="U797" s="39"/>
      <c r="V797" s="39"/>
      <c r="W797" s="39"/>
      <c r="X797" s="39"/>
      <c r="Y797" s="39"/>
      <c r="Z797" s="39"/>
      <c r="AA797" s="39"/>
      <c r="AB797" s="39"/>
    </row>
    <row r="798">
      <c r="C798" s="39"/>
      <c r="J798" s="39"/>
      <c r="K798" s="39"/>
      <c r="O798" s="39"/>
      <c r="Q798" s="39"/>
      <c r="R798" s="39"/>
      <c r="S798" s="39"/>
      <c r="U798" s="39"/>
      <c r="V798" s="39"/>
      <c r="W798" s="39"/>
      <c r="X798" s="39"/>
      <c r="Y798" s="39"/>
      <c r="Z798" s="39"/>
      <c r="AA798" s="39"/>
      <c r="AB798" s="39"/>
    </row>
    <row r="799">
      <c r="C799" s="39"/>
      <c r="J799" s="39"/>
      <c r="K799" s="39"/>
      <c r="O799" s="39"/>
      <c r="Q799" s="39"/>
      <c r="R799" s="39"/>
      <c r="S799" s="39"/>
      <c r="U799" s="39"/>
      <c r="V799" s="39"/>
      <c r="W799" s="39"/>
      <c r="X799" s="39"/>
      <c r="Y799" s="39"/>
      <c r="Z799" s="39"/>
      <c r="AA799" s="39"/>
      <c r="AB799" s="39"/>
    </row>
    <row r="800">
      <c r="C800" s="39"/>
      <c r="J800" s="39"/>
      <c r="K800" s="39"/>
      <c r="O800" s="39"/>
      <c r="Q800" s="39"/>
      <c r="R800" s="39"/>
      <c r="S800" s="39"/>
      <c r="U800" s="39"/>
      <c r="V800" s="39"/>
      <c r="W800" s="39"/>
      <c r="X800" s="39"/>
      <c r="Y800" s="39"/>
      <c r="Z800" s="39"/>
      <c r="AA800" s="39"/>
      <c r="AB800" s="39"/>
    </row>
    <row r="801">
      <c r="C801" s="39"/>
      <c r="J801" s="39"/>
      <c r="K801" s="39"/>
      <c r="O801" s="39"/>
      <c r="Q801" s="39"/>
      <c r="R801" s="39"/>
      <c r="S801" s="39"/>
      <c r="U801" s="39"/>
      <c r="V801" s="39"/>
      <c r="W801" s="39"/>
      <c r="X801" s="39"/>
      <c r="Y801" s="39"/>
      <c r="Z801" s="39"/>
      <c r="AA801" s="39"/>
      <c r="AB801" s="39"/>
    </row>
    <row r="802">
      <c r="C802" s="39"/>
      <c r="J802" s="39"/>
      <c r="K802" s="39"/>
      <c r="O802" s="39"/>
      <c r="Q802" s="39"/>
      <c r="R802" s="39"/>
      <c r="S802" s="39"/>
      <c r="U802" s="39"/>
      <c r="V802" s="39"/>
      <c r="W802" s="39"/>
      <c r="X802" s="39"/>
      <c r="Y802" s="39"/>
      <c r="Z802" s="39"/>
      <c r="AA802" s="39"/>
      <c r="AB802" s="39"/>
    </row>
    <row r="803">
      <c r="C803" s="39"/>
      <c r="J803" s="39"/>
      <c r="K803" s="39"/>
      <c r="O803" s="39"/>
      <c r="Q803" s="39"/>
      <c r="R803" s="39"/>
      <c r="S803" s="39"/>
      <c r="U803" s="39"/>
      <c r="V803" s="39"/>
      <c r="W803" s="39"/>
      <c r="X803" s="39"/>
      <c r="Y803" s="39"/>
      <c r="Z803" s="39"/>
      <c r="AA803" s="39"/>
      <c r="AB803" s="39"/>
    </row>
    <row r="804">
      <c r="C804" s="39"/>
      <c r="J804" s="39"/>
      <c r="K804" s="39"/>
      <c r="O804" s="39"/>
      <c r="Q804" s="39"/>
      <c r="R804" s="39"/>
      <c r="S804" s="39"/>
      <c r="U804" s="39"/>
      <c r="V804" s="39"/>
      <c r="W804" s="39"/>
      <c r="X804" s="39"/>
      <c r="Y804" s="39"/>
      <c r="Z804" s="39"/>
      <c r="AA804" s="39"/>
      <c r="AB804" s="39"/>
    </row>
    <row r="805">
      <c r="C805" s="39"/>
      <c r="J805" s="39"/>
      <c r="K805" s="39"/>
      <c r="O805" s="39"/>
      <c r="Q805" s="39"/>
      <c r="R805" s="39"/>
      <c r="S805" s="39"/>
      <c r="U805" s="39"/>
      <c r="V805" s="39"/>
      <c r="W805" s="39"/>
      <c r="X805" s="39"/>
      <c r="Y805" s="39"/>
      <c r="Z805" s="39"/>
      <c r="AA805" s="39"/>
      <c r="AB805" s="39"/>
    </row>
    <row r="806">
      <c r="C806" s="39"/>
      <c r="J806" s="39"/>
      <c r="K806" s="39"/>
      <c r="O806" s="39"/>
      <c r="Q806" s="39"/>
      <c r="R806" s="39"/>
      <c r="S806" s="39"/>
      <c r="U806" s="39"/>
      <c r="V806" s="39"/>
      <c r="W806" s="39"/>
      <c r="X806" s="39"/>
      <c r="Y806" s="39"/>
      <c r="Z806" s="39"/>
      <c r="AA806" s="39"/>
      <c r="AB806" s="39"/>
    </row>
    <row r="807">
      <c r="C807" s="39"/>
      <c r="J807" s="39"/>
      <c r="K807" s="39"/>
      <c r="O807" s="39"/>
      <c r="Q807" s="39"/>
      <c r="R807" s="39"/>
      <c r="S807" s="39"/>
      <c r="U807" s="39"/>
      <c r="V807" s="39"/>
      <c r="W807" s="39"/>
      <c r="X807" s="39"/>
      <c r="Y807" s="39"/>
      <c r="Z807" s="39"/>
      <c r="AA807" s="39"/>
      <c r="AB807" s="39"/>
    </row>
    <row r="808">
      <c r="C808" s="39"/>
      <c r="J808" s="39"/>
      <c r="K808" s="39"/>
      <c r="O808" s="39"/>
      <c r="Q808" s="39"/>
      <c r="R808" s="39"/>
      <c r="S808" s="39"/>
      <c r="U808" s="39"/>
      <c r="V808" s="39"/>
      <c r="W808" s="39"/>
      <c r="X808" s="39"/>
      <c r="Y808" s="39"/>
      <c r="Z808" s="39"/>
      <c r="AA808" s="39"/>
      <c r="AB808" s="39"/>
    </row>
    <row r="809">
      <c r="C809" s="39"/>
      <c r="J809" s="39"/>
      <c r="K809" s="39"/>
      <c r="O809" s="39"/>
      <c r="Q809" s="39"/>
      <c r="R809" s="39"/>
      <c r="S809" s="39"/>
      <c r="U809" s="39"/>
      <c r="V809" s="39"/>
      <c r="W809" s="39"/>
      <c r="X809" s="39"/>
      <c r="Y809" s="39"/>
      <c r="Z809" s="39"/>
      <c r="AA809" s="39"/>
      <c r="AB809" s="39"/>
    </row>
    <row r="810">
      <c r="C810" s="39"/>
      <c r="J810" s="39"/>
      <c r="K810" s="39"/>
      <c r="O810" s="39"/>
      <c r="Q810" s="39"/>
      <c r="R810" s="39"/>
      <c r="S810" s="39"/>
      <c r="U810" s="39"/>
      <c r="V810" s="39"/>
      <c r="W810" s="39"/>
      <c r="X810" s="39"/>
      <c r="Y810" s="39"/>
      <c r="Z810" s="39"/>
      <c r="AA810" s="39"/>
      <c r="AB810" s="39"/>
    </row>
    <row r="811">
      <c r="C811" s="39"/>
      <c r="J811" s="39"/>
      <c r="K811" s="39"/>
      <c r="O811" s="39"/>
      <c r="Q811" s="39"/>
      <c r="R811" s="39"/>
      <c r="S811" s="39"/>
      <c r="U811" s="39"/>
      <c r="V811" s="39"/>
      <c r="W811" s="39"/>
      <c r="X811" s="39"/>
      <c r="Y811" s="39"/>
      <c r="Z811" s="39"/>
      <c r="AA811" s="39"/>
      <c r="AB811" s="39"/>
    </row>
    <row r="812">
      <c r="C812" s="39"/>
      <c r="J812" s="39"/>
      <c r="K812" s="39"/>
      <c r="O812" s="39"/>
      <c r="Q812" s="39"/>
      <c r="R812" s="39"/>
      <c r="S812" s="39"/>
      <c r="U812" s="39"/>
      <c r="V812" s="39"/>
      <c r="W812" s="39"/>
      <c r="X812" s="39"/>
      <c r="Y812" s="39"/>
      <c r="Z812" s="39"/>
      <c r="AA812" s="39"/>
      <c r="AB812" s="39"/>
    </row>
    <row r="813">
      <c r="C813" s="39"/>
      <c r="J813" s="39"/>
      <c r="K813" s="39"/>
      <c r="O813" s="39"/>
      <c r="Q813" s="39"/>
      <c r="R813" s="39"/>
      <c r="S813" s="39"/>
      <c r="U813" s="39"/>
      <c r="V813" s="39"/>
      <c r="W813" s="39"/>
      <c r="X813" s="39"/>
      <c r="Y813" s="39"/>
      <c r="Z813" s="39"/>
      <c r="AA813" s="39"/>
      <c r="AB813" s="39"/>
    </row>
    <row r="814">
      <c r="C814" s="39"/>
      <c r="J814" s="39"/>
      <c r="K814" s="39"/>
      <c r="O814" s="39"/>
      <c r="Q814" s="39"/>
      <c r="R814" s="39"/>
      <c r="S814" s="39"/>
      <c r="U814" s="39"/>
      <c r="V814" s="39"/>
      <c r="W814" s="39"/>
      <c r="X814" s="39"/>
      <c r="Y814" s="39"/>
      <c r="Z814" s="39"/>
      <c r="AA814" s="39"/>
      <c r="AB814" s="39"/>
    </row>
    <row r="815">
      <c r="C815" s="39"/>
      <c r="J815" s="39"/>
      <c r="K815" s="39"/>
      <c r="O815" s="39"/>
      <c r="Q815" s="39"/>
      <c r="R815" s="39"/>
      <c r="S815" s="39"/>
      <c r="U815" s="39"/>
      <c r="V815" s="39"/>
      <c r="W815" s="39"/>
      <c r="X815" s="39"/>
      <c r="Y815" s="39"/>
      <c r="Z815" s="39"/>
      <c r="AA815" s="39"/>
      <c r="AB815" s="39"/>
    </row>
    <row r="816">
      <c r="C816" s="39"/>
      <c r="J816" s="39"/>
      <c r="K816" s="39"/>
      <c r="O816" s="39"/>
      <c r="Q816" s="39"/>
      <c r="R816" s="39"/>
      <c r="S816" s="39"/>
      <c r="U816" s="39"/>
      <c r="V816" s="39"/>
      <c r="W816" s="39"/>
      <c r="X816" s="39"/>
      <c r="Y816" s="39"/>
      <c r="Z816" s="39"/>
      <c r="AA816" s="39"/>
      <c r="AB816" s="39"/>
    </row>
    <row r="817">
      <c r="C817" s="39"/>
      <c r="J817" s="39"/>
      <c r="K817" s="39"/>
      <c r="O817" s="39"/>
      <c r="Q817" s="39"/>
      <c r="R817" s="39"/>
      <c r="S817" s="39"/>
      <c r="U817" s="39"/>
      <c r="V817" s="39"/>
      <c r="W817" s="39"/>
      <c r="X817" s="39"/>
      <c r="Y817" s="39"/>
      <c r="Z817" s="39"/>
      <c r="AA817" s="39"/>
      <c r="AB817" s="39"/>
    </row>
    <row r="818">
      <c r="C818" s="39"/>
      <c r="J818" s="39"/>
      <c r="K818" s="39"/>
      <c r="O818" s="39"/>
      <c r="Q818" s="39"/>
      <c r="R818" s="39"/>
      <c r="S818" s="39"/>
      <c r="U818" s="39"/>
      <c r="V818" s="39"/>
      <c r="W818" s="39"/>
      <c r="X818" s="39"/>
      <c r="Y818" s="39"/>
      <c r="Z818" s="39"/>
      <c r="AA818" s="39"/>
      <c r="AB818" s="39"/>
    </row>
    <row r="819">
      <c r="C819" s="39"/>
      <c r="J819" s="39"/>
      <c r="K819" s="39"/>
      <c r="O819" s="39"/>
      <c r="Q819" s="39"/>
      <c r="R819" s="39"/>
      <c r="S819" s="39"/>
      <c r="U819" s="39"/>
      <c r="V819" s="39"/>
      <c r="W819" s="39"/>
      <c r="X819" s="39"/>
      <c r="Y819" s="39"/>
      <c r="Z819" s="39"/>
      <c r="AA819" s="39"/>
      <c r="AB819" s="39"/>
    </row>
    <row r="820">
      <c r="C820" s="39"/>
      <c r="J820" s="39"/>
      <c r="K820" s="39"/>
      <c r="O820" s="39"/>
      <c r="Q820" s="39"/>
      <c r="R820" s="39"/>
      <c r="S820" s="39"/>
      <c r="U820" s="39"/>
      <c r="V820" s="39"/>
      <c r="W820" s="39"/>
      <c r="X820" s="39"/>
      <c r="Y820" s="39"/>
      <c r="Z820" s="39"/>
      <c r="AA820" s="39"/>
      <c r="AB820" s="39"/>
    </row>
    <row r="821">
      <c r="C821" s="39"/>
      <c r="J821" s="39"/>
      <c r="K821" s="39"/>
      <c r="O821" s="39"/>
      <c r="Q821" s="39"/>
      <c r="R821" s="39"/>
      <c r="S821" s="39"/>
      <c r="U821" s="39"/>
      <c r="V821" s="39"/>
      <c r="W821" s="39"/>
      <c r="X821" s="39"/>
      <c r="Y821" s="39"/>
      <c r="Z821" s="39"/>
      <c r="AA821" s="39"/>
      <c r="AB821" s="39"/>
    </row>
    <row r="822">
      <c r="C822" s="39"/>
      <c r="J822" s="39"/>
      <c r="K822" s="39"/>
      <c r="O822" s="39"/>
      <c r="Q822" s="39"/>
      <c r="R822" s="39"/>
      <c r="S822" s="39"/>
      <c r="U822" s="39"/>
      <c r="V822" s="39"/>
      <c r="W822" s="39"/>
      <c r="X822" s="39"/>
      <c r="Y822" s="39"/>
      <c r="Z822" s="39"/>
      <c r="AA822" s="39"/>
      <c r="AB822" s="39"/>
    </row>
    <row r="823">
      <c r="C823" s="39"/>
      <c r="J823" s="39"/>
      <c r="K823" s="39"/>
      <c r="O823" s="39"/>
      <c r="Q823" s="39"/>
      <c r="R823" s="39"/>
      <c r="S823" s="39"/>
      <c r="U823" s="39"/>
      <c r="V823" s="39"/>
      <c r="W823" s="39"/>
      <c r="X823" s="39"/>
      <c r="Y823" s="39"/>
      <c r="Z823" s="39"/>
      <c r="AA823" s="39"/>
      <c r="AB823" s="39"/>
    </row>
    <row r="824">
      <c r="C824" s="39"/>
      <c r="J824" s="39"/>
      <c r="K824" s="39"/>
      <c r="O824" s="39"/>
      <c r="Q824" s="39"/>
      <c r="R824" s="39"/>
      <c r="S824" s="39"/>
      <c r="U824" s="39"/>
      <c r="V824" s="39"/>
      <c r="W824" s="39"/>
      <c r="X824" s="39"/>
      <c r="Y824" s="39"/>
      <c r="Z824" s="39"/>
      <c r="AA824" s="39"/>
      <c r="AB824" s="39"/>
    </row>
    <row r="825">
      <c r="C825" s="39"/>
      <c r="J825" s="39"/>
      <c r="K825" s="39"/>
      <c r="O825" s="39"/>
      <c r="Q825" s="39"/>
      <c r="R825" s="39"/>
      <c r="S825" s="39"/>
      <c r="U825" s="39"/>
      <c r="V825" s="39"/>
      <c r="W825" s="39"/>
      <c r="X825" s="39"/>
      <c r="Y825" s="39"/>
      <c r="Z825" s="39"/>
      <c r="AA825" s="39"/>
      <c r="AB825" s="39"/>
    </row>
    <row r="826">
      <c r="C826" s="39"/>
      <c r="J826" s="39"/>
      <c r="K826" s="39"/>
      <c r="O826" s="39"/>
      <c r="Q826" s="39"/>
      <c r="R826" s="39"/>
      <c r="S826" s="39"/>
      <c r="U826" s="39"/>
      <c r="V826" s="39"/>
      <c r="W826" s="39"/>
      <c r="X826" s="39"/>
      <c r="Y826" s="39"/>
      <c r="Z826" s="39"/>
      <c r="AA826" s="39"/>
      <c r="AB826" s="39"/>
    </row>
    <row r="827">
      <c r="C827" s="39"/>
      <c r="J827" s="39"/>
      <c r="K827" s="39"/>
      <c r="O827" s="39"/>
      <c r="Q827" s="39"/>
      <c r="R827" s="39"/>
      <c r="S827" s="39"/>
      <c r="U827" s="39"/>
      <c r="V827" s="39"/>
      <c r="W827" s="39"/>
      <c r="X827" s="39"/>
      <c r="Y827" s="39"/>
      <c r="Z827" s="39"/>
      <c r="AA827" s="39"/>
      <c r="AB827" s="39"/>
    </row>
    <row r="828">
      <c r="C828" s="39"/>
      <c r="J828" s="39"/>
      <c r="K828" s="39"/>
      <c r="O828" s="39"/>
      <c r="Q828" s="39"/>
      <c r="R828" s="39"/>
      <c r="S828" s="39"/>
      <c r="U828" s="39"/>
      <c r="V828" s="39"/>
      <c r="W828" s="39"/>
      <c r="X828" s="39"/>
      <c r="Y828" s="39"/>
      <c r="Z828" s="39"/>
      <c r="AA828" s="39"/>
      <c r="AB828" s="39"/>
    </row>
    <row r="829">
      <c r="C829" s="39"/>
      <c r="J829" s="39"/>
      <c r="K829" s="39"/>
      <c r="O829" s="39"/>
      <c r="Q829" s="39"/>
      <c r="R829" s="39"/>
      <c r="S829" s="39"/>
      <c r="U829" s="39"/>
      <c r="V829" s="39"/>
      <c r="W829" s="39"/>
      <c r="X829" s="39"/>
      <c r="Y829" s="39"/>
      <c r="Z829" s="39"/>
      <c r="AA829" s="39"/>
      <c r="AB829" s="39"/>
    </row>
    <row r="830">
      <c r="C830" s="39"/>
      <c r="J830" s="39"/>
      <c r="K830" s="39"/>
      <c r="O830" s="39"/>
      <c r="Q830" s="39"/>
      <c r="R830" s="39"/>
      <c r="S830" s="39"/>
      <c r="U830" s="39"/>
      <c r="V830" s="39"/>
      <c r="W830" s="39"/>
      <c r="X830" s="39"/>
      <c r="Y830" s="39"/>
      <c r="Z830" s="39"/>
      <c r="AA830" s="39"/>
      <c r="AB830" s="39"/>
    </row>
    <row r="831">
      <c r="C831" s="39"/>
      <c r="J831" s="39"/>
      <c r="K831" s="39"/>
      <c r="O831" s="39"/>
      <c r="Q831" s="39"/>
      <c r="R831" s="39"/>
      <c r="S831" s="39"/>
      <c r="U831" s="39"/>
      <c r="V831" s="39"/>
      <c r="W831" s="39"/>
      <c r="X831" s="39"/>
      <c r="Y831" s="39"/>
      <c r="Z831" s="39"/>
      <c r="AA831" s="39"/>
      <c r="AB831" s="39"/>
    </row>
    <row r="832">
      <c r="C832" s="39"/>
      <c r="J832" s="39"/>
      <c r="K832" s="39"/>
      <c r="O832" s="39"/>
      <c r="Q832" s="39"/>
      <c r="R832" s="39"/>
      <c r="S832" s="39"/>
      <c r="U832" s="39"/>
      <c r="V832" s="39"/>
      <c r="W832" s="39"/>
      <c r="X832" s="39"/>
      <c r="Y832" s="39"/>
      <c r="Z832" s="39"/>
      <c r="AA832" s="39"/>
      <c r="AB832" s="39"/>
    </row>
    <row r="833">
      <c r="C833" s="39"/>
      <c r="J833" s="39"/>
      <c r="K833" s="39"/>
      <c r="O833" s="39"/>
      <c r="Q833" s="39"/>
      <c r="R833" s="39"/>
      <c r="S833" s="39"/>
      <c r="U833" s="39"/>
      <c r="V833" s="39"/>
      <c r="W833" s="39"/>
      <c r="X833" s="39"/>
      <c r="Y833" s="39"/>
      <c r="Z833" s="39"/>
      <c r="AA833" s="39"/>
      <c r="AB833" s="39"/>
    </row>
    <row r="834">
      <c r="C834" s="39"/>
      <c r="J834" s="39"/>
      <c r="K834" s="39"/>
      <c r="O834" s="39"/>
      <c r="Q834" s="39"/>
      <c r="R834" s="39"/>
      <c r="S834" s="39"/>
      <c r="U834" s="39"/>
      <c r="V834" s="39"/>
      <c r="W834" s="39"/>
      <c r="X834" s="39"/>
      <c r="Y834" s="39"/>
      <c r="Z834" s="39"/>
      <c r="AA834" s="39"/>
      <c r="AB834" s="39"/>
    </row>
    <row r="835">
      <c r="C835" s="39"/>
      <c r="J835" s="39"/>
      <c r="K835" s="39"/>
      <c r="O835" s="39"/>
      <c r="Q835" s="39"/>
      <c r="R835" s="39"/>
      <c r="S835" s="39"/>
      <c r="U835" s="39"/>
      <c r="V835" s="39"/>
      <c r="W835" s="39"/>
      <c r="X835" s="39"/>
      <c r="Y835" s="39"/>
      <c r="Z835" s="39"/>
      <c r="AA835" s="39"/>
      <c r="AB835" s="39"/>
    </row>
    <row r="836">
      <c r="C836" s="39"/>
      <c r="J836" s="39"/>
      <c r="K836" s="39"/>
      <c r="O836" s="39"/>
      <c r="Q836" s="39"/>
      <c r="R836" s="39"/>
      <c r="S836" s="39"/>
      <c r="U836" s="39"/>
      <c r="V836" s="39"/>
      <c r="W836" s="39"/>
      <c r="X836" s="39"/>
      <c r="Y836" s="39"/>
      <c r="Z836" s="39"/>
      <c r="AA836" s="39"/>
      <c r="AB836" s="39"/>
    </row>
    <row r="837">
      <c r="C837" s="39"/>
      <c r="J837" s="39"/>
      <c r="K837" s="39"/>
      <c r="O837" s="39"/>
      <c r="Q837" s="39"/>
      <c r="R837" s="39"/>
      <c r="S837" s="39"/>
      <c r="U837" s="39"/>
      <c r="V837" s="39"/>
      <c r="W837" s="39"/>
      <c r="X837" s="39"/>
      <c r="Y837" s="39"/>
      <c r="Z837" s="39"/>
      <c r="AA837" s="39"/>
      <c r="AB837" s="39"/>
    </row>
    <row r="838">
      <c r="C838" s="39"/>
      <c r="J838" s="39"/>
      <c r="K838" s="39"/>
      <c r="O838" s="39"/>
      <c r="Q838" s="39"/>
      <c r="R838" s="39"/>
      <c r="S838" s="39"/>
      <c r="U838" s="39"/>
      <c r="V838" s="39"/>
      <c r="W838" s="39"/>
      <c r="X838" s="39"/>
      <c r="Y838" s="39"/>
      <c r="Z838" s="39"/>
      <c r="AA838" s="39"/>
      <c r="AB838" s="39"/>
    </row>
    <row r="839">
      <c r="C839" s="39"/>
      <c r="J839" s="39"/>
      <c r="K839" s="39"/>
      <c r="O839" s="39"/>
      <c r="Q839" s="39"/>
      <c r="R839" s="39"/>
      <c r="S839" s="39"/>
      <c r="U839" s="39"/>
      <c r="V839" s="39"/>
      <c r="W839" s="39"/>
      <c r="X839" s="39"/>
      <c r="Y839" s="39"/>
      <c r="Z839" s="39"/>
      <c r="AA839" s="39"/>
      <c r="AB839" s="39"/>
    </row>
    <row r="840">
      <c r="C840" s="39"/>
      <c r="J840" s="39"/>
      <c r="K840" s="39"/>
      <c r="O840" s="39"/>
      <c r="Q840" s="39"/>
      <c r="R840" s="39"/>
      <c r="S840" s="39"/>
      <c r="U840" s="39"/>
      <c r="V840" s="39"/>
      <c r="W840" s="39"/>
      <c r="X840" s="39"/>
      <c r="Y840" s="39"/>
      <c r="Z840" s="39"/>
      <c r="AA840" s="39"/>
      <c r="AB840" s="39"/>
    </row>
    <row r="841">
      <c r="C841" s="39"/>
      <c r="J841" s="39"/>
      <c r="K841" s="39"/>
      <c r="O841" s="39"/>
      <c r="Q841" s="39"/>
      <c r="R841" s="39"/>
      <c r="S841" s="39"/>
      <c r="U841" s="39"/>
      <c r="V841" s="39"/>
      <c r="W841" s="39"/>
      <c r="X841" s="39"/>
      <c r="Y841" s="39"/>
      <c r="Z841" s="39"/>
      <c r="AA841" s="39"/>
      <c r="AB841" s="39"/>
    </row>
    <row r="842">
      <c r="C842" s="39"/>
      <c r="J842" s="39"/>
      <c r="K842" s="39"/>
      <c r="O842" s="39"/>
      <c r="Q842" s="39"/>
      <c r="R842" s="39"/>
      <c r="S842" s="39"/>
      <c r="U842" s="39"/>
      <c r="V842" s="39"/>
      <c r="W842" s="39"/>
      <c r="X842" s="39"/>
      <c r="Y842" s="39"/>
      <c r="Z842" s="39"/>
      <c r="AA842" s="39"/>
      <c r="AB842" s="39"/>
    </row>
    <row r="843">
      <c r="C843" s="39"/>
      <c r="J843" s="39"/>
      <c r="K843" s="39"/>
      <c r="O843" s="39"/>
      <c r="Q843" s="39"/>
      <c r="R843" s="39"/>
      <c r="S843" s="39"/>
      <c r="U843" s="39"/>
      <c r="V843" s="39"/>
      <c r="W843" s="39"/>
      <c r="X843" s="39"/>
      <c r="Y843" s="39"/>
      <c r="Z843" s="39"/>
      <c r="AA843" s="39"/>
      <c r="AB843" s="39"/>
    </row>
    <row r="844">
      <c r="C844" s="39"/>
      <c r="J844" s="39"/>
      <c r="K844" s="39"/>
      <c r="O844" s="39"/>
      <c r="Q844" s="39"/>
      <c r="R844" s="39"/>
      <c r="S844" s="39"/>
      <c r="U844" s="39"/>
      <c r="V844" s="39"/>
      <c r="W844" s="39"/>
      <c r="X844" s="39"/>
      <c r="Y844" s="39"/>
      <c r="Z844" s="39"/>
      <c r="AA844" s="39"/>
      <c r="AB844" s="39"/>
    </row>
    <row r="845">
      <c r="C845" s="39"/>
      <c r="J845" s="39"/>
      <c r="K845" s="39"/>
      <c r="O845" s="39"/>
      <c r="Q845" s="39"/>
      <c r="R845" s="39"/>
      <c r="S845" s="39"/>
      <c r="U845" s="39"/>
      <c r="V845" s="39"/>
      <c r="W845" s="39"/>
      <c r="X845" s="39"/>
      <c r="Y845" s="39"/>
      <c r="Z845" s="39"/>
      <c r="AA845" s="39"/>
      <c r="AB845" s="39"/>
    </row>
    <row r="846">
      <c r="C846" s="39"/>
      <c r="J846" s="39"/>
      <c r="K846" s="39"/>
      <c r="O846" s="39"/>
      <c r="Q846" s="39"/>
      <c r="R846" s="39"/>
      <c r="S846" s="39"/>
      <c r="U846" s="39"/>
      <c r="V846" s="39"/>
      <c r="W846" s="39"/>
      <c r="X846" s="39"/>
      <c r="Y846" s="39"/>
      <c r="Z846" s="39"/>
      <c r="AA846" s="39"/>
      <c r="AB846" s="39"/>
    </row>
    <row r="847">
      <c r="C847" s="39"/>
      <c r="J847" s="39"/>
      <c r="K847" s="39"/>
      <c r="O847" s="39"/>
      <c r="Q847" s="39"/>
      <c r="R847" s="39"/>
      <c r="S847" s="39"/>
      <c r="U847" s="39"/>
      <c r="V847" s="39"/>
      <c r="W847" s="39"/>
      <c r="X847" s="39"/>
      <c r="Y847" s="39"/>
      <c r="Z847" s="39"/>
      <c r="AA847" s="39"/>
      <c r="AB847" s="39"/>
    </row>
    <row r="848">
      <c r="C848" s="39"/>
      <c r="J848" s="39"/>
      <c r="K848" s="39"/>
      <c r="O848" s="39"/>
      <c r="Q848" s="39"/>
      <c r="R848" s="39"/>
      <c r="S848" s="39"/>
      <c r="U848" s="39"/>
      <c r="V848" s="39"/>
      <c r="W848" s="39"/>
      <c r="X848" s="39"/>
      <c r="Y848" s="39"/>
      <c r="Z848" s="39"/>
      <c r="AA848" s="39"/>
      <c r="AB848" s="39"/>
    </row>
    <row r="849">
      <c r="C849" s="39"/>
      <c r="J849" s="39"/>
      <c r="K849" s="39"/>
      <c r="O849" s="39"/>
      <c r="Q849" s="39"/>
      <c r="R849" s="39"/>
      <c r="S849" s="39"/>
      <c r="U849" s="39"/>
      <c r="V849" s="39"/>
      <c r="W849" s="39"/>
      <c r="X849" s="39"/>
      <c r="Y849" s="39"/>
      <c r="Z849" s="39"/>
      <c r="AA849" s="39"/>
      <c r="AB849" s="39"/>
    </row>
    <row r="850">
      <c r="C850" s="39"/>
      <c r="J850" s="39"/>
      <c r="K850" s="39"/>
      <c r="O850" s="39"/>
      <c r="Q850" s="39"/>
      <c r="R850" s="39"/>
      <c r="S850" s="39"/>
      <c r="U850" s="39"/>
      <c r="V850" s="39"/>
      <c r="W850" s="39"/>
      <c r="X850" s="39"/>
      <c r="Y850" s="39"/>
      <c r="Z850" s="39"/>
      <c r="AA850" s="39"/>
      <c r="AB850" s="39"/>
    </row>
    <row r="851">
      <c r="C851" s="39"/>
      <c r="J851" s="39"/>
      <c r="K851" s="39"/>
      <c r="O851" s="39"/>
      <c r="Q851" s="39"/>
      <c r="R851" s="39"/>
      <c r="S851" s="39"/>
      <c r="U851" s="39"/>
      <c r="V851" s="39"/>
      <c r="W851" s="39"/>
      <c r="X851" s="39"/>
      <c r="Y851" s="39"/>
      <c r="Z851" s="39"/>
      <c r="AA851" s="39"/>
      <c r="AB851" s="39"/>
    </row>
    <row r="852">
      <c r="C852" s="39"/>
      <c r="J852" s="39"/>
      <c r="K852" s="39"/>
      <c r="O852" s="39"/>
      <c r="Q852" s="39"/>
      <c r="R852" s="39"/>
      <c r="S852" s="39"/>
      <c r="U852" s="39"/>
      <c r="V852" s="39"/>
      <c r="W852" s="39"/>
      <c r="X852" s="39"/>
      <c r="Y852" s="39"/>
      <c r="Z852" s="39"/>
      <c r="AA852" s="39"/>
      <c r="AB852" s="39"/>
    </row>
    <row r="853">
      <c r="C853" s="39"/>
      <c r="J853" s="39"/>
      <c r="K853" s="39"/>
      <c r="O853" s="39"/>
      <c r="Q853" s="39"/>
      <c r="R853" s="39"/>
      <c r="S853" s="39"/>
      <c r="U853" s="39"/>
      <c r="V853" s="39"/>
      <c r="W853" s="39"/>
      <c r="X853" s="39"/>
      <c r="Y853" s="39"/>
      <c r="Z853" s="39"/>
      <c r="AA853" s="39"/>
      <c r="AB853" s="39"/>
    </row>
    <row r="854">
      <c r="C854" s="39"/>
      <c r="J854" s="39"/>
      <c r="K854" s="39"/>
      <c r="O854" s="39"/>
      <c r="Q854" s="39"/>
      <c r="R854" s="39"/>
      <c r="S854" s="39"/>
      <c r="U854" s="39"/>
      <c r="V854" s="39"/>
      <c r="W854" s="39"/>
      <c r="X854" s="39"/>
      <c r="Y854" s="39"/>
      <c r="Z854" s="39"/>
      <c r="AA854" s="39"/>
      <c r="AB854" s="39"/>
    </row>
    <row r="855">
      <c r="C855" s="39"/>
      <c r="J855" s="39"/>
      <c r="K855" s="39"/>
      <c r="O855" s="39"/>
      <c r="Q855" s="39"/>
      <c r="R855" s="39"/>
      <c r="S855" s="39"/>
      <c r="U855" s="39"/>
      <c r="V855" s="39"/>
      <c r="W855" s="39"/>
      <c r="X855" s="39"/>
      <c r="Y855" s="39"/>
      <c r="Z855" s="39"/>
      <c r="AA855" s="39"/>
      <c r="AB855" s="39"/>
    </row>
    <row r="856">
      <c r="C856" s="39"/>
      <c r="J856" s="39"/>
      <c r="K856" s="39"/>
      <c r="O856" s="39"/>
      <c r="Q856" s="39"/>
      <c r="R856" s="39"/>
      <c r="S856" s="39"/>
      <c r="U856" s="39"/>
      <c r="V856" s="39"/>
      <c r="W856" s="39"/>
      <c r="X856" s="39"/>
      <c r="Y856" s="39"/>
      <c r="Z856" s="39"/>
      <c r="AA856" s="39"/>
      <c r="AB856" s="39"/>
    </row>
    <row r="857">
      <c r="C857" s="39"/>
      <c r="J857" s="39"/>
      <c r="K857" s="39"/>
      <c r="O857" s="39"/>
      <c r="Q857" s="39"/>
      <c r="R857" s="39"/>
      <c r="S857" s="39"/>
      <c r="U857" s="39"/>
      <c r="V857" s="39"/>
      <c r="W857" s="39"/>
      <c r="X857" s="39"/>
      <c r="Y857" s="39"/>
      <c r="Z857" s="39"/>
      <c r="AA857" s="39"/>
      <c r="AB857" s="39"/>
    </row>
    <row r="858">
      <c r="C858" s="39"/>
      <c r="J858" s="39"/>
      <c r="K858" s="39"/>
      <c r="O858" s="39"/>
      <c r="Q858" s="39"/>
      <c r="R858" s="39"/>
      <c r="S858" s="39"/>
      <c r="U858" s="39"/>
      <c r="V858" s="39"/>
      <c r="W858" s="39"/>
      <c r="X858" s="39"/>
      <c r="Y858" s="39"/>
      <c r="Z858" s="39"/>
      <c r="AA858" s="39"/>
      <c r="AB858" s="39"/>
    </row>
    <row r="859">
      <c r="C859" s="39"/>
      <c r="J859" s="39"/>
      <c r="K859" s="39"/>
      <c r="O859" s="39"/>
      <c r="Q859" s="39"/>
      <c r="R859" s="39"/>
      <c r="S859" s="39"/>
      <c r="U859" s="39"/>
      <c r="V859" s="39"/>
      <c r="W859" s="39"/>
      <c r="X859" s="39"/>
      <c r="Y859" s="39"/>
      <c r="Z859" s="39"/>
      <c r="AA859" s="39"/>
      <c r="AB859" s="39"/>
    </row>
    <row r="860">
      <c r="C860" s="39"/>
      <c r="J860" s="39"/>
      <c r="K860" s="39"/>
      <c r="O860" s="39"/>
      <c r="Q860" s="39"/>
      <c r="R860" s="39"/>
      <c r="S860" s="39"/>
      <c r="U860" s="39"/>
      <c r="V860" s="39"/>
      <c r="W860" s="39"/>
      <c r="X860" s="39"/>
      <c r="Y860" s="39"/>
      <c r="Z860" s="39"/>
      <c r="AA860" s="39"/>
      <c r="AB860" s="39"/>
    </row>
    <row r="861">
      <c r="C861" s="39"/>
      <c r="J861" s="39"/>
      <c r="K861" s="39"/>
      <c r="O861" s="39"/>
      <c r="Q861" s="39"/>
      <c r="R861" s="39"/>
      <c r="S861" s="39"/>
      <c r="U861" s="39"/>
      <c r="V861" s="39"/>
      <c r="W861" s="39"/>
      <c r="X861" s="39"/>
      <c r="Y861" s="39"/>
      <c r="Z861" s="39"/>
      <c r="AA861" s="39"/>
      <c r="AB861" s="39"/>
    </row>
    <row r="862">
      <c r="C862" s="39"/>
      <c r="J862" s="39"/>
      <c r="K862" s="39"/>
      <c r="O862" s="39"/>
      <c r="Q862" s="39"/>
      <c r="R862" s="39"/>
      <c r="S862" s="39"/>
      <c r="U862" s="39"/>
      <c r="V862" s="39"/>
      <c r="W862" s="39"/>
      <c r="X862" s="39"/>
      <c r="Y862" s="39"/>
      <c r="Z862" s="39"/>
      <c r="AA862" s="39"/>
      <c r="AB862" s="39"/>
    </row>
    <row r="863">
      <c r="C863" s="39"/>
      <c r="J863" s="39"/>
      <c r="K863" s="39"/>
      <c r="O863" s="39"/>
      <c r="Q863" s="39"/>
      <c r="R863" s="39"/>
      <c r="S863" s="39"/>
      <c r="U863" s="39"/>
      <c r="V863" s="39"/>
      <c r="W863" s="39"/>
      <c r="X863" s="39"/>
      <c r="Y863" s="39"/>
      <c r="Z863" s="39"/>
      <c r="AA863" s="39"/>
      <c r="AB863" s="39"/>
    </row>
    <row r="864">
      <c r="C864" s="39"/>
      <c r="J864" s="39"/>
      <c r="K864" s="39"/>
      <c r="O864" s="39"/>
      <c r="Q864" s="39"/>
      <c r="R864" s="39"/>
      <c r="S864" s="39"/>
      <c r="U864" s="39"/>
      <c r="V864" s="39"/>
      <c r="W864" s="39"/>
      <c r="X864" s="39"/>
      <c r="Y864" s="39"/>
      <c r="Z864" s="39"/>
      <c r="AA864" s="39"/>
      <c r="AB864" s="39"/>
    </row>
    <row r="865">
      <c r="C865" s="39"/>
      <c r="J865" s="39"/>
      <c r="K865" s="39"/>
      <c r="O865" s="39"/>
      <c r="Q865" s="39"/>
      <c r="R865" s="39"/>
      <c r="S865" s="39"/>
      <c r="U865" s="39"/>
      <c r="V865" s="39"/>
      <c r="W865" s="39"/>
      <c r="X865" s="39"/>
      <c r="Y865" s="39"/>
      <c r="Z865" s="39"/>
      <c r="AA865" s="39"/>
      <c r="AB865" s="39"/>
    </row>
    <row r="866">
      <c r="C866" s="39"/>
      <c r="J866" s="39"/>
      <c r="K866" s="39"/>
      <c r="O866" s="39"/>
      <c r="Q866" s="39"/>
      <c r="R866" s="39"/>
      <c r="S866" s="39"/>
      <c r="U866" s="39"/>
      <c r="V866" s="39"/>
      <c r="W866" s="39"/>
      <c r="X866" s="39"/>
      <c r="Y866" s="39"/>
      <c r="Z866" s="39"/>
      <c r="AA866" s="39"/>
      <c r="AB866" s="39"/>
    </row>
    <row r="867">
      <c r="C867" s="39"/>
      <c r="J867" s="39"/>
      <c r="K867" s="39"/>
      <c r="O867" s="39"/>
      <c r="Q867" s="39"/>
      <c r="R867" s="39"/>
      <c r="S867" s="39"/>
      <c r="U867" s="39"/>
      <c r="V867" s="39"/>
      <c r="W867" s="39"/>
      <c r="X867" s="39"/>
      <c r="Y867" s="39"/>
      <c r="Z867" s="39"/>
      <c r="AA867" s="39"/>
      <c r="AB867" s="39"/>
    </row>
    <row r="868">
      <c r="C868" s="39"/>
      <c r="J868" s="39"/>
      <c r="K868" s="39"/>
      <c r="O868" s="39"/>
      <c r="Q868" s="39"/>
      <c r="R868" s="39"/>
      <c r="S868" s="39"/>
      <c r="U868" s="39"/>
      <c r="V868" s="39"/>
      <c r="W868" s="39"/>
      <c r="X868" s="39"/>
      <c r="Y868" s="39"/>
      <c r="Z868" s="39"/>
      <c r="AA868" s="39"/>
      <c r="AB868" s="39"/>
    </row>
    <row r="869">
      <c r="C869" s="39"/>
      <c r="J869" s="39"/>
      <c r="K869" s="39"/>
      <c r="O869" s="39"/>
      <c r="Q869" s="39"/>
      <c r="R869" s="39"/>
      <c r="S869" s="39"/>
      <c r="U869" s="39"/>
      <c r="V869" s="39"/>
      <c r="W869" s="39"/>
      <c r="X869" s="39"/>
      <c r="Y869" s="39"/>
      <c r="Z869" s="39"/>
      <c r="AA869" s="39"/>
      <c r="AB869" s="39"/>
    </row>
    <row r="870">
      <c r="C870" s="39"/>
      <c r="J870" s="39"/>
      <c r="K870" s="39"/>
      <c r="O870" s="39"/>
      <c r="Q870" s="39"/>
      <c r="R870" s="39"/>
      <c r="S870" s="39"/>
      <c r="U870" s="39"/>
      <c r="V870" s="39"/>
      <c r="W870" s="39"/>
      <c r="X870" s="39"/>
      <c r="Y870" s="39"/>
      <c r="Z870" s="39"/>
      <c r="AA870" s="39"/>
      <c r="AB870" s="39"/>
    </row>
    <row r="871">
      <c r="C871" s="39"/>
      <c r="J871" s="39"/>
      <c r="K871" s="39"/>
      <c r="O871" s="39"/>
      <c r="Q871" s="39"/>
      <c r="R871" s="39"/>
      <c r="S871" s="39"/>
      <c r="U871" s="39"/>
      <c r="V871" s="39"/>
      <c r="W871" s="39"/>
      <c r="X871" s="39"/>
      <c r="Y871" s="39"/>
      <c r="Z871" s="39"/>
      <c r="AA871" s="39"/>
      <c r="AB871" s="39"/>
    </row>
    <row r="872">
      <c r="C872" s="39"/>
      <c r="J872" s="39"/>
      <c r="K872" s="39"/>
      <c r="O872" s="39"/>
      <c r="Q872" s="39"/>
      <c r="R872" s="39"/>
      <c r="S872" s="39"/>
      <c r="U872" s="39"/>
      <c r="V872" s="39"/>
      <c r="W872" s="39"/>
      <c r="X872" s="39"/>
      <c r="Y872" s="39"/>
      <c r="Z872" s="39"/>
      <c r="AA872" s="39"/>
      <c r="AB872" s="39"/>
    </row>
    <row r="873">
      <c r="C873" s="39"/>
      <c r="J873" s="39"/>
      <c r="K873" s="39"/>
      <c r="O873" s="39"/>
      <c r="Q873" s="39"/>
      <c r="R873" s="39"/>
      <c r="S873" s="39"/>
      <c r="U873" s="39"/>
      <c r="V873" s="39"/>
      <c r="W873" s="39"/>
      <c r="X873" s="39"/>
      <c r="Y873" s="39"/>
      <c r="Z873" s="39"/>
      <c r="AA873" s="39"/>
      <c r="AB873" s="39"/>
    </row>
    <row r="874">
      <c r="C874" s="39"/>
      <c r="J874" s="39"/>
      <c r="K874" s="39"/>
      <c r="O874" s="39"/>
      <c r="Q874" s="39"/>
      <c r="R874" s="39"/>
      <c r="S874" s="39"/>
      <c r="U874" s="39"/>
      <c r="V874" s="39"/>
      <c r="W874" s="39"/>
      <c r="X874" s="39"/>
      <c r="Y874" s="39"/>
      <c r="Z874" s="39"/>
      <c r="AA874" s="39"/>
      <c r="AB874" s="39"/>
    </row>
    <row r="875">
      <c r="C875" s="39"/>
      <c r="J875" s="39"/>
      <c r="K875" s="39"/>
      <c r="O875" s="39"/>
      <c r="Q875" s="39"/>
      <c r="R875" s="39"/>
      <c r="S875" s="39"/>
      <c r="U875" s="39"/>
      <c r="V875" s="39"/>
      <c r="W875" s="39"/>
      <c r="X875" s="39"/>
      <c r="Y875" s="39"/>
      <c r="Z875" s="39"/>
      <c r="AA875" s="39"/>
      <c r="AB875" s="39"/>
    </row>
    <row r="876">
      <c r="C876" s="39"/>
      <c r="J876" s="39"/>
      <c r="K876" s="39"/>
      <c r="O876" s="39"/>
      <c r="Q876" s="39"/>
      <c r="R876" s="39"/>
      <c r="S876" s="39"/>
      <c r="U876" s="39"/>
      <c r="V876" s="39"/>
      <c r="W876" s="39"/>
      <c r="X876" s="39"/>
      <c r="Y876" s="39"/>
      <c r="Z876" s="39"/>
      <c r="AA876" s="39"/>
      <c r="AB876" s="39"/>
    </row>
    <row r="877">
      <c r="C877" s="39"/>
      <c r="J877" s="39"/>
      <c r="K877" s="39"/>
      <c r="O877" s="39"/>
      <c r="Q877" s="39"/>
      <c r="R877" s="39"/>
      <c r="S877" s="39"/>
      <c r="U877" s="39"/>
      <c r="V877" s="39"/>
      <c r="W877" s="39"/>
      <c r="X877" s="39"/>
      <c r="Y877" s="39"/>
      <c r="Z877" s="39"/>
      <c r="AA877" s="39"/>
      <c r="AB877" s="39"/>
    </row>
    <row r="878">
      <c r="C878" s="39"/>
      <c r="J878" s="39"/>
      <c r="K878" s="39"/>
      <c r="O878" s="39"/>
      <c r="Q878" s="39"/>
      <c r="R878" s="39"/>
      <c r="S878" s="39"/>
      <c r="U878" s="39"/>
      <c r="V878" s="39"/>
      <c r="W878" s="39"/>
      <c r="X878" s="39"/>
      <c r="Y878" s="39"/>
      <c r="Z878" s="39"/>
      <c r="AA878" s="39"/>
      <c r="AB878" s="39"/>
    </row>
    <row r="879">
      <c r="C879" s="39"/>
      <c r="J879" s="39"/>
      <c r="K879" s="39"/>
      <c r="O879" s="39"/>
      <c r="Q879" s="39"/>
      <c r="R879" s="39"/>
      <c r="S879" s="39"/>
      <c r="U879" s="39"/>
      <c r="V879" s="39"/>
      <c r="W879" s="39"/>
      <c r="X879" s="39"/>
      <c r="Y879" s="39"/>
      <c r="Z879" s="39"/>
      <c r="AA879" s="39"/>
      <c r="AB879" s="39"/>
    </row>
    <row r="880">
      <c r="C880" s="39"/>
      <c r="J880" s="39"/>
      <c r="K880" s="39"/>
      <c r="O880" s="39"/>
      <c r="Q880" s="39"/>
      <c r="R880" s="39"/>
      <c r="S880" s="39"/>
      <c r="U880" s="39"/>
      <c r="V880" s="39"/>
      <c r="W880" s="39"/>
      <c r="X880" s="39"/>
      <c r="Y880" s="39"/>
      <c r="Z880" s="39"/>
      <c r="AA880" s="39"/>
      <c r="AB880" s="39"/>
    </row>
    <row r="881">
      <c r="C881" s="39"/>
      <c r="J881" s="39"/>
      <c r="K881" s="39"/>
      <c r="O881" s="39"/>
      <c r="Q881" s="39"/>
      <c r="R881" s="39"/>
      <c r="S881" s="39"/>
      <c r="U881" s="39"/>
      <c r="V881" s="39"/>
      <c r="W881" s="39"/>
      <c r="X881" s="39"/>
      <c r="Y881" s="39"/>
      <c r="Z881" s="39"/>
      <c r="AA881" s="39"/>
      <c r="AB881" s="39"/>
    </row>
    <row r="882">
      <c r="C882" s="39"/>
      <c r="J882" s="39"/>
      <c r="K882" s="39"/>
      <c r="O882" s="39"/>
      <c r="Q882" s="39"/>
      <c r="R882" s="39"/>
      <c r="S882" s="39"/>
      <c r="U882" s="39"/>
      <c r="V882" s="39"/>
      <c r="W882" s="39"/>
      <c r="X882" s="39"/>
      <c r="Y882" s="39"/>
      <c r="Z882" s="39"/>
      <c r="AA882" s="39"/>
      <c r="AB882" s="39"/>
    </row>
    <row r="883">
      <c r="C883" s="39"/>
      <c r="J883" s="39"/>
      <c r="K883" s="39"/>
      <c r="O883" s="39"/>
      <c r="Q883" s="39"/>
      <c r="R883" s="39"/>
      <c r="S883" s="39"/>
      <c r="U883" s="39"/>
      <c r="V883" s="39"/>
      <c r="W883" s="39"/>
      <c r="X883" s="39"/>
      <c r="Y883" s="39"/>
      <c r="Z883" s="39"/>
      <c r="AA883" s="39"/>
      <c r="AB883" s="39"/>
    </row>
    <row r="884">
      <c r="C884" s="39"/>
      <c r="J884" s="39"/>
      <c r="K884" s="39"/>
      <c r="O884" s="39"/>
      <c r="Q884" s="39"/>
      <c r="R884" s="39"/>
      <c r="S884" s="39"/>
      <c r="U884" s="39"/>
      <c r="V884" s="39"/>
      <c r="W884" s="39"/>
      <c r="X884" s="39"/>
      <c r="Y884" s="39"/>
      <c r="Z884" s="39"/>
      <c r="AA884" s="39"/>
      <c r="AB884" s="39"/>
    </row>
    <row r="885">
      <c r="C885" s="39"/>
      <c r="J885" s="39"/>
      <c r="K885" s="39"/>
      <c r="O885" s="39"/>
      <c r="Q885" s="39"/>
      <c r="R885" s="39"/>
      <c r="S885" s="39"/>
      <c r="U885" s="39"/>
      <c r="V885" s="39"/>
      <c r="W885" s="39"/>
      <c r="X885" s="39"/>
      <c r="Y885" s="39"/>
      <c r="Z885" s="39"/>
      <c r="AA885" s="39"/>
      <c r="AB885" s="39"/>
    </row>
    <row r="886">
      <c r="C886" s="39"/>
      <c r="J886" s="39"/>
      <c r="K886" s="39"/>
      <c r="O886" s="39"/>
      <c r="Q886" s="39"/>
      <c r="R886" s="39"/>
      <c r="S886" s="39"/>
      <c r="U886" s="39"/>
      <c r="V886" s="39"/>
      <c r="W886" s="39"/>
      <c r="X886" s="39"/>
      <c r="Y886" s="39"/>
      <c r="Z886" s="39"/>
      <c r="AA886" s="39"/>
      <c r="AB886" s="39"/>
    </row>
    <row r="887">
      <c r="C887" s="39"/>
      <c r="J887" s="39"/>
      <c r="K887" s="39"/>
      <c r="O887" s="39"/>
      <c r="Q887" s="39"/>
      <c r="R887" s="39"/>
      <c r="S887" s="39"/>
      <c r="U887" s="39"/>
      <c r="V887" s="39"/>
      <c r="W887" s="39"/>
      <c r="X887" s="39"/>
      <c r="Y887" s="39"/>
      <c r="Z887" s="39"/>
      <c r="AA887" s="39"/>
      <c r="AB887" s="39"/>
    </row>
    <row r="888">
      <c r="C888" s="39"/>
      <c r="J888" s="39"/>
      <c r="K888" s="39"/>
      <c r="O888" s="39"/>
      <c r="Q888" s="39"/>
      <c r="R888" s="39"/>
      <c r="S888" s="39"/>
      <c r="U888" s="39"/>
      <c r="V888" s="39"/>
      <c r="W888" s="39"/>
      <c r="X888" s="39"/>
      <c r="Y888" s="39"/>
      <c r="Z888" s="39"/>
      <c r="AA888" s="39"/>
      <c r="AB888" s="39"/>
    </row>
    <row r="889">
      <c r="C889" s="39"/>
      <c r="J889" s="39"/>
      <c r="K889" s="39"/>
      <c r="O889" s="39"/>
      <c r="Q889" s="39"/>
      <c r="R889" s="39"/>
      <c r="S889" s="39"/>
      <c r="U889" s="39"/>
      <c r="V889" s="39"/>
      <c r="W889" s="39"/>
      <c r="X889" s="39"/>
      <c r="Y889" s="39"/>
      <c r="Z889" s="39"/>
      <c r="AA889" s="39"/>
      <c r="AB889" s="39"/>
    </row>
    <row r="890">
      <c r="C890" s="39"/>
      <c r="J890" s="39"/>
      <c r="K890" s="39"/>
      <c r="O890" s="39"/>
      <c r="Q890" s="39"/>
      <c r="R890" s="39"/>
      <c r="S890" s="39"/>
      <c r="U890" s="39"/>
      <c r="V890" s="39"/>
      <c r="W890" s="39"/>
      <c r="X890" s="39"/>
      <c r="Y890" s="39"/>
      <c r="Z890" s="39"/>
      <c r="AA890" s="39"/>
      <c r="AB890" s="39"/>
    </row>
    <row r="891">
      <c r="C891" s="39"/>
      <c r="J891" s="39"/>
      <c r="K891" s="39"/>
      <c r="O891" s="39"/>
      <c r="Q891" s="39"/>
      <c r="R891" s="39"/>
      <c r="S891" s="39"/>
      <c r="U891" s="39"/>
      <c r="V891" s="39"/>
      <c r="W891" s="39"/>
      <c r="X891" s="39"/>
      <c r="Y891" s="39"/>
      <c r="Z891" s="39"/>
      <c r="AA891" s="39"/>
      <c r="AB891" s="39"/>
    </row>
    <row r="892">
      <c r="C892" s="39"/>
      <c r="J892" s="39"/>
      <c r="K892" s="39"/>
      <c r="O892" s="39"/>
      <c r="Q892" s="39"/>
      <c r="R892" s="39"/>
      <c r="S892" s="39"/>
      <c r="U892" s="39"/>
      <c r="V892" s="39"/>
      <c r="W892" s="39"/>
      <c r="X892" s="39"/>
      <c r="Y892" s="39"/>
      <c r="Z892" s="39"/>
      <c r="AA892" s="39"/>
      <c r="AB892" s="39"/>
    </row>
    <row r="893">
      <c r="C893" s="39"/>
      <c r="J893" s="39"/>
      <c r="K893" s="39"/>
      <c r="O893" s="39"/>
      <c r="Q893" s="39"/>
      <c r="R893" s="39"/>
      <c r="S893" s="39"/>
      <c r="U893" s="39"/>
      <c r="V893" s="39"/>
      <c r="W893" s="39"/>
      <c r="X893" s="39"/>
      <c r="Y893" s="39"/>
      <c r="Z893" s="39"/>
      <c r="AA893" s="39"/>
      <c r="AB893" s="39"/>
    </row>
    <row r="894">
      <c r="C894" s="39"/>
      <c r="J894" s="39"/>
      <c r="K894" s="39"/>
      <c r="O894" s="39"/>
      <c r="Q894" s="39"/>
      <c r="R894" s="39"/>
      <c r="S894" s="39"/>
      <c r="U894" s="39"/>
      <c r="V894" s="39"/>
      <c r="W894" s="39"/>
      <c r="X894" s="39"/>
      <c r="Y894" s="39"/>
      <c r="Z894" s="39"/>
      <c r="AA894" s="39"/>
      <c r="AB894" s="39"/>
    </row>
    <row r="895">
      <c r="C895" s="39"/>
      <c r="J895" s="39"/>
      <c r="K895" s="39"/>
      <c r="O895" s="39"/>
      <c r="Q895" s="39"/>
      <c r="R895" s="39"/>
      <c r="S895" s="39"/>
      <c r="U895" s="39"/>
      <c r="V895" s="39"/>
      <c r="W895" s="39"/>
      <c r="X895" s="39"/>
      <c r="Y895" s="39"/>
      <c r="Z895" s="39"/>
      <c r="AA895" s="39"/>
      <c r="AB895" s="39"/>
    </row>
    <row r="896">
      <c r="C896" s="39"/>
      <c r="J896" s="39"/>
      <c r="K896" s="39"/>
      <c r="O896" s="39"/>
      <c r="Q896" s="39"/>
      <c r="R896" s="39"/>
      <c r="S896" s="39"/>
      <c r="U896" s="39"/>
      <c r="V896" s="39"/>
      <c r="W896" s="39"/>
      <c r="X896" s="39"/>
      <c r="Y896" s="39"/>
      <c r="Z896" s="39"/>
      <c r="AA896" s="39"/>
      <c r="AB896" s="39"/>
    </row>
    <row r="897">
      <c r="C897" s="39"/>
      <c r="J897" s="39"/>
      <c r="K897" s="39"/>
      <c r="O897" s="39"/>
      <c r="Q897" s="39"/>
      <c r="R897" s="39"/>
      <c r="S897" s="39"/>
      <c r="U897" s="39"/>
      <c r="V897" s="39"/>
      <c r="W897" s="39"/>
      <c r="X897" s="39"/>
      <c r="Y897" s="39"/>
      <c r="Z897" s="39"/>
      <c r="AA897" s="39"/>
      <c r="AB897" s="39"/>
    </row>
    <row r="898">
      <c r="C898" s="39"/>
      <c r="J898" s="39"/>
      <c r="K898" s="39"/>
      <c r="O898" s="39"/>
      <c r="Q898" s="39"/>
      <c r="R898" s="39"/>
      <c r="S898" s="39"/>
      <c r="U898" s="39"/>
      <c r="V898" s="39"/>
      <c r="W898" s="39"/>
      <c r="X898" s="39"/>
      <c r="Y898" s="39"/>
      <c r="Z898" s="39"/>
      <c r="AA898" s="39"/>
      <c r="AB898" s="39"/>
    </row>
    <row r="899">
      <c r="C899" s="39"/>
      <c r="J899" s="39"/>
      <c r="K899" s="39"/>
      <c r="O899" s="39"/>
      <c r="Q899" s="39"/>
      <c r="R899" s="39"/>
      <c r="S899" s="39"/>
      <c r="U899" s="39"/>
      <c r="V899" s="39"/>
      <c r="W899" s="39"/>
      <c r="X899" s="39"/>
      <c r="Y899" s="39"/>
      <c r="Z899" s="39"/>
      <c r="AA899" s="39"/>
      <c r="AB899" s="39"/>
    </row>
    <row r="900">
      <c r="C900" s="39"/>
      <c r="J900" s="39"/>
      <c r="K900" s="39"/>
      <c r="O900" s="39"/>
      <c r="Q900" s="39"/>
      <c r="R900" s="39"/>
      <c r="S900" s="39"/>
      <c r="U900" s="39"/>
      <c r="V900" s="39"/>
      <c r="W900" s="39"/>
      <c r="X900" s="39"/>
      <c r="Y900" s="39"/>
      <c r="Z900" s="39"/>
      <c r="AA900" s="39"/>
      <c r="AB900" s="39"/>
    </row>
    <row r="901">
      <c r="C901" s="39"/>
      <c r="J901" s="39"/>
      <c r="K901" s="39"/>
      <c r="O901" s="39"/>
      <c r="Q901" s="39"/>
      <c r="R901" s="39"/>
      <c r="S901" s="39"/>
      <c r="U901" s="39"/>
      <c r="V901" s="39"/>
      <c r="W901" s="39"/>
      <c r="X901" s="39"/>
      <c r="Y901" s="39"/>
      <c r="Z901" s="39"/>
      <c r="AA901" s="39"/>
      <c r="AB901" s="39"/>
    </row>
    <row r="902">
      <c r="C902" s="39"/>
      <c r="J902" s="39"/>
      <c r="K902" s="39"/>
      <c r="O902" s="39"/>
      <c r="Q902" s="39"/>
      <c r="R902" s="39"/>
      <c r="S902" s="39"/>
      <c r="U902" s="39"/>
      <c r="V902" s="39"/>
      <c r="W902" s="39"/>
      <c r="X902" s="39"/>
      <c r="Y902" s="39"/>
      <c r="Z902" s="39"/>
      <c r="AA902" s="39"/>
      <c r="AB902" s="39"/>
    </row>
    <row r="903">
      <c r="C903" s="39"/>
      <c r="J903" s="39"/>
      <c r="K903" s="39"/>
      <c r="O903" s="39"/>
      <c r="Q903" s="39"/>
      <c r="R903" s="39"/>
      <c r="S903" s="39"/>
      <c r="U903" s="39"/>
      <c r="V903" s="39"/>
      <c r="W903" s="39"/>
      <c r="X903" s="39"/>
      <c r="Y903" s="39"/>
      <c r="Z903" s="39"/>
      <c r="AA903" s="39"/>
      <c r="AB903" s="39"/>
    </row>
    <row r="904">
      <c r="C904" s="39"/>
      <c r="J904" s="39"/>
      <c r="K904" s="39"/>
      <c r="O904" s="39"/>
      <c r="Q904" s="39"/>
      <c r="R904" s="39"/>
      <c r="S904" s="39"/>
      <c r="U904" s="39"/>
      <c r="V904" s="39"/>
      <c r="W904" s="39"/>
      <c r="X904" s="39"/>
      <c r="Y904" s="39"/>
      <c r="Z904" s="39"/>
      <c r="AA904" s="39"/>
      <c r="AB904" s="39"/>
    </row>
    <row r="905">
      <c r="C905" s="39"/>
      <c r="J905" s="39"/>
      <c r="K905" s="39"/>
      <c r="O905" s="39"/>
      <c r="Q905" s="39"/>
      <c r="R905" s="39"/>
      <c r="S905" s="39"/>
      <c r="U905" s="39"/>
      <c r="V905" s="39"/>
      <c r="W905" s="39"/>
      <c r="X905" s="39"/>
      <c r="Y905" s="39"/>
      <c r="Z905" s="39"/>
      <c r="AA905" s="39"/>
      <c r="AB905" s="39"/>
    </row>
    <row r="906">
      <c r="C906" s="39"/>
      <c r="J906" s="39"/>
      <c r="K906" s="39"/>
      <c r="O906" s="39"/>
      <c r="Q906" s="39"/>
      <c r="R906" s="39"/>
      <c r="S906" s="39"/>
      <c r="U906" s="39"/>
      <c r="V906" s="39"/>
      <c r="W906" s="39"/>
      <c r="X906" s="39"/>
      <c r="Y906" s="39"/>
      <c r="Z906" s="39"/>
      <c r="AA906" s="39"/>
      <c r="AB906" s="39"/>
    </row>
    <row r="907">
      <c r="C907" s="39"/>
      <c r="J907" s="39"/>
      <c r="K907" s="39"/>
      <c r="O907" s="39"/>
      <c r="Q907" s="39"/>
      <c r="R907" s="39"/>
      <c r="S907" s="39"/>
      <c r="U907" s="39"/>
      <c r="V907" s="39"/>
      <c r="W907" s="39"/>
      <c r="X907" s="39"/>
      <c r="Y907" s="39"/>
      <c r="Z907" s="39"/>
      <c r="AA907" s="39"/>
      <c r="AB907" s="39"/>
    </row>
    <row r="908">
      <c r="C908" s="39"/>
      <c r="J908" s="39"/>
      <c r="K908" s="39"/>
      <c r="O908" s="39"/>
      <c r="Q908" s="39"/>
      <c r="R908" s="39"/>
      <c r="S908" s="39"/>
      <c r="U908" s="39"/>
      <c r="V908" s="39"/>
      <c r="W908" s="39"/>
      <c r="X908" s="39"/>
      <c r="Y908" s="39"/>
      <c r="Z908" s="39"/>
      <c r="AA908" s="39"/>
      <c r="AB908" s="39"/>
    </row>
    <row r="909">
      <c r="C909" s="39"/>
      <c r="J909" s="39"/>
      <c r="K909" s="39"/>
      <c r="O909" s="39"/>
      <c r="Q909" s="39"/>
      <c r="R909" s="39"/>
      <c r="S909" s="39"/>
      <c r="U909" s="39"/>
      <c r="V909" s="39"/>
      <c r="W909" s="39"/>
      <c r="X909" s="39"/>
      <c r="Y909" s="39"/>
      <c r="Z909" s="39"/>
      <c r="AA909" s="39"/>
      <c r="AB909" s="39"/>
    </row>
    <row r="910">
      <c r="C910" s="39"/>
      <c r="J910" s="39"/>
      <c r="K910" s="39"/>
      <c r="O910" s="39"/>
      <c r="Q910" s="39"/>
      <c r="R910" s="39"/>
      <c r="S910" s="39"/>
      <c r="U910" s="39"/>
      <c r="V910" s="39"/>
      <c r="W910" s="39"/>
      <c r="X910" s="39"/>
      <c r="Y910" s="39"/>
      <c r="Z910" s="39"/>
      <c r="AA910" s="39"/>
      <c r="AB910" s="39"/>
    </row>
    <row r="911">
      <c r="C911" s="39"/>
      <c r="J911" s="39"/>
      <c r="K911" s="39"/>
      <c r="O911" s="39"/>
      <c r="Q911" s="39"/>
      <c r="R911" s="39"/>
      <c r="S911" s="39"/>
      <c r="U911" s="39"/>
      <c r="V911" s="39"/>
      <c r="W911" s="39"/>
      <c r="X911" s="39"/>
      <c r="Y911" s="39"/>
      <c r="Z911" s="39"/>
      <c r="AA911" s="39"/>
      <c r="AB911" s="39"/>
    </row>
    <row r="912">
      <c r="C912" s="39"/>
      <c r="J912" s="39"/>
      <c r="K912" s="39"/>
      <c r="O912" s="39"/>
      <c r="Q912" s="39"/>
      <c r="R912" s="39"/>
      <c r="S912" s="39"/>
      <c r="U912" s="39"/>
      <c r="V912" s="39"/>
      <c r="W912" s="39"/>
      <c r="X912" s="39"/>
      <c r="Y912" s="39"/>
      <c r="Z912" s="39"/>
      <c r="AA912" s="39"/>
      <c r="AB912" s="39"/>
    </row>
    <row r="913">
      <c r="C913" s="39"/>
      <c r="J913" s="39"/>
      <c r="K913" s="39"/>
      <c r="O913" s="39"/>
      <c r="Q913" s="39"/>
      <c r="R913" s="39"/>
      <c r="S913" s="39"/>
      <c r="U913" s="39"/>
      <c r="V913" s="39"/>
      <c r="W913" s="39"/>
      <c r="X913" s="39"/>
      <c r="Y913" s="39"/>
      <c r="Z913" s="39"/>
      <c r="AA913" s="39"/>
      <c r="AB913" s="39"/>
    </row>
    <row r="914">
      <c r="C914" s="39"/>
      <c r="J914" s="39"/>
      <c r="K914" s="39"/>
      <c r="O914" s="39"/>
      <c r="Q914" s="39"/>
      <c r="R914" s="39"/>
      <c r="S914" s="39"/>
      <c r="U914" s="39"/>
      <c r="V914" s="39"/>
      <c r="W914" s="39"/>
      <c r="X914" s="39"/>
      <c r="Y914" s="39"/>
      <c r="Z914" s="39"/>
      <c r="AA914" s="39"/>
      <c r="AB914" s="39"/>
    </row>
    <row r="915">
      <c r="C915" s="39"/>
      <c r="J915" s="39"/>
      <c r="K915" s="39"/>
      <c r="O915" s="39"/>
      <c r="Q915" s="39"/>
      <c r="R915" s="39"/>
      <c r="S915" s="39"/>
      <c r="U915" s="39"/>
      <c r="V915" s="39"/>
      <c r="W915" s="39"/>
      <c r="X915" s="39"/>
      <c r="Y915" s="39"/>
      <c r="Z915" s="39"/>
      <c r="AA915" s="39"/>
      <c r="AB915" s="39"/>
    </row>
    <row r="916">
      <c r="C916" s="39"/>
      <c r="J916" s="39"/>
      <c r="K916" s="39"/>
      <c r="O916" s="39"/>
      <c r="Q916" s="39"/>
      <c r="R916" s="39"/>
      <c r="S916" s="39"/>
      <c r="U916" s="39"/>
      <c r="V916" s="39"/>
      <c r="W916" s="39"/>
      <c r="X916" s="39"/>
      <c r="Y916" s="39"/>
      <c r="Z916" s="39"/>
      <c r="AA916" s="39"/>
      <c r="AB916" s="39"/>
    </row>
    <row r="917">
      <c r="C917" s="39"/>
      <c r="J917" s="39"/>
      <c r="K917" s="39"/>
      <c r="O917" s="39"/>
      <c r="Q917" s="39"/>
      <c r="R917" s="39"/>
      <c r="S917" s="39"/>
      <c r="U917" s="39"/>
      <c r="V917" s="39"/>
      <c r="W917" s="39"/>
      <c r="X917" s="39"/>
      <c r="Y917" s="39"/>
      <c r="Z917" s="39"/>
      <c r="AA917" s="39"/>
      <c r="AB917" s="39"/>
    </row>
    <row r="918">
      <c r="C918" s="39"/>
      <c r="J918" s="39"/>
      <c r="K918" s="39"/>
      <c r="O918" s="39"/>
      <c r="Q918" s="39"/>
      <c r="R918" s="39"/>
      <c r="S918" s="39"/>
      <c r="U918" s="39"/>
      <c r="V918" s="39"/>
      <c r="W918" s="39"/>
      <c r="X918" s="39"/>
      <c r="Y918" s="39"/>
      <c r="Z918" s="39"/>
      <c r="AA918" s="39"/>
      <c r="AB918" s="39"/>
    </row>
    <row r="919">
      <c r="C919" s="39"/>
      <c r="J919" s="39"/>
      <c r="K919" s="39"/>
      <c r="O919" s="39"/>
      <c r="Q919" s="39"/>
      <c r="R919" s="39"/>
      <c r="S919" s="39"/>
      <c r="U919" s="39"/>
      <c r="V919" s="39"/>
      <c r="W919" s="39"/>
      <c r="X919" s="39"/>
      <c r="Y919" s="39"/>
      <c r="Z919" s="39"/>
      <c r="AA919" s="39"/>
      <c r="AB919" s="39"/>
    </row>
    <row r="920">
      <c r="C920" s="39"/>
      <c r="J920" s="39"/>
      <c r="K920" s="39"/>
      <c r="O920" s="39"/>
      <c r="Q920" s="39"/>
      <c r="R920" s="39"/>
      <c r="S920" s="39"/>
      <c r="U920" s="39"/>
      <c r="V920" s="39"/>
      <c r="W920" s="39"/>
      <c r="X920" s="39"/>
      <c r="Y920" s="39"/>
      <c r="Z920" s="39"/>
      <c r="AA920" s="39"/>
      <c r="AB920" s="39"/>
    </row>
    <row r="921">
      <c r="C921" s="39"/>
      <c r="J921" s="39"/>
      <c r="K921" s="39"/>
      <c r="O921" s="39"/>
      <c r="Q921" s="39"/>
      <c r="R921" s="39"/>
      <c r="S921" s="39"/>
      <c r="U921" s="39"/>
      <c r="V921" s="39"/>
      <c r="W921" s="39"/>
      <c r="X921" s="39"/>
      <c r="Y921" s="39"/>
      <c r="Z921" s="39"/>
      <c r="AA921" s="39"/>
      <c r="AB921" s="39"/>
    </row>
    <row r="922">
      <c r="C922" s="39"/>
      <c r="J922" s="39"/>
      <c r="K922" s="39"/>
      <c r="O922" s="39"/>
      <c r="Q922" s="39"/>
      <c r="R922" s="39"/>
      <c r="S922" s="39"/>
      <c r="U922" s="39"/>
      <c r="V922" s="39"/>
      <c r="W922" s="39"/>
      <c r="X922" s="39"/>
      <c r="Y922" s="39"/>
      <c r="Z922" s="39"/>
      <c r="AA922" s="39"/>
      <c r="AB922" s="39"/>
    </row>
    <row r="923">
      <c r="C923" s="39"/>
      <c r="J923" s="39"/>
      <c r="K923" s="39"/>
      <c r="O923" s="39"/>
      <c r="Q923" s="39"/>
      <c r="R923" s="39"/>
      <c r="S923" s="39"/>
      <c r="U923" s="39"/>
      <c r="V923" s="39"/>
      <c r="W923" s="39"/>
      <c r="X923" s="39"/>
      <c r="Y923" s="39"/>
      <c r="Z923" s="39"/>
      <c r="AA923" s="39"/>
      <c r="AB923" s="39"/>
    </row>
    <row r="924">
      <c r="C924" s="39"/>
      <c r="J924" s="39"/>
      <c r="K924" s="39"/>
      <c r="O924" s="39"/>
      <c r="Q924" s="39"/>
      <c r="R924" s="39"/>
      <c r="S924" s="39"/>
      <c r="U924" s="39"/>
      <c r="V924" s="39"/>
      <c r="W924" s="39"/>
      <c r="X924" s="39"/>
      <c r="Y924" s="39"/>
      <c r="Z924" s="39"/>
      <c r="AA924" s="39"/>
      <c r="AB924" s="39"/>
    </row>
    <row r="925">
      <c r="C925" s="39"/>
      <c r="J925" s="39"/>
      <c r="K925" s="39"/>
      <c r="O925" s="39"/>
      <c r="Q925" s="39"/>
      <c r="R925" s="39"/>
      <c r="S925" s="39"/>
      <c r="U925" s="39"/>
      <c r="V925" s="39"/>
      <c r="W925" s="39"/>
      <c r="X925" s="39"/>
      <c r="Y925" s="39"/>
      <c r="Z925" s="39"/>
      <c r="AA925" s="39"/>
      <c r="AB925" s="39"/>
    </row>
    <row r="926">
      <c r="C926" s="39"/>
      <c r="J926" s="39"/>
      <c r="K926" s="39"/>
      <c r="O926" s="39"/>
      <c r="Q926" s="39"/>
      <c r="R926" s="39"/>
      <c r="S926" s="39"/>
      <c r="U926" s="39"/>
      <c r="V926" s="39"/>
      <c r="W926" s="39"/>
      <c r="X926" s="39"/>
      <c r="Y926" s="39"/>
      <c r="Z926" s="39"/>
      <c r="AA926" s="39"/>
      <c r="AB926" s="39"/>
    </row>
    <row r="927">
      <c r="C927" s="39"/>
      <c r="J927" s="39"/>
      <c r="K927" s="39"/>
      <c r="O927" s="39"/>
      <c r="Q927" s="39"/>
      <c r="R927" s="39"/>
      <c r="S927" s="39"/>
      <c r="U927" s="39"/>
      <c r="V927" s="39"/>
      <c r="W927" s="39"/>
      <c r="X927" s="39"/>
      <c r="Y927" s="39"/>
      <c r="Z927" s="39"/>
      <c r="AA927" s="39"/>
      <c r="AB927" s="39"/>
    </row>
    <row r="928">
      <c r="C928" s="39"/>
      <c r="J928" s="39"/>
      <c r="K928" s="39"/>
      <c r="O928" s="39"/>
      <c r="Q928" s="39"/>
      <c r="R928" s="39"/>
      <c r="S928" s="39"/>
      <c r="U928" s="39"/>
      <c r="V928" s="39"/>
      <c r="W928" s="39"/>
      <c r="X928" s="39"/>
      <c r="Y928" s="39"/>
      <c r="Z928" s="39"/>
      <c r="AA928" s="39"/>
      <c r="AB928" s="39"/>
    </row>
    <row r="929">
      <c r="C929" s="39"/>
      <c r="J929" s="39"/>
      <c r="K929" s="39"/>
      <c r="O929" s="39"/>
      <c r="Q929" s="39"/>
      <c r="R929" s="39"/>
      <c r="S929" s="39"/>
      <c r="U929" s="39"/>
      <c r="V929" s="39"/>
      <c r="W929" s="39"/>
      <c r="X929" s="39"/>
      <c r="Y929" s="39"/>
      <c r="Z929" s="39"/>
      <c r="AA929" s="39"/>
      <c r="AB929" s="39"/>
    </row>
    <row r="930">
      <c r="C930" s="39"/>
      <c r="J930" s="39"/>
      <c r="K930" s="39"/>
      <c r="O930" s="39"/>
      <c r="Q930" s="39"/>
      <c r="R930" s="39"/>
      <c r="S930" s="39"/>
      <c r="U930" s="39"/>
      <c r="V930" s="39"/>
      <c r="W930" s="39"/>
      <c r="X930" s="39"/>
      <c r="Y930" s="39"/>
      <c r="Z930" s="39"/>
      <c r="AA930" s="39"/>
      <c r="AB930" s="39"/>
    </row>
    <row r="931">
      <c r="C931" s="39"/>
      <c r="J931" s="39"/>
      <c r="K931" s="39"/>
      <c r="O931" s="39"/>
      <c r="Q931" s="39"/>
      <c r="R931" s="39"/>
      <c r="S931" s="39"/>
      <c r="U931" s="39"/>
      <c r="V931" s="39"/>
      <c r="W931" s="39"/>
      <c r="X931" s="39"/>
      <c r="Y931" s="39"/>
      <c r="Z931" s="39"/>
      <c r="AA931" s="39"/>
      <c r="AB931" s="39"/>
    </row>
    <row r="932">
      <c r="C932" s="39"/>
      <c r="J932" s="39"/>
      <c r="K932" s="39"/>
      <c r="O932" s="39"/>
      <c r="Q932" s="39"/>
      <c r="R932" s="39"/>
      <c r="S932" s="39"/>
      <c r="U932" s="39"/>
      <c r="V932" s="39"/>
      <c r="W932" s="39"/>
      <c r="X932" s="39"/>
      <c r="Y932" s="39"/>
      <c r="Z932" s="39"/>
      <c r="AA932" s="39"/>
      <c r="AB932" s="39"/>
    </row>
    <row r="933">
      <c r="C933" s="39"/>
      <c r="J933" s="39"/>
      <c r="K933" s="39"/>
      <c r="O933" s="39"/>
      <c r="Q933" s="39"/>
      <c r="R933" s="39"/>
      <c r="S933" s="39"/>
      <c r="U933" s="39"/>
      <c r="V933" s="39"/>
      <c r="W933" s="39"/>
      <c r="X933" s="39"/>
      <c r="Y933" s="39"/>
      <c r="Z933" s="39"/>
      <c r="AA933" s="39"/>
      <c r="AB933" s="39"/>
    </row>
    <row r="934">
      <c r="C934" s="39"/>
      <c r="J934" s="39"/>
      <c r="K934" s="39"/>
      <c r="O934" s="39"/>
      <c r="Q934" s="39"/>
      <c r="R934" s="39"/>
      <c r="S934" s="39"/>
      <c r="U934" s="39"/>
      <c r="V934" s="39"/>
      <c r="W934" s="39"/>
      <c r="X934" s="39"/>
      <c r="Y934" s="39"/>
      <c r="Z934" s="39"/>
      <c r="AA934" s="39"/>
      <c r="AB934" s="39"/>
    </row>
    <row r="935">
      <c r="C935" s="39"/>
      <c r="J935" s="39"/>
      <c r="K935" s="39"/>
      <c r="O935" s="39"/>
      <c r="Q935" s="39"/>
      <c r="R935" s="39"/>
      <c r="S935" s="39"/>
      <c r="U935" s="39"/>
      <c r="V935" s="39"/>
      <c r="W935" s="39"/>
      <c r="X935" s="39"/>
      <c r="Y935" s="39"/>
      <c r="Z935" s="39"/>
      <c r="AA935" s="39"/>
      <c r="AB935" s="39"/>
    </row>
    <row r="936">
      <c r="C936" s="39"/>
      <c r="J936" s="39"/>
      <c r="K936" s="39"/>
      <c r="O936" s="39"/>
      <c r="Q936" s="39"/>
      <c r="R936" s="39"/>
      <c r="S936" s="39"/>
      <c r="U936" s="39"/>
      <c r="V936" s="39"/>
      <c r="W936" s="39"/>
      <c r="X936" s="39"/>
      <c r="Y936" s="39"/>
      <c r="Z936" s="39"/>
      <c r="AA936" s="39"/>
      <c r="AB936" s="39"/>
    </row>
    <row r="937">
      <c r="C937" s="39"/>
      <c r="J937" s="39"/>
      <c r="K937" s="39"/>
      <c r="O937" s="39"/>
      <c r="Q937" s="39"/>
      <c r="R937" s="39"/>
      <c r="S937" s="39"/>
      <c r="U937" s="39"/>
      <c r="V937" s="39"/>
      <c r="W937" s="39"/>
      <c r="X937" s="39"/>
      <c r="Y937" s="39"/>
      <c r="Z937" s="39"/>
      <c r="AA937" s="39"/>
      <c r="AB937" s="39"/>
    </row>
    <row r="938">
      <c r="C938" s="39"/>
      <c r="J938" s="39"/>
      <c r="K938" s="39"/>
      <c r="O938" s="39"/>
      <c r="Q938" s="39"/>
      <c r="R938" s="39"/>
      <c r="S938" s="39"/>
      <c r="U938" s="39"/>
      <c r="V938" s="39"/>
      <c r="W938" s="39"/>
      <c r="X938" s="39"/>
      <c r="Y938" s="39"/>
      <c r="Z938" s="39"/>
      <c r="AA938" s="39"/>
      <c r="AB938" s="39"/>
    </row>
    <row r="939">
      <c r="C939" s="39"/>
      <c r="J939" s="39"/>
      <c r="K939" s="39"/>
      <c r="O939" s="39"/>
      <c r="Q939" s="39"/>
      <c r="R939" s="39"/>
      <c r="S939" s="39"/>
      <c r="U939" s="39"/>
      <c r="V939" s="39"/>
      <c r="W939" s="39"/>
      <c r="X939" s="39"/>
      <c r="Y939" s="39"/>
      <c r="Z939" s="39"/>
      <c r="AA939" s="39"/>
      <c r="AB939" s="39"/>
    </row>
    <row r="940">
      <c r="C940" s="39"/>
      <c r="J940" s="39"/>
      <c r="K940" s="39"/>
      <c r="O940" s="39"/>
      <c r="Q940" s="39"/>
      <c r="R940" s="39"/>
      <c r="S940" s="39"/>
      <c r="U940" s="39"/>
      <c r="V940" s="39"/>
      <c r="W940" s="39"/>
      <c r="X940" s="39"/>
      <c r="Y940" s="39"/>
      <c r="Z940" s="39"/>
      <c r="AA940" s="39"/>
      <c r="AB940" s="39"/>
    </row>
    <row r="941">
      <c r="C941" s="39"/>
      <c r="J941" s="39"/>
      <c r="K941" s="39"/>
      <c r="O941" s="39"/>
      <c r="Q941" s="39"/>
      <c r="R941" s="39"/>
      <c r="S941" s="39"/>
      <c r="U941" s="39"/>
      <c r="V941" s="39"/>
      <c r="W941" s="39"/>
      <c r="X941" s="39"/>
      <c r="Y941" s="39"/>
      <c r="Z941" s="39"/>
      <c r="AA941" s="39"/>
      <c r="AB941" s="39"/>
    </row>
    <row r="942">
      <c r="C942" s="39"/>
      <c r="J942" s="39"/>
      <c r="K942" s="39"/>
      <c r="O942" s="39"/>
      <c r="Q942" s="39"/>
      <c r="R942" s="39"/>
      <c r="S942" s="39"/>
      <c r="U942" s="39"/>
      <c r="V942" s="39"/>
      <c r="W942" s="39"/>
      <c r="X942" s="39"/>
      <c r="Y942" s="39"/>
      <c r="Z942" s="39"/>
      <c r="AA942" s="39"/>
      <c r="AB942" s="39"/>
    </row>
    <row r="943">
      <c r="C943" s="39"/>
      <c r="J943" s="39"/>
      <c r="K943" s="39"/>
      <c r="O943" s="39"/>
      <c r="Q943" s="39"/>
      <c r="R943" s="39"/>
      <c r="S943" s="39"/>
      <c r="U943" s="39"/>
      <c r="V943" s="39"/>
      <c r="W943" s="39"/>
      <c r="X943" s="39"/>
      <c r="Y943" s="39"/>
      <c r="Z943" s="39"/>
      <c r="AA943" s="39"/>
      <c r="AB943" s="39"/>
    </row>
    <row r="944">
      <c r="C944" s="39"/>
      <c r="J944" s="39"/>
      <c r="K944" s="39"/>
      <c r="O944" s="39"/>
      <c r="Q944" s="39"/>
      <c r="R944" s="39"/>
      <c r="S944" s="39"/>
      <c r="U944" s="39"/>
      <c r="V944" s="39"/>
      <c r="W944" s="39"/>
      <c r="X944" s="39"/>
      <c r="Y944" s="39"/>
      <c r="Z944" s="39"/>
      <c r="AA944" s="39"/>
      <c r="AB944" s="39"/>
    </row>
    <row r="945">
      <c r="C945" s="39"/>
      <c r="J945" s="39"/>
      <c r="K945" s="39"/>
      <c r="O945" s="39"/>
      <c r="Q945" s="39"/>
      <c r="R945" s="39"/>
      <c r="S945" s="39"/>
      <c r="U945" s="39"/>
      <c r="V945" s="39"/>
      <c r="W945" s="39"/>
      <c r="X945" s="39"/>
      <c r="Y945" s="39"/>
      <c r="Z945" s="39"/>
      <c r="AA945" s="39"/>
      <c r="AB945" s="39"/>
    </row>
    <row r="946">
      <c r="C946" s="39"/>
      <c r="J946" s="39"/>
      <c r="K946" s="39"/>
      <c r="O946" s="39"/>
      <c r="Q946" s="39"/>
      <c r="R946" s="39"/>
      <c r="S946" s="39"/>
      <c r="U946" s="39"/>
      <c r="V946" s="39"/>
      <c r="W946" s="39"/>
      <c r="X946" s="39"/>
      <c r="Y946" s="39"/>
      <c r="Z946" s="39"/>
      <c r="AA946" s="39"/>
      <c r="AB946" s="39"/>
    </row>
    <row r="947">
      <c r="C947" s="39"/>
      <c r="J947" s="39"/>
      <c r="K947" s="39"/>
      <c r="O947" s="39"/>
      <c r="Q947" s="39"/>
      <c r="R947" s="39"/>
      <c r="S947" s="39"/>
      <c r="U947" s="39"/>
      <c r="V947" s="39"/>
      <c r="W947" s="39"/>
      <c r="X947" s="39"/>
      <c r="Y947" s="39"/>
      <c r="Z947" s="39"/>
      <c r="AA947" s="39"/>
      <c r="AB947" s="39"/>
    </row>
    <row r="948">
      <c r="C948" s="39"/>
      <c r="J948" s="39"/>
      <c r="K948" s="39"/>
      <c r="O948" s="39"/>
      <c r="Q948" s="39"/>
      <c r="R948" s="39"/>
      <c r="S948" s="39"/>
      <c r="U948" s="39"/>
      <c r="V948" s="39"/>
      <c r="W948" s="39"/>
      <c r="X948" s="39"/>
      <c r="Y948" s="39"/>
      <c r="Z948" s="39"/>
      <c r="AA948" s="39"/>
      <c r="AB948" s="39"/>
    </row>
    <row r="949">
      <c r="C949" s="39"/>
      <c r="J949" s="39"/>
      <c r="K949" s="39"/>
      <c r="O949" s="39"/>
      <c r="Q949" s="39"/>
      <c r="R949" s="39"/>
      <c r="S949" s="39"/>
      <c r="U949" s="39"/>
      <c r="V949" s="39"/>
      <c r="W949" s="39"/>
      <c r="X949" s="39"/>
      <c r="Y949" s="39"/>
      <c r="Z949" s="39"/>
      <c r="AA949" s="39"/>
      <c r="AB949" s="39"/>
    </row>
    <row r="950">
      <c r="C950" s="39"/>
      <c r="J950" s="39"/>
      <c r="K950" s="39"/>
      <c r="O950" s="39"/>
      <c r="Q950" s="39"/>
      <c r="R950" s="39"/>
      <c r="S950" s="39"/>
      <c r="U950" s="39"/>
      <c r="V950" s="39"/>
      <c r="W950" s="39"/>
      <c r="X950" s="39"/>
      <c r="Y950" s="39"/>
      <c r="Z950" s="39"/>
      <c r="AA950" s="39"/>
      <c r="AB950" s="39"/>
    </row>
    <row r="951">
      <c r="C951" s="39"/>
      <c r="J951" s="39"/>
      <c r="K951" s="39"/>
      <c r="O951" s="39"/>
      <c r="Q951" s="39"/>
      <c r="R951" s="39"/>
      <c r="S951" s="39"/>
      <c r="U951" s="39"/>
      <c r="V951" s="39"/>
      <c r="W951" s="39"/>
      <c r="X951" s="39"/>
      <c r="Y951" s="39"/>
      <c r="Z951" s="39"/>
      <c r="AA951" s="39"/>
      <c r="AB951" s="39"/>
    </row>
    <row r="952">
      <c r="C952" s="39"/>
      <c r="J952" s="39"/>
      <c r="K952" s="39"/>
      <c r="O952" s="39"/>
      <c r="Q952" s="39"/>
      <c r="R952" s="39"/>
      <c r="S952" s="39"/>
      <c r="U952" s="39"/>
      <c r="V952" s="39"/>
      <c r="W952" s="39"/>
      <c r="X952" s="39"/>
      <c r="Y952" s="39"/>
      <c r="Z952" s="39"/>
      <c r="AA952" s="39"/>
      <c r="AB952" s="39"/>
    </row>
    <row r="953">
      <c r="C953" s="39"/>
      <c r="J953" s="39"/>
      <c r="K953" s="39"/>
      <c r="O953" s="39"/>
      <c r="Q953" s="39"/>
      <c r="R953" s="39"/>
      <c r="S953" s="39"/>
      <c r="U953" s="39"/>
      <c r="V953" s="39"/>
      <c r="W953" s="39"/>
      <c r="X953" s="39"/>
      <c r="Y953" s="39"/>
      <c r="Z953" s="39"/>
      <c r="AA953" s="39"/>
      <c r="AB953" s="39"/>
    </row>
    <row r="954">
      <c r="C954" s="39"/>
      <c r="J954" s="39"/>
      <c r="K954" s="39"/>
      <c r="O954" s="39"/>
      <c r="Q954" s="39"/>
      <c r="R954" s="39"/>
      <c r="S954" s="39"/>
      <c r="U954" s="39"/>
      <c r="V954" s="39"/>
      <c r="W954" s="39"/>
      <c r="X954" s="39"/>
      <c r="Y954" s="39"/>
      <c r="Z954" s="39"/>
      <c r="AA954" s="39"/>
      <c r="AB954" s="39"/>
    </row>
    <row r="955">
      <c r="C955" s="39"/>
      <c r="J955" s="39"/>
      <c r="K955" s="39"/>
      <c r="O955" s="39"/>
      <c r="Q955" s="39"/>
      <c r="R955" s="39"/>
      <c r="S955" s="39"/>
      <c r="U955" s="39"/>
      <c r="V955" s="39"/>
      <c r="W955" s="39"/>
      <c r="X955" s="39"/>
      <c r="Y955" s="39"/>
      <c r="Z955" s="39"/>
      <c r="AA955" s="39"/>
      <c r="AB955" s="39"/>
    </row>
    <row r="956">
      <c r="C956" s="39"/>
      <c r="J956" s="39"/>
      <c r="K956" s="39"/>
      <c r="O956" s="39"/>
      <c r="Q956" s="39"/>
      <c r="R956" s="39"/>
      <c r="S956" s="39"/>
      <c r="U956" s="39"/>
      <c r="V956" s="39"/>
      <c r="W956" s="39"/>
      <c r="X956" s="39"/>
      <c r="Y956" s="39"/>
      <c r="Z956" s="39"/>
      <c r="AA956" s="39"/>
      <c r="AB956" s="39"/>
    </row>
    <row r="957">
      <c r="C957" s="39"/>
      <c r="J957" s="39"/>
      <c r="K957" s="39"/>
      <c r="O957" s="39"/>
      <c r="Q957" s="39"/>
      <c r="R957" s="39"/>
      <c r="S957" s="39"/>
      <c r="U957" s="39"/>
      <c r="V957" s="39"/>
      <c r="W957" s="39"/>
      <c r="X957" s="39"/>
      <c r="Y957" s="39"/>
      <c r="Z957" s="39"/>
      <c r="AA957" s="39"/>
      <c r="AB957" s="39"/>
    </row>
    <row r="958">
      <c r="C958" s="39"/>
      <c r="J958" s="39"/>
      <c r="K958" s="39"/>
      <c r="O958" s="39"/>
      <c r="Q958" s="39"/>
      <c r="R958" s="39"/>
      <c r="S958" s="39"/>
      <c r="U958" s="39"/>
      <c r="V958" s="39"/>
      <c r="W958" s="39"/>
      <c r="X958" s="39"/>
      <c r="Y958" s="39"/>
      <c r="Z958" s="39"/>
      <c r="AA958" s="39"/>
      <c r="AB958" s="39"/>
    </row>
    <row r="959">
      <c r="C959" s="39"/>
      <c r="J959" s="39"/>
      <c r="K959" s="39"/>
      <c r="O959" s="39"/>
      <c r="Q959" s="39"/>
      <c r="R959" s="39"/>
      <c r="S959" s="39"/>
      <c r="U959" s="39"/>
      <c r="V959" s="39"/>
      <c r="W959" s="39"/>
      <c r="X959" s="39"/>
      <c r="Y959" s="39"/>
      <c r="Z959" s="39"/>
      <c r="AA959" s="39"/>
      <c r="AB959" s="39"/>
    </row>
    <row r="960">
      <c r="C960" s="39"/>
      <c r="J960" s="39"/>
      <c r="K960" s="39"/>
      <c r="O960" s="39"/>
      <c r="Q960" s="39"/>
      <c r="R960" s="39"/>
      <c r="S960" s="39"/>
      <c r="U960" s="39"/>
      <c r="V960" s="39"/>
      <c r="W960" s="39"/>
      <c r="X960" s="39"/>
      <c r="Y960" s="39"/>
      <c r="Z960" s="39"/>
      <c r="AA960" s="39"/>
      <c r="AB960" s="39"/>
    </row>
    <row r="961">
      <c r="C961" s="39"/>
      <c r="J961" s="39"/>
      <c r="K961" s="39"/>
      <c r="O961" s="39"/>
      <c r="Q961" s="39"/>
      <c r="R961" s="39"/>
      <c r="S961" s="39"/>
      <c r="U961" s="39"/>
      <c r="V961" s="39"/>
      <c r="W961" s="39"/>
      <c r="X961" s="39"/>
      <c r="Y961" s="39"/>
      <c r="Z961" s="39"/>
      <c r="AA961" s="39"/>
      <c r="AB961" s="39"/>
    </row>
    <row r="962">
      <c r="C962" s="39"/>
      <c r="J962" s="39"/>
      <c r="K962" s="39"/>
      <c r="O962" s="39"/>
      <c r="Q962" s="39"/>
      <c r="R962" s="39"/>
      <c r="S962" s="39"/>
      <c r="U962" s="39"/>
      <c r="V962" s="39"/>
      <c r="W962" s="39"/>
      <c r="X962" s="39"/>
      <c r="Y962" s="39"/>
      <c r="Z962" s="39"/>
      <c r="AA962" s="39"/>
      <c r="AB962" s="39"/>
    </row>
    <row r="963">
      <c r="C963" s="39"/>
      <c r="J963" s="39"/>
      <c r="K963" s="39"/>
      <c r="O963" s="39"/>
      <c r="Q963" s="39"/>
      <c r="R963" s="39"/>
      <c r="S963" s="39"/>
      <c r="U963" s="39"/>
      <c r="V963" s="39"/>
      <c r="W963" s="39"/>
      <c r="X963" s="39"/>
      <c r="Y963" s="39"/>
      <c r="Z963" s="39"/>
      <c r="AA963" s="39"/>
      <c r="AB963" s="39"/>
    </row>
    <row r="964">
      <c r="C964" s="39"/>
      <c r="J964" s="39"/>
      <c r="K964" s="39"/>
      <c r="O964" s="39"/>
      <c r="Q964" s="39"/>
      <c r="R964" s="39"/>
      <c r="S964" s="39"/>
      <c r="U964" s="39"/>
      <c r="V964" s="39"/>
      <c r="W964" s="39"/>
      <c r="X964" s="39"/>
      <c r="Y964" s="39"/>
      <c r="Z964" s="39"/>
      <c r="AA964" s="39"/>
      <c r="AB964" s="39"/>
    </row>
    <row r="965">
      <c r="C965" s="39"/>
      <c r="J965" s="39"/>
      <c r="K965" s="39"/>
      <c r="O965" s="39"/>
      <c r="Q965" s="39"/>
      <c r="R965" s="39"/>
      <c r="S965" s="39"/>
      <c r="U965" s="39"/>
      <c r="V965" s="39"/>
      <c r="W965" s="39"/>
      <c r="X965" s="39"/>
      <c r="Y965" s="39"/>
      <c r="Z965" s="39"/>
      <c r="AA965" s="39"/>
      <c r="AB965" s="39"/>
    </row>
    <row r="966">
      <c r="C966" s="39"/>
      <c r="J966" s="39"/>
      <c r="K966" s="39"/>
      <c r="O966" s="39"/>
      <c r="Q966" s="39"/>
      <c r="R966" s="39"/>
      <c r="S966" s="39"/>
      <c r="U966" s="39"/>
      <c r="V966" s="39"/>
      <c r="W966" s="39"/>
      <c r="X966" s="39"/>
      <c r="Y966" s="39"/>
      <c r="Z966" s="39"/>
      <c r="AA966" s="39"/>
      <c r="AB966" s="39"/>
    </row>
    <row r="967">
      <c r="C967" s="39"/>
      <c r="J967" s="39"/>
      <c r="K967" s="39"/>
      <c r="O967" s="39"/>
      <c r="Q967" s="39"/>
      <c r="R967" s="39"/>
      <c r="S967" s="39"/>
      <c r="U967" s="39"/>
      <c r="V967" s="39"/>
      <c r="W967" s="39"/>
      <c r="X967" s="39"/>
      <c r="Y967" s="39"/>
      <c r="Z967" s="39"/>
      <c r="AA967" s="39"/>
      <c r="AB967" s="39"/>
    </row>
    <row r="968">
      <c r="C968" s="39"/>
      <c r="J968" s="39"/>
      <c r="K968" s="39"/>
      <c r="O968" s="39"/>
      <c r="Q968" s="39"/>
      <c r="R968" s="39"/>
      <c r="S968" s="39"/>
      <c r="U968" s="39"/>
      <c r="V968" s="39"/>
      <c r="W968" s="39"/>
      <c r="X968" s="39"/>
      <c r="Y968" s="39"/>
      <c r="Z968" s="39"/>
      <c r="AA968" s="39"/>
      <c r="AB968" s="39"/>
    </row>
    <row r="969">
      <c r="C969" s="39"/>
      <c r="J969" s="39"/>
      <c r="K969" s="39"/>
      <c r="O969" s="39"/>
      <c r="Q969" s="39"/>
      <c r="R969" s="39"/>
      <c r="S969" s="39"/>
      <c r="U969" s="39"/>
      <c r="V969" s="39"/>
      <c r="W969" s="39"/>
      <c r="X969" s="39"/>
      <c r="Y969" s="39"/>
      <c r="Z969" s="39"/>
      <c r="AA969" s="39"/>
      <c r="AB969" s="39"/>
    </row>
    <row r="970">
      <c r="C970" s="39"/>
      <c r="J970" s="39"/>
      <c r="K970" s="39"/>
      <c r="O970" s="39"/>
      <c r="Q970" s="39"/>
      <c r="R970" s="39"/>
      <c r="S970" s="39"/>
      <c r="U970" s="39"/>
      <c r="V970" s="39"/>
      <c r="W970" s="39"/>
      <c r="X970" s="39"/>
      <c r="Y970" s="39"/>
      <c r="Z970" s="39"/>
      <c r="AA970" s="39"/>
      <c r="AB970" s="39"/>
    </row>
    <row r="971">
      <c r="C971" s="39"/>
      <c r="J971" s="39"/>
      <c r="K971" s="39"/>
      <c r="O971" s="39"/>
      <c r="Q971" s="39"/>
      <c r="R971" s="39"/>
      <c r="S971" s="39"/>
      <c r="U971" s="39"/>
      <c r="V971" s="39"/>
      <c r="W971" s="39"/>
      <c r="X971" s="39"/>
      <c r="Y971" s="39"/>
      <c r="Z971" s="39"/>
      <c r="AA971" s="39"/>
      <c r="AB971" s="39"/>
    </row>
    <row r="972">
      <c r="C972" s="39"/>
      <c r="J972" s="39"/>
      <c r="K972" s="39"/>
      <c r="O972" s="39"/>
      <c r="Q972" s="39"/>
      <c r="R972" s="39"/>
      <c r="S972" s="39"/>
      <c r="U972" s="39"/>
      <c r="V972" s="39"/>
      <c r="W972" s="39"/>
      <c r="X972" s="39"/>
      <c r="Y972" s="39"/>
      <c r="Z972" s="39"/>
      <c r="AA972" s="39"/>
      <c r="AB972" s="39"/>
    </row>
    <row r="973">
      <c r="C973" s="39"/>
      <c r="J973" s="39"/>
      <c r="K973" s="39"/>
      <c r="O973" s="39"/>
      <c r="Q973" s="39"/>
      <c r="R973" s="39"/>
      <c r="S973" s="39"/>
      <c r="U973" s="39"/>
      <c r="V973" s="39"/>
      <c r="W973" s="39"/>
      <c r="X973" s="39"/>
      <c r="Y973" s="39"/>
      <c r="Z973" s="39"/>
      <c r="AA973" s="39"/>
      <c r="AB973" s="39"/>
    </row>
    <row r="974">
      <c r="C974" s="39"/>
      <c r="J974" s="39"/>
      <c r="K974" s="39"/>
      <c r="O974" s="39"/>
      <c r="Q974" s="39"/>
      <c r="R974" s="39"/>
      <c r="S974" s="39"/>
      <c r="U974" s="39"/>
      <c r="V974" s="39"/>
      <c r="W974" s="39"/>
      <c r="X974" s="39"/>
      <c r="Y974" s="39"/>
      <c r="Z974" s="39"/>
      <c r="AA974" s="39"/>
      <c r="AB974" s="39"/>
    </row>
  </sheetData>
  <hyperlinks>
    <hyperlink r:id="rId1" ref="F3"/>
    <hyperlink r:id="rId2" ref="F4"/>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75" customHeight="1">
      <c r="A1" s="295" t="s">
        <v>4592</v>
      </c>
      <c r="B1" s="295" t="s">
        <v>4666</v>
      </c>
      <c r="C1" s="295" t="s">
        <v>4667</v>
      </c>
      <c r="D1" s="295" t="s">
        <v>4594</v>
      </c>
      <c r="E1" s="295" t="s">
        <v>4595</v>
      </c>
      <c r="F1" s="295" t="s">
        <v>4668</v>
      </c>
      <c r="G1" s="295" t="s">
        <v>4669</v>
      </c>
      <c r="H1" s="295" t="s">
        <v>4670</v>
      </c>
      <c r="I1" s="295" t="s">
        <v>4671</v>
      </c>
      <c r="J1" s="295" t="s">
        <v>3274</v>
      </c>
      <c r="K1" s="295" t="s">
        <v>4599</v>
      </c>
      <c r="L1" s="295" t="s">
        <v>4672</v>
      </c>
      <c r="M1" s="295" t="s">
        <v>4673</v>
      </c>
      <c r="N1" s="295" t="s">
        <v>3282</v>
      </c>
      <c r="O1" s="295" t="s">
        <v>3285</v>
      </c>
      <c r="P1" s="295" t="s">
        <v>4674</v>
      </c>
      <c r="Q1" s="295" t="s">
        <v>3287</v>
      </c>
      <c r="R1" s="295" t="s">
        <v>4675</v>
      </c>
      <c r="S1" s="295" t="s">
        <v>4676</v>
      </c>
      <c r="T1" s="295" t="s">
        <v>4677</v>
      </c>
      <c r="U1" s="295" t="s">
        <v>3299</v>
      </c>
      <c r="V1" s="295" t="s">
        <v>4678</v>
      </c>
      <c r="W1" s="295" t="s">
        <v>3302</v>
      </c>
      <c r="X1" s="295" t="s">
        <v>3307</v>
      </c>
      <c r="Y1" s="295" t="s">
        <v>4679</v>
      </c>
      <c r="Z1" s="295" t="s">
        <v>3310</v>
      </c>
      <c r="AA1" s="295" t="s">
        <v>4680</v>
      </c>
      <c r="AB1" s="295" t="s">
        <v>4681</v>
      </c>
      <c r="AC1" s="295" t="s">
        <v>4682</v>
      </c>
      <c r="AD1" s="295" t="s">
        <v>4683</v>
      </c>
      <c r="AE1" s="295" t="s">
        <v>4684</v>
      </c>
      <c r="AF1" s="295" t="s">
        <v>3321</v>
      </c>
      <c r="AG1" s="295" t="s">
        <v>3318</v>
      </c>
      <c r="AH1" s="295" t="s">
        <v>4685</v>
      </c>
      <c r="AI1" s="295" t="s">
        <v>4686</v>
      </c>
      <c r="AJ1" s="295" t="s">
        <v>4687</v>
      </c>
      <c r="AK1" s="295" t="s">
        <v>4688</v>
      </c>
      <c r="AL1" s="295" t="s">
        <v>4689</v>
      </c>
      <c r="AM1" s="295" t="s">
        <v>4690</v>
      </c>
      <c r="AN1" s="295" t="s">
        <v>4691</v>
      </c>
      <c r="AO1" s="295" t="s">
        <v>4692</v>
      </c>
      <c r="AP1" s="295" t="s">
        <v>4693</v>
      </c>
      <c r="AQ1" s="295" t="s">
        <v>4694</v>
      </c>
      <c r="AR1" s="295" t="s">
        <v>4695</v>
      </c>
      <c r="AS1" s="295" t="s">
        <v>4696</v>
      </c>
      <c r="AT1" s="295" t="s">
        <v>4697</v>
      </c>
      <c r="AU1" s="295" t="s">
        <v>4698</v>
      </c>
      <c r="AV1" s="295" t="s">
        <v>4699</v>
      </c>
      <c r="AW1" s="295" t="s">
        <v>4700</v>
      </c>
      <c r="AX1" s="295" t="s">
        <v>4701</v>
      </c>
      <c r="AY1" s="295" t="s">
        <v>4702</v>
      </c>
      <c r="AZ1" s="295" t="s">
        <v>4703</v>
      </c>
    </row>
    <row r="2">
      <c r="A2" s="287" t="s">
        <v>3946</v>
      </c>
      <c r="B2" s="287" t="s">
        <v>3947</v>
      </c>
      <c r="C2" s="288">
        <v>2018.0</v>
      </c>
      <c r="D2" s="287" t="s">
        <v>58</v>
      </c>
      <c r="E2" s="287" t="s">
        <v>59</v>
      </c>
      <c r="F2" s="293" t="s">
        <v>60</v>
      </c>
      <c r="G2" s="287" t="s">
        <v>19</v>
      </c>
      <c r="H2" s="287" t="s">
        <v>27</v>
      </c>
      <c r="I2" s="287" t="s">
        <v>3358</v>
      </c>
      <c r="J2" s="287" t="s">
        <v>3359</v>
      </c>
      <c r="K2" s="287" t="s">
        <v>3949</v>
      </c>
      <c r="L2" s="287" t="s">
        <v>3380</v>
      </c>
      <c r="M2" s="287" t="s">
        <v>3363</v>
      </c>
      <c r="N2" s="287" t="s">
        <v>3365</v>
      </c>
      <c r="O2" s="287" t="s">
        <v>3382</v>
      </c>
      <c r="P2" s="287" t="s">
        <v>3950</v>
      </c>
      <c r="Q2" s="287" t="s">
        <v>3951</v>
      </c>
      <c r="R2" s="287" t="s">
        <v>3388</v>
      </c>
      <c r="S2" s="287" t="s">
        <v>3389</v>
      </c>
      <c r="T2" s="287" t="s">
        <v>3952</v>
      </c>
      <c r="U2" s="287" t="s">
        <v>3953</v>
      </c>
      <c r="V2" s="287" t="s">
        <v>3954</v>
      </c>
      <c r="W2" s="287" t="s">
        <v>3955</v>
      </c>
      <c r="X2" s="287" t="s">
        <v>3370</v>
      </c>
      <c r="Y2" s="287" t="s">
        <v>3371</v>
      </c>
      <c r="Z2" s="287" t="s">
        <v>4704</v>
      </c>
      <c r="AA2" s="287" t="s">
        <v>27</v>
      </c>
      <c r="AB2" s="287" t="s">
        <v>3397</v>
      </c>
      <c r="AC2" s="287" t="s">
        <v>27</v>
      </c>
      <c r="AD2" s="287" t="s">
        <v>3396</v>
      </c>
      <c r="AE2" s="287" t="s">
        <v>3956</v>
      </c>
      <c r="AF2" s="287" t="s">
        <v>3399</v>
      </c>
      <c r="AG2" s="287" t="s">
        <v>4705</v>
      </c>
      <c r="AH2" s="287" t="s">
        <v>20</v>
      </c>
      <c r="AI2" s="287" t="s">
        <v>4704</v>
      </c>
      <c r="AJ2" s="287" t="s">
        <v>4704</v>
      </c>
      <c r="AK2" s="287" t="s">
        <v>3512</v>
      </c>
      <c r="AL2" s="287" t="s">
        <v>20</v>
      </c>
      <c r="AM2" s="287" t="s">
        <v>4704</v>
      </c>
      <c r="AN2" s="287" t="s">
        <v>20</v>
      </c>
      <c r="AO2" s="287" t="s">
        <v>3958</v>
      </c>
      <c r="AP2" s="287" t="s">
        <v>3947</v>
      </c>
      <c r="AQ2" s="288">
        <v>1.0</v>
      </c>
      <c r="AR2" s="288">
        <v>1.0</v>
      </c>
      <c r="AS2" s="288">
        <v>1.0</v>
      </c>
      <c r="AT2" s="288">
        <v>1.0</v>
      </c>
      <c r="AU2" s="288">
        <v>1.0</v>
      </c>
      <c r="AV2" s="288">
        <v>1.0</v>
      </c>
      <c r="AW2" s="288">
        <v>0.0</v>
      </c>
      <c r="AX2" s="288">
        <v>0.0</v>
      </c>
      <c r="AY2" s="287" t="s">
        <v>4706</v>
      </c>
      <c r="AZ2" s="287" t="s">
        <v>4707</v>
      </c>
    </row>
    <row r="3">
      <c r="A3" s="287" t="s">
        <v>3959</v>
      </c>
      <c r="B3" s="287" t="s">
        <v>3960</v>
      </c>
      <c r="C3" s="288">
        <v>2017.0</v>
      </c>
      <c r="D3" s="287" t="s">
        <v>205</v>
      </c>
      <c r="E3" s="287" t="s">
        <v>206</v>
      </c>
      <c r="F3" s="293" t="s">
        <v>4708</v>
      </c>
      <c r="G3" s="287" t="s">
        <v>19</v>
      </c>
      <c r="H3" s="287" t="s">
        <v>27</v>
      </c>
      <c r="I3" s="287" t="s">
        <v>3358</v>
      </c>
      <c r="J3" s="287" t="s">
        <v>3411</v>
      </c>
      <c r="K3" s="287" t="s">
        <v>4704</v>
      </c>
      <c r="L3" s="287" t="s">
        <v>3380</v>
      </c>
      <c r="M3" s="287" t="s">
        <v>3963</v>
      </c>
      <c r="N3" s="287" t="s">
        <v>3365</v>
      </c>
      <c r="O3" s="287" t="s">
        <v>3868</v>
      </c>
      <c r="P3" s="287" t="s">
        <v>4704</v>
      </c>
      <c r="Q3" s="287" t="s">
        <v>4704</v>
      </c>
      <c r="R3" s="287" t="s">
        <v>3388</v>
      </c>
      <c r="S3" s="287" t="s">
        <v>3389</v>
      </c>
      <c r="T3" s="287" t="s">
        <v>3952</v>
      </c>
      <c r="U3" s="287" t="s">
        <v>3964</v>
      </c>
      <c r="V3" s="287" t="s">
        <v>4709</v>
      </c>
      <c r="W3" s="287" t="s">
        <v>3966</v>
      </c>
      <c r="X3" s="287" t="s">
        <v>3967</v>
      </c>
      <c r="Y3" s="287" t="s">
        <v>3968</v>
      </c>
      <c r="Z3" s="287" t="s">
        <v>3969</v>
      </c>
      <c r="AA3" s="287" t="s">
        <v>27</v>
      </c>
      <c r="AB3" s="287" t="s">
        <v>3508</v>
      </c>
      <c r="AC3" s="287" t="s">
        <v>27</v>
      </c>
      <c r="AD3" s="287" t="s">
        <v>3970</v>
      </c>
      <c r="AE3" s="287" t="s">
        <v>3970</v>
      </c>
      <c r="AF3" s="287" t="s">
        <v>3460</v>
      </c>
      <c r="AG3" s="287" t="s">
        <v>3971</v>
      </c>
      <c r="AH3" s="287" t="s">
        <v>20</v>
      </c>
      <c r="AI3" s="287" t="s">
        <v>4704</v>
      </c>
      <c r="AJ3" s="287" t="s">
        <v>4704</v>
      </c>
      <c r="AK3" s="287" t="s">
        <v>27</v>
      </c>
      <c r="AL3" s="287" t="s">
        <v>27</v>
      </c>
      <c r="AM3" s="287" t="s">
        <v>3972</v>
      </c>
      <c r="AN3" s="287" t="s">
        <v>3512</v>
      </c>
      <c r="AO3" s="287" t="s">
        <v>3973</v>
      </c>
      <c r="AP3" s="287" t="s">
        <v>3960</v>
      </c>
      <c r="AQ3" s="288">
        <v>1.0</v>
      </c>
      <c r="AR3" s="288">
        <v>1.0</v>
      </c>
      <c r="AS3" s="288">
        <v>1.0</v>
      </c>
      <c r="AT3" s="288">
        <v>1.0</v>
      </c>
      <c r="AU3" s="288">
        <v>1.0</v>
      </c>
      <c r="AV3" s="288">
        <v>1.0</v>
      </c>
      <c r="AW3" s="288">
        <v>1.0</v>
      </c>
      <c r="AX3" s="288">
        <v>1.0</v>
      </c>
      <c r="AY3" s="287" t="s">
        <v>4710</v>
      </c>
      <c r="AZ3" s="287" t="s">
        <v>4707</v>
      </c>
    </row>
    <row r="4">
      <c r="A4" s="287" t="s">
        <v>3974</v>
      </c>
      <c r="B4" s="287" t="s">
        <v>3975</v>
      </c>
      <c r="C4" s="288">
        <v>2022.0</v>
      </c>
      <c r="D4" s="287" t="s">
        <v>301</v>
      </c>
      <c r="E4" s="287" t="s">
        <v>302</v>
      </c>
      <c r="F4" s="293" t="s">
        <v>303</v>
      </c>
      <c r="G4" s="287" t="s">
        <v>19</v>
      </c>
      <c r="H4" s="287" t="s">
        <v>27</v>
      </c>
      <c r="I4" s="287" t="s">
        <v>3358</v>
      </c>
      <c r="J4" s="287" t="s">
        <v>3411</v>
      </c>
      <c r="K4" s="287" t="s">
        <v>3412</v>
      </c>
      <c r="L4" s="287" t="s">
        <v>3977</v>
      </c>
      <c r="M4" s="287" t="s">
        <v>3978</v>
      </c>
      <c r="N4" s="287" t="s">
        <v>3365</v>
      </c>
      <c r="O4" s="287" t="s">
        <v>3366</v>
      </c>
      <c r="P4" s="287" t="s">
        <v>4704</v>
      </c>
      <c r="Q4" s="287" t="s">
        <v>4704</v>
      </c>
      <c r="R4" s="287" t="s">
        <v>3388</v>
      </c>
      <c r="S4" s="287" t="s">
        <v>3979</v>
      </c>
      <c r="T4" s="287" t="s">
        <v>3980</v>
      </c>
      <c r="U4" s="287" t="s">
        <v>3981</v>
      </c>
      <c r="V4" s="287" t="s">
        <v>4711</v>
      </c>
      <c r="W4" s="287" t="s">
        <v>3491</v>
      </c>
      <c r="X4" s="287" t="s">
        <v>3983</v>
      </c>
      <c r="Y4" s="287" t="s">
        <v>3984</v>
      </c>
      <c r="Z4" s="287" t="s">
        <v>3985</v>
      </c>
      <c r="AA4" s="287" t="s">
        <v>3512</v>
      </c>
      <c r="AB4" s="287" t="s">
        <v>3495</v>
      </c>
      <c r="AC4" s="287" t="s">
        <v>27</v>
      </c>
      <c r="AD4" s="287" t="s">
        <v>3986</v>
      </c>
      <c r="AE4" s="287" t="s">
        <v>3987</v>
      </c>
      <c r="AF4" s="287" t="s">
        <v>3399</v>
      </c>
      <c r="AG4" s="287" t="s">
        <v>4712</v>
      </c>
      <c r="AH4" s="287" t="s">
        <v>20</v>
      </c>
      <c r="AI4" s="287" t="s">
        <v>4704</v>
      </c>
      <c r="AJ4" s="287" t="s">
        <v>4704</v>
      </c>
      <c r="AK4" s="287" t="s">
        <v>3512</v>
      </c>
      <c r="AL4" s="287" t="s">
        <v>20</v>
      </c>
      <c r="AM4" s="287" t="s">
        <v>4704</v>
      </c>
      <c r="AN4" s="287" t="s">
        <v>20</v>
      </c>
      <c r="AO4" s="287" t="s">
        <v>3989</v>
      </c>
      <c r="AP4" s="287" t="s">
        <v>3975</v>
      </c>
      <c r="AQ4" s="288">
        <v>1.0</v>
      </c>
      <c r="AR4" s="288">
        <v>1.0</v>
      </c>
      <c r="AS4" s="288">
        <v>1.0</v>
      </c>
      <c r="AT4" s="288">
        <v>1.0</v>
      </c>
      <c r="AU4" s="288">
        <v>1.0</v>
      </c>
      <c r="AV4" s="288">
        <v>1.0</v>
      </c>
      <c r="AW4" s="288">
        <v>1.0</v>
      </c>
      <c r="AX4" s="288">
        <v>0.0</v>
      </c>
      <c r="AY4" s="287" t="s">
        <v>4713</v>
      </c>
      <c r="AZ4" s="287" t="s">
        <v>4707</v>
      </c>
    </row>
    <row r="5">
      <c r="A5" s="287" t="s">
        <v>3992</v>
      </c>
      <c r="B5" s="287" t="s">
        <v>3993</v>
      </c>
      <c r="C5" s="288">
        <v>2018.0</v>
      </c>
      <c r="D5" s="287" t="s">
        <v>312</v>
      </c>
      <c r="E5" s="287" t="s">
        <v>59</v>
      </c>
      <c r="F5" s="293" t="s">
        <v>313</v>
      </c>
      <c r="G5" s="287" t="s">
        <v>19</v>
      </c>
      <c r="H5" s="287" t="s">
        <v>27</v>
      </c>
      <c r="I5" s="287" t="s">
        <v>3358</v>
      </c>
      <c r="J5" s="287" t="s">
        <v>3411</v>
      </c>
      <c r="K5" s="287" t="s">
        <v>4704</v>
      </c>
      <c r="L5" s="287" t="s">
        <v>3380</v>
      </c>
      <c r="M5" s="287" t="s">
        <v>3995</v>
      </c>
      <c r="N5" s="287" t="s">
        <v>3365</v>
      </c>
      <c r="O5" s="287" t="s">
        <v>3366</v>
      </c>
      <c r="P5" s="287" t="s">
        <v>4704</v>
      </c>
      <c r="Q5" s="287" t="s">
        <v>4704</v>
      </c>
      <c r="R5" s="287" t="s">
        <v>3388</v>
      </c>
      <c r="S5" s="287" t="s">
        <v>3996</v>
      </c>
      <c r="T5" s="287" t="s">
        <v>3997</v>
      </c>
      <c r="U5" s="287" t="s">
        <v>3998</v>
      </c>
      <c r="V5" s="287" t="s">
        <v>3999</v>
      </c>
      <c r="W5" s="287" t="s">
        <v>4000</v>
      </c>
      <c r="X5" s="287" t="s">
        <v>4001</v>
      </c>
      <c r="Y5" s="287" t="s">
        <v>4002</v>
      </c>
      <c r="Z5" s="287" t="s">
        <v>4003</v>
      </c>
      <c r="AA5" s="287" t="s">
        <v>27</v>
      </c>
      <c r="AB5" s="287" t="s">
        <v>3508</v>
      </c>
      <c r="AC5" s="287" t="s">
        <v>27</v>
      </c>
      <c r="AD5" s="287" t="s">
        <v>4004</v>
      </c>
      <c r="AE5" s="287" t="s">
        <v>4005</v>
      </c>
      <c r="AF5" s="287" t="s">
        <v>3418</v>
      </c>
      <c r="AG5" s="287" t="s">
        <v>4006</v>
      </c>
      <c r="AH5" s="287" t="s">
        <v>20</v>
      </c>
      <c r="AI5" s="287" t="s">
        <v>4704</v>
      </c>
      <c r="AJ5" s="287" t="s">
        <v>4704</v>
      </c>
      <c r="AK5" s="287" t="s">
        <v>3512</v>
      </c>
      <c r="AL5" s="287" t="s">
        <v>27</v>
      </c>
      <c r="AM5" s="287" t="s">
        <v>4007</v>
      </c>
      <c r="AN5" s="287" t="s">
        <v>4704</v>
      </c>
      <c r="AO5" s="287" t="s">
        <v>4009</v>
      </c>
      <c r="AP5" s="287" t="s">
        <v>3993</v>
      </c>
      <c r="AQ5" s="288">
        <v>1.0</v>
      </c>
      <c r="AR5" s="288">
        <v>1.0</v>
      </c>
      <c r="AS5" s="288">
        <v>1.0</v>
      </c>
      <c r="AT5" s="288">
        <v>1.0</v>
      </c>
      <c r="AU5" s="288">
        <v>1.0</v>
      </c>
      <c r="AV5" s="288">
        <v>1.0</v>
      </c>
      <c r="AW5" s="288">
        <v>1.0</v>
      </c>
      <c r="AX5" s="288">
        <v>0.0</v>
      </c>
      <c r="AY5" s="287" t="s">
        <v>4714</v>
      </c>
      <c r="AZ5" s="287" t="s">
        <v>4715</v>
      </c>
    </row>
    <row r="6">
      <c r="A6" s="287" t="s">
        <v>4010</v>
      </c>
      <c r="B6" s="287" t="s">
        <v>4011</v>
      </c>
      <c r="C6" s="288">
        <v>2022.0</v>
      </c>
      <c r="D6" s="287" t="s">
        <v>346</v>
      </c>
      <c r="E6" s="287" t="s">
        <v>59</v>
      </c>
      <c r="F6" s="293" t="s">
        <v>347</v>
      </c>
      <c r="G6" s="287" t="s">
        <v>19</v>
      </c>
      <c r="H6" s="287" t="s">
        <v>27</v>
      </c>
      <c r="I6" s="287" t="s">
        <v>3358</v>
      </c>
      <c r="J6" s="287" t="s">
        <v>3359</v>
      </c>
      <c r="K6" s="287" t="s">
        <v>4704</v>
      </c>
      <c r="L6" s="287" t="s">
        <v>4704</v>
      </c>
      <c r="M6" s="287" t="s">
        <v>3363</v>
      </c>
      <c r="N6" s="287" t="s">
        <v>4013</v>
      </c>
      <c r="O6" s="287" t="s">
        <v>4014</v>
      </c>
      <c r="P6" s="287" t="s">
        <v>4015</v>
      </c>
      <c r="Q6" s="287" t="s">
        <v>4016</v>
      </c>
      <c r="R6" s="287" t="s">
        <v>3388</v>
      </c>
      <c r="S6" s="287" t="s">
        <v>4017</v>
      </c>
      <c r="T6" s="287" t="s">
        <v>4018</v>
      </c>
      <c r="U6" s="287" t="s">
        <v>4019</v>
      </c>
      <c r="V6" s="287" t="s">
        <v>4716</v>
      </c>
      <c r="W6" s="287" t="s">
        <v>3482</v>
      </c>
      <c r="X6" s="287" t="s">
        <v>3370</v>
      </c>
      <c r="Y6" s="287" t="s">
        <v>4021</v>
      </c>
      <c r="Z6" s="287" t="s">
        <v>4717</v>
      </c>
      <c r="AA6" s="287" t="s">
        <v>27</v>
      </c>
      <c r="AB6" s="287" t="s">
        <v>4023</v>
      </c>
      <c r="AC6" s="287" t="s">
        <v>27</v>
      </c>
      <c r="AD6" s="287" t="s">
        <v>4024</v>
      </c>
      <c r="AE6" s="287" t="s">
        <v>4025</v>
      </c>
      <c r="AF6" s="287" t="s">
        <v>4026</v>
      </c>
      <c r="AG6" s="287" t="s">
        <v>4718</v>
      </c>
      <c r="AH6" s="287" t="s">
        <v>27</v>
      </c>
      <c r="AI6" s="287" t="s">
        <v>4704</v>
      </c>
      <c r="AJ6" s="287" t="s">
        <v>4028</v>
      </c>
      <c r="AK6" s="287" t="s">
        <v>3512</v>
      </c>
      <c r="AL6" s="287" t="s">
        <v>27</v>
      </c>
      <c r="AM6" s="287" t="s">
        <v>4719</v>
      </c>
      <c r="AN6" s="287" t="s">
        <v>4720</v>
      </c>
      <c r="AO6" s="287" t="s">
        <v>4031</v>
      </c>
      <c r="AP6" s="287" t="s">
        <v>4011</v>
      </c>
      <c r="AQ6" s="288">
        <v>1.0</v>
      </c>
      <c r="AR6" s="288">
        <v>1.0</v>
      </c>
      <c r="AS6" s="288">
        <v>1.0</v>
      </c>
      <c r="AT6" s="288">
        <v>1.0</v>
      </c>
      <c r="AU6" s="288">
        <v>1.0</v>
      </c>
      <c r="AV6" s="288">
        <v>1.0</v>
      </c>
      <c r="AW6" s="288">
        <v>1.0</v>
      </c>
      <c r="AX6" s="288">
        <v>1.0</v>
      </c>
      <c r="AY6" s="287" t="s">
        <v>4721</v>
      </c>
      <c r="AZ6" s="287" t="s">
        <v>4722</v>
      </c>
    </row>
    <row r="7">
      <c r="A7" s="287" t="s">
        <v>4032</v>
      </c>
      <c r="B7" s="287" t="s">
        <v>4033</v>
      </c>
      <c r="C7" s="288">
        <v>2016.0</v>
      </c>
      <c r="D7" s="287" t="s">
        <v>359</v>
      </c>
      <c r="E7" s="287" t="s">
        <v>272</v>
      </c>
      <c r="F7" s="293" t="s">
        <v>360</v>
      </c>
      <c r="G7" s="287" t="s">
        <v>19</v>
      </c>
      <c r="H7" s="287" t="s">
        <v>27</v>
      </c>
      <c r="I7" s="287" t="s">
        <v>3358</v>
      </c>
      <c r="J7" s="287" t="s">
        <v>3359</v>
      </c>
      <c r="K7" s="287" t="s">
        <v>3477</v>
      </c>
      <c r="L7" s="287" t="s">
        <v>3380</v>
      </c>
      <c r="M7" s="287" t="s">
        <v>4035</v>
      </c>
      <c r="N7" s="287" t="s">
        <v>4036</v>
      </c>
      <c r="O7" s="287" t="s">
        <v>3382</v>
      </c>
      <c r="P7" s="287" t="s">
        <v>4037</v>
      </c>
      <c r="Q7" s="287" t="s">
        <v>3951</v>
      </c>
      <c r="R7" s="287" t="s">
        <v>3388</v>
      </c>
      <c r="S7" s="287" t="s">
        <v>3389</v>
      </c>
      <c r="T7" s="287" t="s">
        <v>4038</v>
      </c>
      <c r="U7" s="287" t="s">
        <v>4039</v>
      </c>
      <c r="V7" s="287" t="s">
        <v>4040</v>
      </c>
      <c r="W7" s="287" t="s">
        <v>4041</v>
      </c>
      <c r="X7" s="287" t="s">
        <v>3405</v>
      </c>
      <c r="Y7" s="287" t="s">
        <v>3371</v>
      </c>
      <c r="Z7" s="287" t="s">
        <v>4042</v>
      </c>
      <c r="AA7" s="287" t="s">
        <v>27</v>
      </c>
      <c r="AB7" s="287" t="s">
        <v>3546</v>
      </c>
      <c r="AC7" s="287" t="s">
        <v>27</v>
      </c>
      <c r="AD7" s="287" t="s">
        <v>4043</v>
      </c>
      <c r="AE7" s="287" t="s">
        <v>4044</v>
      </c>
      <c r="AF7" s="287" t="s">
        <v>3399</v>
      </c>
      <c r="AG7" s="287" t="s">
        <v>4045</v>
      </c>
      <c r="AH7" s="287" t="s">
        <v>20</v>
      </c>
      <c r="AI7" s="287" t="s">
        <v>4704</v>
      </c>
      <c r="AJ7" s="287" t="s">
        <v>4704</v>
      </c>
      <c r="AK7" s="287" t="s">
        <v>3512</v>
      </c>
      <c r="AL7" s="287" t="s">
        <v>20</v>
      </c>
      <c r="AM7" s="287" t="s">
        <v>4046</v>
      </c>
      <c r="AN7" s="287" t="s">
        <v>4704</v>
      </c>
      <c r="AO7" s="287" t="s">
        <v>4047</v>
      </c>
      <c r="AP7" s="287" t="s">
        <v>4033</v>
      </c>
      <c r="AQ7" s="288">
        <v>1.0</v>
      </c>
      <c r="AR7" s="288">
        <v>1.0</v>
      </c>
      <c r="AS7" s="288">
        <v>1.0</v>
      </c>
      <c r="AT7" s="288">
        <v>1.0</v>
      </c>
      <c r="AU7" s="288">
        <v>1.0</v>
      </c>
      <c r="AV7" s="288">
        <v>1.0</v>
      </c>
      <c r="AW7" s="288">
        <v>1.0</v>
      </c>
      <c r="AX7" s="288">
        <v>0.0</v>
      </c>
      <c r="AY7" s="287" t="s">
        <v>4723</v>
      </c>
      <c r="AZ7" s="287" t="s">
        <v>4707</v>
      </c>
    </row>
    <row r="8">
      <c r="A8" s="287" t="s">
        <v>4048</v>
      </c>
      <c r="B8" s="287" t="s">
        <v>4049</v>
      </c>
      <c r="C8" s="288">
        <v>2025.0</v>
      </c>
      <c r="D8" s="287" t="s">
        <v>363</v>
      </c>
      <c r="E8" s="287" t="s">
        <v>364</v>
      </c>
      <c r="F8" s="293" t="s">
        <v>365</v>
      </c>
      <c r="G8" s="287" t="s">
        <v>19</v>
      </c>
      <c r="H8" s="287" t="s">
        <v>27</v>
      </c>
      <c r="I8" s="287" t="s">
        <v>3358</v>
      </c>
      <c r="J8" s="287" t="s">
        <v>3359</v>
      </c>
      <c r="K8" s="287" t="s">
        <v>3477</v>
      </c>
      <c r="L8" s="287" t="s">
        <v>3550</v>
      </c>
      <c r="M8" s="287" t="s">
        <v>3413</v>
      </c>
      <c r="N8" s="287" t="s">
        <v>4051</v>
      </c>
      <c r="O8" s="287" t="s">
        <v>4052</v>
      </c>
      <c r="P8" s="287" t="s">
        <v>4053</v>
      </c>
      <c r="Q8" s="287" t="s">
        <v>4054</v>
      </c>
      <c r="R8" s="287" t="s">
        <v>3388</v>
      </c>
      <c r="S8" s="287" t="s">
        <v>3389</v>
      </c>
      <c r="T8" s="287" t="s">
        <v>4055</v>
      </c>
      <c r="U8" s="287" t="s">
        <v>4056</v>
      </c>
      <c r="V8" s="287" t="s">
        <v>4724</v>
      </c>
      <c r="W8" s="287" t="s">
        <v>3558</v>
      </c>
      <c r="X8" s="287" t="s">
        <v>3370</v>
      </c>
      <c r="Y8" s="287" t="s">
        <v>4058</v>
      </c>
      <c r="Z8" s="287" t="s">
        <v>4059</v>
      </c>
      <c r="AA8" s="287" t="s">
        <v>27</v>
      </c>
      <c r="AB8" s="287" t="s">
        <v>3397</v>
      </c>
      <c r="AC8" s="287" t="s">
        <v>27</v>
      </c>
      <c r="AD8" s="287" t="s">
        <v>4060</v>
      </c>
      <c r="AE8" s="287" t="s">
        <v>4060</v>
      </c>
      <c r="AF8" s="287" t="s">
        <v>3561</v>
      </c>
      <c r="AG8" s="287" t="s">
        <v>4061</v>
      </c>
      <c r="AH8" s="287" t="s">
        <v>20</v>
      </c>
      <c r="AI8" s="287" t="s">
        <v>4704</v>
      </c>
      <c r="AJ8" s="287" t="s">
        <v>4704</v>
      </c>
      <c r="AK8" s="287" t="s">
        <v>3512</v>
      </c>
      <c r="AL8" s="287" t="s">
        <v>27</v>
      </c>
      <c r="AM8" s="287" t="s">
        <v>4725</v>
      </c>
      <c r="AN8" s="287" t="s">
        <v>4063</v>
      </c>
      <c r="AO8" s="287" t="s">
        <v>4064</v>
      </c>
      <c r="AP8" s="287" t="s">
        <v>4049</v>
      </c>
      <c r="AQ8" s="288">
        <v>1.0</v>
      </c>
      <c r="AR8" s="288">
        <v>1.0</v>
      </c>
      <c r="AS8" s="288">
        <v>1.0</v>
      </c>
      <c r="AT8" s="288">
        <v>1.0</v>
      </c>
      <c r="AU8" s="288">
        <v>1.0</v>
      </c>
      <c r="AV8" s="288">
        <v>1.0</v>
      </c>
      <c r="AW8" s="288">
        <v>1.0</v>
      </c>
      <c r="AX8" s="288">
        <v>1.0</v>
      </c>
      <c r="AY8" s="287" t="s">
        <v>4726</v>
      </c>
      <c r="AZ8" s="287" t="s">
        <v>4707</v>
      </c>
    </row>
    <row r="9">
      <c r="A9" s="287" t="s">
        <v>4065</v>
      </c>
      <c r="B9" s="287" t="s">
        <v>4066</v>
      </c>
      <c r="C9" s="288">
        <v>2024.0</v>
      </c>
      <c r="D9" s="287" t="s">
        <v>498</v>
      </c>
      <c r="E9" s="287" t="s">
        <v>59</v>
      </c>
      <c r="F9" s="293" t="s">
        <v>499</v>
      </c>
      <c r="G9" s="287" t="s">
        <v>19</v>
      </c>
      <c r="H9" s="287" t="s">
        <v>27</v>
      </c>
      <c r="I9" s="287" t="s">
        <v>3358</v>
      </c>
      <c r="J9" s="287" t="s">
        <v>3359</v>
      </c>
      <c r="K9" s="287" t="s">
        <v>3431</v>
      </c>
      <c r="L9" s="287" t="s">
        <v>3550</v>
      </c>
      <c r="M9" s="287" t="s">
        <v>3363</v>
      </c>
      <c r="N9" s="287" t="s">
        <v>3641</v>
      </c>
      <c r="O9" s="287" t="s">
        <v>4068</v>
      </c>
      <c r="P9" s="287" t="s">
        <v>4069</v>
      </c>
      <c r="Q9" s="287" t="s">
        <v>4070</v>
      </c>
      <c r="R9" s="287" t="s">
        <v>3388</v>
      </c>
      <c r="S9" s="287" t="s">
        <v>3389</v>
      </c>
      <c r="T9" s="287" t="s">
        <v>4704</v>
      </c>
      <c r="U9" s="287" t="s">
        <v>4071</v>
      </c>
      <c r="V9" s="287" t="s">
        <v>4072</v>
      </c>
      <c r="W9" s="287" t="s">
        <v>3653</v>
      </c>
      <c r="X9" s="287" t="s">
        <v>3370</v>
      </c>
      <c r="Y9" s="287" t="s">
        <v>4704</v>
      </c>
      <c r="Z9" s="287" t="s">
        <v>4704</v>
      </c>
      <c r="AA9" s="287" t="s">
        <v>27</v>
      </c>
      <c r="AB9" s="287" t="s">
        <v>4727</v>
      </c>
      <c r="AC9" s="287" t="s">
        <v>27</v>
      </c>
      <c r="AD9" s="287" t="s">
        <v>4004</v>
      </c>
      <c r="AE9" s="287" t="s">
        <v>4004</v>
      </c>
      <c r="AF9" s="287" t="s">
        <v>3659</v>
      </c>
      <c r="AG9" s="287" t="s">
        <v>3658</v>
      </c>
      <c r="AH9" s="287" t="s">
        <v>20</v>
      </c>
      <c r="AI9" s="287" t="s">
        <v>4704</v>
      </c>
      <c r="AJ9" s="287" t="s">
        <v>4704</v>
      </c>
      <c r="AK9" s="287" t="s">
        <v>3512</v>
      </c>
      <c r="AL9" s="287" t="s">
        <v>27</v>
      </c>
      <c r="AM9" s="287" t="s">
        <v>27</v>
      </c>
      <c r="AN9" s="287" t="s">
        <v>4704</v>
      </c>
      <c r="AO9" s="287" t="s">
        <v>4704</v>
      </c>
      <c r="AP9" s="287" t="s">
        <v>4066</v>
      </c>
      <c r="AQ9" s="288">
        <v>1.0</v>
      </c>
      <c r="AR9" s="288">
        <v>1.0</v>
      </c>
      <c r="AS9" s="288">
        <v>1.0</v>
      </c>
      <c r="AT9" s="288">
        <v>1.0</v>
      </c>
      <c r="AU9" s="288">
        <v>1.0</v>
      </c>
      <c r="AV9" s="288">
        <v>1.0</v>
      </c>
      <c r="AW9" s="288">
        <v>0.0</v>
      </c>
      <c r="AX9" s="288">
        <v>0.0</v>
      </c>
      <c r="AY9" s="287" t="s">
        <v>4728</v>
      </c>
      <c r="AZ9" s="287" t="s">
        <v>4707</v>
      </c>
    </row>
    <row r="10">
      <c r="A10" s="287" t="s">
        <v>4073</v>
      </c>
      <c r="B10" s="287" t="s">
        <v>4074</v>
      </c>
      <c r="C10" s="288">
        <v>2020.0</v>
      </c>
      <c r="D10" s="287" t="s">
        <v>820</v>
      </c>
      <c r="E10" s="287" t="s">
        <v>41</v>
      </c>
      <c r="F10" s="293" t="s">
        <v>821</v>
      </c>
      <c r="G10" s="287" t="s">
        <v>19</v>
      </c>
      <c r="H10" s="287" t="s">
        <v>27</v>
      </c>
      <c r="I10" s="287" t="s">
        <v>3358</v>
      </c>
      <c r="J10" s="287" t="s">
        <v>3359</v>
      </c>
      <c r="K10" s="287" t="s">
        <v>3679</v>
      </c>
      <c r="L10" s="287" t="s">
        <v>3432</v>
      </c>
      <c r="M10" s="287" t="s">
        <v>3825</v>
      </c>
      <c r="N10" s="287" t="s">
        <v>4036</v>
      </c>
      <c r="O10" s="287" t="s">
        <v>3366</v>
      </c>
      <c r="P10" s="287" t="s">
        <v>4729</v>
      </c>
      <c r="Q10" s="287" t="s">
        <v>3951</v>
      </c>
      <c r="R10" s="287" t="s">
        <v>3388</v>
      </c>
      <c r="S10" s="287" t="s">
        <v>3389</v>
      </c>
      <c r="T10" s="287" t="s">
        <v>4704</v>
      </c>
      <c r="U10" s="287" t="s">
        <v>3390</v>
      </c>
      <c r="V10" s="287" t="s">
        <v>4704</v>
      </c>
      <c r="W10" s="287" t="s">
        <v>3482</v>
      </c>
      <c r="X10" s="287" t="s">
        <v>3370</v>
      </c>
      <c r="Y10" s="287" t="s">
        <v>3691</v>
      </c>
      <c r="Z10" s="287" t="s">
        <v>3372</v>
      </c>
      <c r="AA10" s="287" t="s">
        <v>27</v>
      </c>
      <c r="AB10" s="287" t="s">
        <v>3694</v>
      </c>
      <c r="AC10" s="287" t="s">
        <v>4704</v>
      </c>
      <c r="AD10" s="287" t="s">
        <v>4077</v>
      </c>
      <c r="AE10" s="287" t="s">
        <v>4078</v>
      </c>
      <c r="AF10" s="287" t="s">
        <v>3696</v>
      </c>
      <c r="AG10" s="287" t="s">
        <v>4730</v>
      </c>
      <c r="AH10" s="287" t="s">
        <v>3698</v>
      </c>
      <c r="AI10" s="287" t="s">
        <v>4704</v>
      </c>
      <c r="AJ10" s="287" t="s">
        <v>4704</v>
      </c>
      <c r="AK10" s="287" t="s">
        <v>3512</v>
      </c>
      <c r="AL10" s="287" t="s">
        <v>3512</v>
      </c>
      <c r="AM10" s="287" t="s">
        <v>3512</v>
      </c>
      <c r="AN10" s="287" t="s">
        <v>4704</v>
      </c>
      <c r="AO10" s="287" t="s">
        <v>4080</v>
      </c>
      <c r="AP10" s="287" t="s">
        <v>4074</v>
      </c>
      <c r="AQ10" s="288">
        <v>1.0</v>
      </c>
      <c r="AR10" s="288">
        <v>1.0</v>
      </c>
      <c r="AS10" s="288">
        <v>1.0</v>
      </c>
      <c r="AT10" s="288">
        <v>1.0</v>
      </c>
      <c r="AU10" s="288">
        <v>1.0</v>
      </c>
      <c r="AV10" s="288">
        <v>1.0</v>
      </c>
      <c r="AW10" s="288">
        <v>1.0</v>
      </c>
      <c r="AX10" s="288">
        <v>0.0</v>
      </c>
      <c r="AY10" s="287" t="s">
        <v>4731</v>
      </c>
      <c r="AZ10" s="287" t="s">
        <v>4707</v>
      </c>
    </row>
    <row r="11">
      <c r="A11" s="287" t="s">
        <v>4082</v>
      </c>
      <c r="B11" s="287" t="s">
        <v>4083</v>
      </c>
      <c r="C11" s="288">
        <v>2021.0</v>
      </c>
      <c r="D11" s="287" t="s">
        <v>1272</v>
      </c>
      <c r="E11" s="287" t="s">
        <v>1273</v>
      </c>
      <c r="F11" s="287" t="s">
        <v>1274</v>
      </c>
      <c r="G11" s="287" t="s">
        <v>19</v>
      </c>
      <c r="H11" s="287" t="s">
        <v>27</v>
      </c>
      <c r="I11" s="287" t="s">
        <v>3358</v>
      </c>
      <c r="J11" s="287" t="s">
        <v>3359</v>
      </c>
      <c r="K11" s="287" t="s">
        <v>3748</v>
      </c>
      <c r="L11" s="287" t="s">
        <v>4704</v>
      </c>
      <c r="M11" s="287" t="s">
        <v>3363</v>
      </c>
      <c r="N11" s="287" t="s">
        <v>4084</v>
      </c>
      <c r="O11" s="287" t="s">
        <v>4085</v>
      </c>
      <c r="P11" s="287" t="s">
        <v>4732</v>
      </c>
      <c r="Q11" s="287" t="s">
        <v>3951</v>
      </c>
      <c r="R11" s="287" t="s">
        <v>4087</v>
      </c>
      <c r="S11" s="287" t="s">
        <v>4704</v>
      </c>
      <c r="T11" s="287" t="s">
        <v>4088</v>
      </c>
      <c r="U11" s="287" t="s">
        <v>3752</v>
      </c>
      <c r="V11" s="287" t="s">
        <v>4733</v>
      </c>
      <c r="W11" s="287" t="s">
        <v>4704</v>
      </c>
      <c r="X11" s="287" t="s">
        <v>3753</v>
      </c>
      <c r="Y11" s="287" t="s">
        <v>4090</v>
      </c>
      <c r="Z11" s="287" t="s">
        <v>4091</v>
      </c>
      <c r="AA11" s="287" t="s">
        <v>27</v>
      </c>
      <c r="AB11" s="287" t="s">
        <v>4704</v>
      </c>
      <c r="AC11" s="287" t="s">
        <v>27</v>
      </c>
      <c r="AD11" s="287" t="s">
        <v>3755</v>
      </c>
      <c r="AE11" s="287" t="s">
        <v>3755</v>
      </c>
      <c r="AF11" s="287" t="s">
        <v>4704</v>
      </c>
      <c r="AG11" s="287" t="s">
        <v>4092</v>
      </c>
      <c r="AH11" s="287" t="s">
        <v>20</v>
      </c>
      <c r="AI11" s="287" t="s">
        <v>4704</v>
      </c>
      <c r="AJ11" s="287" t="s">
        <v>4704</v>
      </c>
      <c r="AK11" s="287" t="s">
        <v>3512</v>
      </c>
      <c r="AL11" s="287" t="s">
        <v>27</v>
      </c>
      <c r="AM11" s="287" t="s">
        <v>4093</v>
      </c>
      <c r="AN11" s="287" t="s">
        <v>4094</v>
      </c>
      <c r="AO11" s="287" t="s">
        <v>4095</v>
      </c>
      <c r="AP11" s="287" t="s">
        <v>4083</v>
      </c>
      <c r="AQ11" s="288">
        <v>1.0</v>
      </c>
      <c r="AR11" s="288">
        <v>1.0</v>
      </c>
      <c r="AS11" s="288">
        <v>0.0</v>
      </c>
      <c r="AT11" s="288">
        <v>1.0</v>
      </c>
      <c r="AU11" s="288">
        <v>1.0</v>
      </c>
      <c r="AV11" s="288">
        <v>1.0</v>
      </c>
      <c r="AW11" s="288">
        <v>1.0</v>
      </c>
      <c r="AX11" s="288">
        <v>1.0</v>
      </c>
      <c r="AY11" s="287" t="s">
        <v>4734</v>
      </c>
      <c r="AZ11" s="287" t="s">
        <v>4707</v>
      </c>
    </row>
    <row r="12">
      <c r="A12" s="287" t="s">
        <v>4096</v>
      </c>
      <c r="B12" s="287" t="s">
        <v>4097</v>
      </c>
      <c r="C12" s="288">
        <v>2025.0</v>
      </c>
      <c r="D12" s="287" t="s">
        <v>1589</v>
      </c>
      <c r="E12" s="287" t="s">
        <v>1373</v>
      </c>
      <c r="F12" s="287" t="s">
        <v>1590</v>
      </c>
      <c r="G12" s="287" t="s">
        <v>19</v>
      </c>
      <c r="H12" s="287" t="s">
        <v>27</v>
      </c>
      <c r="I12" s="287" t="s">
        <v>3765</v>
      </c>
      <c r="J12" s="287" t="s">
        <v>3359</v>
      </c>
      <c r="K12" s="287" t="s">
        <v>3412</v>
      </c>
      <c r="L12" s="287" t="s">
        <v>4704</v>
      </c>
      <c r="M12" s="287" t="s">
        <v>4098</v>
      </c>
      <c r="N12" s="287" t="s">
        <v>4099</v>
      </c>
      <c r="O12" s="287" t="s">
        <v>4100</v>
      </c>
      <c r="P12" s="287" t="s">
        <v>4704</v>
      </c>
      <c r="Q12" s="287" t="s">
        <v>3951</v>
      </c>
      <c r="R12" s="287" t="s">
        <v>4101</v>
      </c>
      <c r="S12" s="287" t="s">
        <v>4102</v>
      </c>
      <c r="T12" s="287" t="s">
        <v>4103</v>
      </c>
      <c r="U12" s="287" t="s">
        <v>3744</v>
      </c>
      <c r="V12" s="287" t="s">
        <v>4104</v>
      </c>
      <c r="W12" s="287" t="s">
        <v>3491</v>
      </c>
      <c r="X12" s="287" t="s">
        <v>3405</v>
      </c>
      <c r="Y12" s="287" t="s">
        <v>4105</v>
      </c>
      <c r="Z12" s="287" t="s">
        <v>4106</v>
      </c>
      <c r="AA12" s="287" t="s">
        <v>4107</v>
      </c>
      <c r="AB12" s="287" t="s">
        <v>4704</v>
      </c>
      <c r="AC12" s="287" t="s">
        <v>27</v>
      </c>
      <c r="AD12" s="287" t="s">
        <v>4108</v>
      </c>
      <c r="AE12" s="287" t="s">
        <v>4109</v>
      </c>
      <c r="AF12" s="296" t="s">
        <v>4735</v>
      </c>
      <c r="AG12" s="287" t="s">
        <v>4736</v>
      </c>
      <c r="AH12" s="287" t="s">
        <v>27</v>
      </c>
      <c r="AI12" s="287" t="s">
        <v>4111</v>
      </c>
      <c r="AJ12" s="287" t="s">
        <v>4737</v>
      </c>
      <c r="AK12" s="287" t="s">
        <v>3512</v>
      </c>
      <c r="AL12" s="287" t="s">
        <v>27</v>
      </c>
      <c r="AM12" s="287" t="s">
        <v>3787</v>
      </c>
      <c r="AN12" s="287" t="s">
        <v>4704</v>
      </c>
      <c r="AO12" s="287" t="s">
        <v>4113</v>
      </c>
      <c r="AP12" s="287" t="s">
        <v>4097</v>
      </c>
      <c r="AQ12" s="288">
        <v>1.0</v>
      </c>
      <c r="AR12" s="288">
        <v>1.0</v>
      </c>
      <c r="AS12" s="288">
        <v>1.0</v>
      </c>
      <c r="AT12" s="288">
        <v>0.0</v>
      </c>
      <c r="AU12" s="288">
        <v>1.0</v>
      </c>
      <c r="AV12" s="288">
        <v>1.0</v>
      </c>
      <c r="AW12" s="288">
        <v>1.0</v>
      </c>
      <c r="AX12" s="288">
        <v>0.0</v>
      </c>
      <c r="AY12" s="287" t="s">
        <v>4738</v>
      </c>
      <c r="AZ12" s="287" t="s">
        <v>4707</v>
      </c>
    </row>
    <row r="13">
      <c r="A13" s="287" t="s">
        <v>4115</v>
      </c>
      <c r="B13" s="287" t="s">
        <v>4116</v>
      </c>
      <c r="C13" s="288">
        <v>2022.0</v>
      </c>
      <c r="D13" s="287" t="s">
        <v>1627</v>
      </c>
      <c r="E13" s="287" t="s">
        <v>1327</v>
      </c>
      <c r="F13" s="287" t="s">
        <v>1628</v>
      </c>
      <c r="G13" s="287" t="s">
        <v>19</v>
      </c>
      <c r="H13" s="287" t="s">
        <v>27</v>
      </c>
      <c r="I13" s="287" t="s">
        <v>3358</v>
      </c>
      <c r="J13" s="287" t="s">
        <v>3359</v>
      </c>
      <c r="K13" s="287" t="s">
        <v>3797</v>
      </c>
      <c r="L13" s="287" t="s">
        <v>3432</v>
      </c>
      <c r="M13" s="287" t="s">
        <v>4117</v>
      </c>
      <c r="N13" s="287" t="s">
        <v>4118</v>
      </c>
      <c r="O13" s="287" t="s">
        <v>4119</v>
      </c>
      <c r="P13" s="287" t="s">
        <v>4120</v>
      </c>
      <c r="Q13" s="287" t="s">
        <v>3951</v>
      </c>
      <c r="R13" s="287" t="s">
        <v>3388</v>
      </c>
      <c r="S13" s="287" t="s">
        <v>4121</v>
      </c>
      <c r="T13" s="287" t="s">
        <v>4122</v>
      </c>
      <c r="U13" s="287" t="s">
        <v>4123</v>
      </c>
      <c r="V13" s="287" t="s">
        <v>4124</v>
      </c>
      <c r="W13" s="287" t="s">
        <v>4125</v>
      </c>
      <c r="X13" s="287" t="s">
        <v>4126</v>
      </c>
      <c r="Y13" s="287" t="s">
        <v>4127</v>
      </c>
      <c r="Z13" s="287" t="s">
        <v>4128</v>
      </c>
      <c r="AA13" s="287" t="s">
        <v>27</v>
      </c>
      <c r="AB13" s="287" t="s">
        <v>4129</v>
      </c>
      <c r="AC13" s="287" t="s">
        <v>27</v>
      </c>
      <c r="AD13" s="287" t="s">
        <v>4130</v>
      </c>
      <c r="AE13" s="287" t="s">
        <v>4131</v>
      </c>
      <c r="AF13" s="287" t="s">
        <v>3811</v>
      </c>
      <c r="AG13" s="287" t="s">
        <v>4739</v>
      </c>
      <c r="AH13" s="287" t="s">
        <v>27</v>
      </c>
      <c r="AI13" s="287" t="s">
        <v>4133</v>
      </c>
      <c r="AJ13" s="287" t="s">
        <v>4740</v>
      </c>
      <c r="AK13" s="287" t="s">
        <v>3512</v>
      </c>
      <c r="AL13" s="287" t="s">
        <v>3512</v>
      </c>
      <c r="AM13" s="287" t="s">
        <v>4135</v>
      </c>
      <c r="AN13" s="287" t="s">
        <v>4136</v>
      </c>
      <c r="AO13" s="287" t="s">
        <v>4137</v>
      </c>
      <c r="AP13" s="287" t="s">
        <v>4116</v>
      </c>
      <c r="AQ13" s="288">
        <v>1.0</v>
      </c>
      <c r="AR13" s="288">
        <v>1.0</v>
      </c>
      <c r="AS13" s="288">
        <v>1.0</v>
      </c>
      <c r="AT13" s="288">
        <v>1.0</v>
      </c>
      <c r="AU13" s="288">
        <v>1.0</v>
      </c>
      <c r="AV13" s="288">
        <v>1.0</v>
      </c>
      <c r="AW13" s="288">
        <v>1.0</v>
      </c>
      <c r="AX13" s="288">
        <v>1.0</v>
      </c>
      <c r="AY13" s="287" t="s">
        <v>4741</v>
      </c>
      <c r="AZ13" s="287" t="s">
        <v>4707</v>
      </c>
    </row>
    <row r="14">
      <c r="A14" s="287" t="s">
        <v>4138</v>
      </c>
      <c r="B14" s="287" t="s">
        <v>4139</v>
      </c>
      <c r="C14" s="288">
        <v>2018.0</v>
      </c>
      <c r="D14" s="287" t="s">
        <v>1783</v>
      </c>
      <c r="E14" s="287" t="s">
        <v>1784</v>
      </c>
      <c r="F14" s="287" t="s">
        <v>1785</v>
      </c>
      <c r="G14" s="287" t="s">
        <v>19</v>
      </c>
      <c r="H14" s="287" t="s">
        <v>27</v>
      </c>
      <c r="I14" s="287" t="s">
        <v>3358</v>
      </c>
      <c r="J14" s="287" t="s">
        <v>3359</v>
      </c>
      <c r="K14" s="287" t="s">
        <v>4704</v>
      </c>
      <c r="L14" s="287" t="s">
        <v>4140</v>
      </c>
      <c r="M14" s="287" t="s">
        <v>3825</v>
      </c>
      <c r="N14" s="287" t="s">
        <v>4141</v>
      </c>
      <c r="O14" s="287" t="s">
        <v>3382</v>
      </c>
      <c r="P14" s="287" t="s">
        <v>4142</v>
      </c>
      <c r="Q14" s="287" t="s">
        <v>3951</v>
      </c>
      <c r="R14" s="287" t="s">
        <v>3388</v>
      </c>
      <c r="S14" s="287" t="s">
        <v>3389</v>
      </c>
      <c r="T14" s="287" t="s">
        <v>4143</v>
      </c>
      <c r="U14" s="287" t="s">
        <v>4144</v>
      </c>
      <c r="V14" s="287" t="s">
        <v>4145</v>
      </c>
      <c r="W14" s="287" t="s">
        <v>3482</v>
      </c>
      <c r="X14" s="287" t="s">
        <v>4146</v>
      </c>
      <c r="Y14" s="287" t="s">
        <v>4147</v>
      </c>
      <c r="Z14" s="287" t="s">
        <v>4148</v>
      </c>
      <c r="AA14" s="287" t="s">
        <v>3512</v>
      </c>
      <c r="AB14" s="287" t="s">
        <v>3832</v>
      </c>
      <c r="AC14" s="287" t="s">
        <v>27</v>
      </c>
      <c r="AD14" s="287" t="s">
        <v>4149</v>
      </c>
      <c r="AE14" s="287" t="s">
        <v>3833</v>
      </c>
      <c r="AF14" s="287" t="s">
        <v>4150</v>
      </c>
      <c r="AG14" s="287" t="s">
        <v>4742</v>
      </c>
      <c r="AH14" s="287" t="s">
        <v>3512</v>
      </c>
      <c r="AI14" s="287" t="s">
        <v>4152</v>
      </c>
      <c r="AJ14" s="287" t="s">
        <v>4153</v>
      </c>
      <c r="AK14" s="287" t="s">
        <v>3512</v>
      </c>
      <c r="AL14" s="287" t="s">
        <v>3512</v>
      </c>
      <c r="AM14" s="287" t="s">
        <v>4154</v>
      </c>
      <c r="AN14" s="287" t="s">
        <v>4155</v>
      </c>
      <c r="AO14" s="287" t="s">
        <v>4156</v>
      </c>
      <c r="AP14" s="287" t="s">
        <v>4139</v>
      </c>
      <c r="AQ14" s="288">
        <v>1.0</v>
      </c>
      <c r="AR14" s="288">
        <v>1.0</v>
      </c>
      <c r="AS14" s="288">
        <v>1.0</v>
      </c>
      <c r="AT14" s="288">
        <v>1.0</v>
      </c>
      <c r="AU14" s="288">
        <v>1.0</v>
      </c>
      <c r="AV14" s="288">
        <v>1.0</v>
      </c>
      <c r="AW14" s="288">
        <v>1.0</v>
      </c>
      <c r="AX14" s="288">
        <v>0.0</v>
      </c>
      <c r="AY14" s="287" t="s">
        <v>4743</v>
      </c>
      <c r="AZ14" s="287" t="s">
        <v>4707</v>
      </c>
    </row>
    <row r="15">
      <c r="A15" s="287" t="s">
        <v>4157</v>
      </c>
      <c r="B15" s="287" t="s">
        <v>4158</v>
      </c>
      <c r="C15" s="288">
        <v>2022.0</v>
      </c>
      <c r="D15" s="287" t="s">
        <v>2050</v>
      </c>
      <c r="E15" s="287" t="s">
        <v>1373</v>
      </c>
      <c r="F15" s="287" t="s">
        <v>2051</v>
      </c>
      <c r="G15" s="287" t="s">
        <v>19</v>
      </c>
      <c r="H15" s="287" t="s">
        <v>27</v>
      </c>
      <c r="I15" s="287" t="s">
        <v>3358</v>
      </c>
      <c r="J15" s="287" t="s">
        <v>3359</v>
      </c>
      <c r="K15" s="287" t="s">
        <v>4704</v>
      </c>
      <c r="L15" s="287" t="s">
        <v>4704</v>
      </c>
      <c r="M15" s="287" t="s">
        <v>4159</v>
      </c>
      <c r="N15" s="287" t="s">
        <v>4160</v>
      </c>
      <c r="O15" s="287" t="s">
        <v>4161</v>
      </c>
      <c r="P15" s="287" t="s">
        <v>4162</v>
      </c>
      <c r="Q15" s="287" t="s">
        <v>4704</v>
      </c>
      <c r="R15" s="287" t="s">
        <v>4704</v>
      </c>
      <c r="S15" s="287" t="s">
        <v>4704</v>
      </c>
      <c r="T15" s="287" t="s">
        <v>4143</v>
      </c>
      <c r="U15" s="287" t="s">
        <v>4704</v>
      </c>
      <c r="V15" s="287" t="s">
        <v>4744</v>
      </c>
      <c r="W15" s="287" t="s">
        <v>4704</v>
      </c>
      <c r="X15" s="287" t="s">
        <v>4164</v>
      </c>
      <c r="Y15" s="287" t="s">
        <v>4147</v>
      </c>
      <c r="Z15" s="287" t="s">
        <v>4059</v>
      </c>
      <c r="AA15" s="287" t="s">
        <v>27</v>
      </c>
      <c r="AB15" s="287" t="s">
        <v>3848</v>
      </c>
      <c r="AC15" s="287" t="s">
        <v>27</v>
      </c>
      <c r="AD15" s="287" t="s">
        <v>4165</v>
      </c>
      <c r="AE15" s="287" t="s">
        <v>4166</v>
      </c>
      <c r="AF15" s="287" t="s">
        <v>4745</v>
      </c>
      <c r="AG15" s="287" t="s">
        <v>4746</v>
      </c>
      <c r="AH15" s="287" t="s">
        <v>4704</v>
      </c>
      <c r="AI15" s="287" t="s">
        <v>4704</v>
      </c>
      <c r="AJ15" s="287" t="s">
        <v>4704</v>
      </c>
      <c r="AK15" s="287" t="s">
        <v>3512</v>
      </c>
      <c r="AL15" s="287" t="s">
        <v>3512</v>
      </c>
      <c r="AM15" s="287" t="s">
        <v>4704</v>
      </c>
      <c r="AN15" s="287" t="s">
        <v>4704</v>
      </c>
      <c r="AO15" s="287" t="s">
        <v>4169</v>
      </c>
      <c r="AP15" s="287" t="s">
        <v>4158</v>
      </c>
      <c r="AQ15" s="288">
        <v>1.0</v>
      </c>
      <c r="AR15" s="288">
        <v>0.0</v>
      </c>
      <c r="AS15" s="288">
        <v>0.0</v>
      </c>
      <c r="AT15" s="288">
        <v>1.0</v>
      </c>
      <c r="AU15" s="288">
        <v>1.0</v>
      </c>
      <c r="AV15" s="288">
        <v>1.0</v>
      </c>
      <c r="AW15" s="288">
        <v>1.0</v>
      </c>
      <c r="AX15" s="288">
        <v>0.0</v>
      </c>
      <c r="AY15" s="287" t="s">
        <v>4747</v>
      </c>
      <c r="AZ15" s="287" t="s">
        <v>4707</v>
      </c>
    </row>
    <row r="16">
      <c r="A16" s="287" t="s">
        <v>4170</v>
      </c>
      <c r="B16" s="287" t="s">
        <v>4171</v>
      </c>
      <c r="C16" s="288">
        <v>2021.0</v>
      </c>
      <c r="D16" s="287" t="s">
        <v>2231</v>
      </c>
      <c r="E16" s="287" t="s">
        <v>2232</v>
      </c>
      <c r="F16" s="287" t="s">
        <v>2233</v>
      </c>
      <c r="G16" s="287" t="s">
        <v>19</v>
      </c>
      <c r="H16" s="287" t="s">
        <v>27</v>
      </c>
      <c r="I16" s="287" t="s">
        <v>4172</v>
      </c>
      <c r="J16" s="287" t="s">
        <v>3359</v>
      </c>
      <c r="K16" s="287" t="s">
        <v>4704</v>
      </c>
      <c r="L16" s="287" t="s">
        <v>3432</v>
      </c>
      <c r="M16" s="287" t="s">
        <v>4173</v>
      </c>
      <c r="N16" s="287" t="s">
        <v>4174</v>
      </c>
      <c r="O16" s="287" t="s">
        <v>4175</v>
      </c>
      <c r="P16" s="287" t="s">
        <v>4176</v>
      </c>
      <c r="Q16" s="287" t="s">
        <v>4177</v>
      </c>
      <c r="R16" s="287" t="s">
        <v>4087</v>
      </c>
      <c r="S16" s="287" t="s">
        <v>4178</v>
      </c>
      <c r="T16" s="287" t="s">
        <v>4179</v>
      </c>
      <c r="U16" s="287" t="s">
        <v>4180</v>
      </c>
      <c r="V16" s="287" t="s">
        <v>4748</v>
      </c>
      <c r="W16" s="287" t="s">
        <v>3861</v>
      </c>
      <c r="X16" s="287" t="s">
        <v>4182</v>
      </c>
      <c r="Y16" s="287" t="s">
        <v>4183</v>
      </c>
      <c r="Z16" s="287" t="s">
        <v>4184</v>
      </c>
      <c r="AA16" s="287" t="s">
        <v>27</v>
      </c>
      <c r="AB16" s="287" t="s">
        <v>4185</v>
      </c>
      <c r="AC16" s="287" t="s">
        <v>27</v>
      </c>
      <c r="AD16" s="287" t="s">
        <v>4186</v>
      </c>
      <c r="AE16" s="287" t="s">
        <v>4187</v>
      </c>
      <c r="AF16" s="287" t="s">
        <v>3418</v>
      </c>
      <c r="AG16" s="287" t="s">
        <v>4749</v>
      </c>
      <c r="AH16" s="287" t="s">
        <v>4704</v>
      </c>
      <c r="AI16" s="287" t="s">
        <v>4704</v>
      </c>
      <c r="AJ16" s="287" t="s">
        <v>4704</v>
      </c>
      <c r="AK16" s="287" t="s">
        <v>3512</v>
      </c>
      <c r="AL16" s="287" t="s">
        <v>27</v>
      </c>
      <c r="AM16" s="287" t="s">
        <v>4750</v>
      </c>
      <c r="AN16" s="287" t="s">
        <v>4704</v>
      </c>
      <c r="AO16" s="287" t="s">
        <v>4190</v>
      </c>
      <c r="AP16" s="287" t="s">
        <v>4171</v>
      </c>
      <c r="AQ16" s="288">
        <v>1.0</v>
      </c>
      <c r="AR16" s="288">
        <v>1.0</v>
      </c>
      <c r="AS16" s="288">
        <v>1.0</v>
      </c>
      <c r="AT16" s="288">
        <v>1.0</v>
      </c>
      <c r="AU16" s="288">
        <v>1.0</v>
      </c>
      <c r="AV16" s="288">
        <v>1.0</v>
      </c>
      <c r="AW16" s="288">
        <v>1.0</v>
      </c>
      <c r="AX16" s="288">
        <v>0.0</v>
      </c>
      <c r="AY16" s="287" t="s">
        <v>4751</v>
      </c>
      <c r="AZ16" s="287" t="s">
        <v>4707</v>
      </c>
    </row>
    <row r="17">
      <c r="A17" s="287" t="s">
        <v>4191</v>
      </c>
      <c r="B17" s="287" t="s">
        <v>4192</v>
      </c>
      <c r="C17" s="288">
        <v>2019.0</v>
      </c>
      <c r="D17" s="287" t="s">
        <v>2263</v>
      </c>
      <c r="E17" s="287" t="s">
        <v>1327</v>
      </c>
      <c r="F17" s="287" t="s">
        <v>2264</v>
      </c>
      <c r="G17" s="287" t="s">
        <v>19</v>
      </c>
      <c r="H17" s="287" t="s">
        <v>27</v>
      </c>
      <c r="I17" s="287" t="s">
        <v>3358</v>
      </c>
      <c r="J17" s="287" t="s">
        <v>3359</v>
      </c>
      <c r="K17" s="287" t="s">
        <v>4704</v>
      </c>
      <c r="L17" s="287" t="s">
        <v>4704</v>
      </c>
      <c r="M17" s="287" t="s">
        <v>3363</v>
      </c>
      <c r="N17" s="287" t="s">
        <v>4193</v>
      </c>
      <c r="O17" s="287" t="s">
        <v>3868</v>
      </c>
      <c r="P17" s="287" t="s">
        <v>4194</v>
      </c>
      <c r="Q17" s="287" t="s">
        <v>3951</v>
      </c>
      <c r="R17" s="287" t="s">
        <v>4195</v>
      </c>
      <c r="S17" s="287" t="s">
        <v>4704</v>
      </c>
      <c r="T17" s="287" t="s">
        <v>4196</v>
      </c>
      <c r="U17" s="287" t="s">
        <v>4197</v>
      </c>
      <c r="V17" s="287" t="s">
        <v>4752</v>
      </c>
      <c r="W17" s="287" t="s">
        <v>4199</v>
      </c>
      <c r="X17" s="287" t="s">
        <v>4200</v>
      </c>
      <c r="Y17" s="287" t="s">
        <v>4201</v>
      </c>
      <c r="Z17" s="287" t="s">
        <v>4753</v>
      </c>
      <c r="AA17" s="287" t="s">
        <v>3512</v>
      </c>
      <c r="AB17" s="287" t="s">
        <v>3873</v>
      </c>
      <c r="AC17" s="287" t="s">
        <v>27</v>
      </c>
      <c r="AD17" s="287" t="s">
        <v>3956</v>
      </c>
      <c r="AE17" s="287" t="s">
        <v>3877</v>
      </c>
      <c r="AF17" s="287" t="s">
        <v>3876</v>
      </c>
      <c r="AG17" s="287" t="s">
        <v>4754</v>
      </c>
      <c r="AH17" s="287" t="s">
        <v>4704</v>
      </c>
      <c r="AI17" s="287" t="s">
        <v>4704</v>
      </c>
      <c r="AJ17" s="287" t="s">
        <v>4704</v>
      </c>
      <c r="AK17" s="287" t="s">
        <v>3512</v>
      </c>
      <c r="AL17" s="287" t="s">
        <v>27</v>
      </c>
      <c r="AM17" s="287" t="s">
        <v>4204</v>
      </c>
      <c r="AN17" s="287" t="s">
        <v>4704</v>
      </c>
      <c r="AO17" s="287" t="s">
        <v>4205</v>
      </c>
      <c r="AP17" s="287" t="s">
        <v>4192</v>
      </c>
      <c r="AQ17" s="288">
        <v>1.0</v>
      </c>
      <c r="AR17" s="288">
        <v>1.0</v>
      </c>
      <c r="AS17" s="288">
        <v>1.0</v>
      </c>
      <c r="AT17" s="288">
        <v>1.0</v>
      </c>
      <c r="AU17" s="288">
        <v>1.0</v>
      </c>
      <c r="AV17" s="288">
        <v>1.0</v>
      </c>
      <c r="AW17" s="288">
        <v>1.0</v>
      </c>
      <c r="AX17" s="288">
        <v>0.0</v>
      </c>
      <c r="AY17" s="287" t="s">
        <v>4755</v>
      </c>
      <c r="AZ17" s="287" t="s">
        <v>4707</v>
      </c>
    </row>
    <row r="18">
      <c r="A18" s="287" t="s">
        <v>4206</v>
      </c>
      <c r="B18" s="287" t="s">
        <v>4207</v>
      </c>
      <c r="C18" s="288">
        <v>2019.0</v>
      </c>
      <c r="D18" s="287" t="s">
        <v>2406</v>
      </c>
      <c r="E18" s="287" t="s">
        <v>2407</v>
      </c>
      <c r="F18" s="287" t="s">
        <v>2408</v>
      </c>
      <c r="G18" s="287" t="s">
        <v>19</v>
      </c>
      <c r="H18" s="287" t="s">
        <v>27</v>
      </c>
      <c r="I18" s="287" t="s">
        <v>3358</v>
      </c>
      <c r="J18" s="287" t="s">
        <v>3359</v>
      </c>
      <c r="K18" s="287" t="s">
        <v>3748</v>
      </c>
      <c r="L18" s="287" t="s">
        <v>3380</v>
      </c>
      <c r="M18" s="287" t="s">
        <v>4208</v>
      </c>
      <c r="N18" s="287" t="s">
        <v>4209</v>
      </c>
      <c r="O18" s="287" t="s">
        <v>4210</v>
      </c>
      <c r="P18" s="287" t="s">
        <v>4211</v>
      </c>
      <c r="Q18" s="287" t="s">
        <v>4212</v>
      </c>
      <c r="R18" s="287" t="s">
        <v>4213</v>
      </c>
      <c r="S18" s="287" t="s">
        <v>3389</v>
      </c>
      <c r="T18" s="287" t="s">
        <v>4214</v>
      </c>
      <c r="U18" s="287" t="s">
        <v>4215</v>
      </c>
      <c r="V18" s="287" t="s">
        <v>4756</v>
      </c>
      <c r="W18" s="287" t="s">
        <v>3745</v>
      </c>
      <c r="X18" s="287" t="s">
        <v>3370</v>
      </c>
      <c r="Y18" s="287" t="s">
        <v>4217</v>
      </c>
      <c r="Z18" s="287" t="s">
        <v>4218</v>
      </c>
      <c r="AA18" s="287" t="s">
        <v>27</v>
      </c>
      <c r="AB18" s="287" t="s">
        <v>4704</v>
      </c>
      <c r="AC18" s="287" t="s">
        <v>27</v>
      </c>
      <c r="AD18" s="287" t="s">
        <v>4219</v>
      </c>
      <c r="AE18" s="287" t="s">
        <v>4220</v>
      </c>
      <c r="AF18" s="287" t="s">
        <v>4221</v>
      </c>
      <c r="AG18" s="287" t="s">
        <v>4757</v>
      </c>
      <c r="AH18" s="287" t="s">
        <v>20</v>
      </c>
      <c r="AI18" s="287" t="s">
        <v>4704</v>
      </c>
      <c r="AJ18" s="287" t="s">
        <v>4704</v>
      </c>
      <c r="AK18" s="287" t="s">
        <v>27</v>
      </c>
      <c r="AL18" s="287" t="s">
        <v>27</v>
      </c>
      <c r="AM18" s="287" t="s">
        <v>4758</v>
      </c>
      <c r="AN18" s="287" t="s">
        <v>4704</v>
      </c>
      <c r="AO18" s="287" t="s">
        <v>4224</v>
      </c>
      <c r="AP18" s="287" t="s">
        <v>4207</v>
      </c>
      <c r="AQ18" s="288">
        <v>1.0</v>
      </c>
      <c r="AR18" s="288">
        <v>1.0</v>
      </c>
      <c r="AS18" s="288">
        <v>1.0</v>
      </c>
      <c r="AT18" s="288">
        <v>1.0</v>
      </c>
      <c r="AU18" s="288">
        <v>1.0</v>
      </c>
      <c r="AV18" s="288">
        <v>1.0</v>
      </c>
      <c r="AW18" s="288">
        <v>1.0</v>
      </c>
      <c r="AX18" s="288">
        <v>0.0</v>
      </c>
      <c r="AY18" s="287" t="s">
        <v>4759</v>
      </c>
      <c r="AZ18" s="287" t="s">
        <v>4715</v>
      </c>
    </row>
    <row r="19">
      <c r="A19" s="287" t="s">
        <v>4225</v>
      </c>
      <c r="B19" s="287" t="s">
        <v>4226</v>
      </c>
      <c r="C19" s="288">
        <v>2013.0</v>
      </c>
      <c r="D19" s="287" t="s">
        <v>2957</v>
      </c>
      <c r="E19" s="287" t="s">
        <v>1704</v>
      </c>
      <c r="F19" s="287" t="s">
        <v>2958</v>
      </c>
      <c r="G19" s="287" t="s">
        <v>19</v>
      </c>
      <c r="H19" s="287" t="s">
        <v>3512</v>
      </c>
      <c r="I19" s="287" t="s">
        <v>3358</v>
      </c>
      <c r="J19" s="287" t="s">
        <v>3359</v>
      </c>
      <c r="K19" s="287" t="s">
        <v>4227</v>
      </c>
      <c r="L19" s="287" t="s">
        <v>4704</v>
      </c>
      <c r="M19" s="287" t="s">
        <v>3363</v>
      </c>
      <c r="N19" s="287" t="s">
        <v>4228</v>
      </c>
      <c r="O19" s="287" t="s">
        <v>4704</v>
      </c>
      <c r="P19" s="287" t="s">
        <v>4704</v>
      </c>
      <c r="Q19" s="287" t="s">
        <v>4704</v>
      </c>
      <c r="R19" s="287" t="s">
        <v>4704</v>
      </c>
      <c r="S19" s="287" t="s">
        <v>4704</v>
      </c>
      <c r="T19" s="287" t="s">
        <v>4704</v>
      </c>
      <c r="U19" s="287" t="s">
        <v>4704</v>
      </c>
      <c r="V19" s="287" t="s">
        <v>4704</v>
      </c>
      <c r="W19" s="287" t="s">
        <v>4704</v>
      </c>
      <c r="X19" s="287" t="s">
        <v>4229</v>
      </c>
      <c r="Y19" s="287" t="s">
        <v>4230</v>
      </c>
      <c r="Z19" s="287" t="s">
        <v>20</v>
      </c>
      <c r="AA19" s="287" t="s">
        <v>27</v>
      </c>
      <c r="AB19" s="287" t="s">
        <v>4231</v>
      </c>
      <c r="AC19" s="287" t="s">
        <v>27</v>
      </c>
      <c r="AD19" s="287" t="s">
        <v>4232</v>
      </c>
      <c r="AE19" s="287" t="s">
        <v>4233</v>
      </c>
      <c r="AF19" s="287" t="s">
        <v>4760</v>
      </c>
      <c r="AG19" s="287" t="s">
        <v>4235</v>
      </c>
      <c r="AH19" s="287" t="s">
        <v>4704</v>
      </c>
      <c r="AI19" s="287" t="s">
        <v>4704</v>
      </c>
      <c r="AJ19" s="287" t="s">
        <v>4704</v>
      </c>
      <c r="AK19" s="287" t="s">
        <v>3512</v>
      </c>
      <c r="AL19" s="287" t="s">
        <v>3512</v>
      </c>
      <c r="AM19" s="287" t="s">
        <v>4761</v>
      </c>
      <c r="AN19" s="287" t="s">
        <v>4704</v>
      </c>
      <c r="AO19" s="287" t="s">
        <v>4237</v>
      </c>
      <c r="AP19" s="287" t="s">
        <v>4226</v>
      </c>
      <c r="AQ19" s="288">
        <v>0.0</v>
      </c>
      <c r="AR19" s="288">
        <v>0.0</v>
      </c>
      <c r="AS19" s="288">
        <v>0.0</v>
      </c>
      <c r="AT19" s="288">
        <v>1.0</v>
      </c>
      <c r="AU19" s="288">
        <v>1.0</v>
      </c>
      <c r="AV19" s="288">
        <v>1.0</v>
      </c>
      <c r="AW19" s="288">
        <v>1.0</v>
      </c>
      <c r="AX19" s="288">
        <v>0.0</v>
      </c>
      <c r="AY19" s="287" t="s">
        <v>4762</v>
      </c>
      <c r="AZ19" s="287" t="s">
        <v>4715</v>
      </c>
    </row>
    <row r="20">
      <c r="A20" s="287" t="s">
        <v>4238</v>
      </c>
      <c r="B20" s="287" t="s">
        <v>4763</v>
      </c>
      <c r="C20" s="288">
        <v>2024.0</v>
      </c>
      <c r="D20" s="287" t="s">
        <v>80</v>
      </c>
      <c r="E20" s="287" t="s">
        <v>81</v>
      </c>
      <c r="F20" s="293" t="s">
        <v>82</v>
      </c>
      <c r="G20" s="287" t="s">
        <v>4764</v>
      </c>
      <c r="H20" s="287" t="s">
        <v>27</v>
      </c>
      <c r="I20" s="287" t="s">
        <v>4765</v>
      </c>
      <c r="J20" s="287" t="s">
        <v>3359</v>
      </c>
      <c r="K20" s="287" t="s">
        <v>4766</v>
      </c>
      <c r="L20" s="287" t="s">
        <v>4767</v>
      </c>
      <c r="M20" s="287" t="s">
        <v>3363</v>
      </c>
      <c r="N20" s="287" t="s">
        <v>4768</v>
      </c>
      <c r="O20" s="287" t="s">
        <v>4769</v>
      </c>
      <c r="P20" s="287" t="s">
        <v>4770</v>
      </c>
      <c r="Q20" s="287" t="s">
        <v>4266</v>
      </c>
      <c r="R20" s="287" t="s">
        <v>4266</v>
      </c>
      <c r="S20" s="287" t="s">
        <v>4266</v>
      </c>
      <c r="T20" s="287" t="s">
        <v>4771</v>
      </c>
      <c r="U20" s="287" t="s">
        <v>4772</v>
      </c>
      <c r="V20" s="287" t="s">
        <v>4773</v>
      </c>
      <c r="W20" s="287" t="s">
        <v>4774</v>
      </c>
      <c r="X20" s="287" t="s">
        <v>4775</v>
      </c>
      <c r="Y20" s="287" t="s">
        <v>4776</v>
      </c>
      <c r="Z20" s="287" t="s">
        <v>4777</v>
      </c>
      <c r="AA20" s="287" t="s">
        <v>27</v>
      </c>
      <c r="AB20" s="287" t="s">
        <v>4778</v>
      </c>
      <c r="AC20" s="287" t="s">
        <v>27</v>
      </c>
      <c r="AD20" s="287" t="s">
        <v>4779</v>
      </c>
      <c r="AE20" s="287" t="s">
        <v>4780</v>
      </c>
      <c r="AF20" s="287" t="s">
        <v>4781</v>
      </c>
      <c r="AG20" s="287" t="s">
        <v>4782</v>
      </c>
      <c r="AH20" s="287" t="s">
        <v>20</v>
      </c>
      <c r="AI20" s="287" t="s">
        <v>4704</v>
      </c>
      <c r="AJ20" s="287" t="s">
        <v>4704</v>
      </c>
      <c r="AK20" s="287" t="s">
        <v>4783</v>
      </c>
      <c r="AL20" s="287" t="s">
        <v>27</v>
      </c>
      <c r="AM20" s="287" t="s">
        <v>4784</v>
      </c>
      <c r="AN20" s="287" t="s">
        <v>4785</v>
      </c>
      <c r="AO20" s="287" t="s">
        <v>4786</v>
      </c>
      <c r="AP20" s="287" t="s">
        <v>4763</v>
      </c>
      <c r="AQ20" s="288">
        <v>1.0</v>
      </c>
      <c r="AR20" s="288">
        <v>1.0</v>
      </c>
      <c r="AS20" s="288">
        <v>1.0</v>
      </c>
      <c r="AT20" s="288">
        <v>1.0</v>
      </c>
      <c r="AU20" s="288">
        <v>1.0</v>
      </c>
      <c r="AV20" s="288">
        <v>1.0</v>
      </c>
      <c r="AW20" s="288">
        <v>1.0</v>
      </c>
      <c r="AX20" s="288">
        <v>1.0</v>
      </c>
      <c r="AY20" s="287" t="s">
        <v>4787</v>
      </c>
      <c r="AZ20" s="287" t="s">
        <v>4715</v>
      </c>
    </row>
    <row r="21">
      <c r="A21" s="287" t="s">
        <v>4255</v>
      </c>
      <c r="B21" s="287" t="s">
        <v>4256</v>
      </c>
      <c r="C21" s="288">
        <v>2021.0</v>
      </c>
      <c r="D21" s="287" t="s">
        <v>1678</v>
      </c>
      <c r="E21" s="287" t="s">
        <v>4257</v>
      </c>
      <c r="F21" s="293" t="s">
        <v>4788</v>
      </c>
      <c r="G21" s="287" t="s">
        <v>4259</v>
      </c>
      <c r="H21" s="287" t="s">
        <v>27</v>
      </c>
      <c r="I21" s="287" t="s">
        <v>3358</v>
      </c>
      <c r="J21" s="287" t="s">
        <v>3359</v>
      </c>
      <c r="K21" s="287" t="s">
        <v>4260</v>
      </c>
      <c r="L21" s="287" t="s">
        <v>4261</v>
      </c>
      <c r="M21" s="287" t="s">
        <v>3363</v>
      </c>
      <c r="N21" s="287" t="s">
        <v>4262</v>
      </c>
      <c r="O21" s="287" t="s">
        <v>4263</v>
      </c>
      <c r="P21" s="287" t="s">
        <v>4264</v>
      </c>
      <c r="Q21" s="287" t="s">
        <v>4265</v>
      </c>
      <c r="R21" s="287" t="s">
        <v>3388</v>
      </c>
      <c r="S21" s="287" t="s">
        <v>3389</v>
      </c>
      <c r="T21" s="287" t="s">
        <v>4266</v>
      </c>
      <c r="U21" s="287" t="s">
        <v>4267</v>
      </c>
      <c r="V21" s="287" t="s">
        <v>4266</v>
      </c>
      <c r="W21" s="287" t="s">
        <v>4268</v>
      </c>
      <c r="X21" s="287" t="s">
        <v>4269</v>
      </c>
      <c r="Y21" s="287" t="s">
        <v>4270</v>
      </c>
      <c r="Z21" s="287" t="s">
        <v>20</v>
      </c>
      <c r="AA21" s="287" t="s">
        <v>27</v>
      </c>
      <c r="AB21" s="287" t="s">
        <v>4271</v>
      </c>
      <c r="AC21" s="287" t="s">
        <v>27</v>
      </c>
      <c r="AD21" s="287" t="s">
        <v>4789</v>
      </c>
      <c r="AE21" s="287" t="s">
        <v>4273</v>
      </c>
      <c r="AF21" s="287" t="s">
        <v>3876</v>
      </c>
      <c r="AG21" s="287" t="s">
        <v>4274</v>
      </c>
      <c r="AH21" s="287" t="s">
        <v>27</v>
      </c>
      <c r="AI21" s="287" t="s">
        <v>4275</v>
      </c>
      <c r="AJ21" s="287" t="s">
        <v>4276</v>
      </c>
      <c r="AK21" s="287" t="s">
        <v>27</v>
      </c>
      <c r="AL21" s="287" t="s">
        <v>27</v>
      </c>
      <c r="AM21" s="287" t="s">
        <v>4790</v>
      </c>
      <c r="AN21" s="287" t="s">
        <v>20</v>
      </c>
      <c r="AO21" s="287" t="s">
        <v>4278</v>
      </c>
      <c r="AP21" s="287" t="s">
        <v>4256</v>
      </c>
      <c r="AQ21" s="288">
        <v>1.0</v>
      </c>
      <c r="AR21" s="288">
        <v>1.0</v>
      </c>
      <c r="AS21" s="288">
        <v>1.0</v>
      </c>
      <c r="AT21" s="288">
        <v>1.0</v>
      </c>
      <c r="AU21" s="288">
        <v>1.0</v>
      </c>
      <c r="AV21" s="288">
        <v>1.0</v>
      </c>
      <c r="AW21" s="288">
        <v>1.0</v>
      </c>
      <c r="AX21" s="288">
        <v>0.0</v>
      </c>
      <c r="AY21" s="287" t="s">
        <v>4791</v>
      </c>
      <c r="AZ21" s="287" t="s">
        <v>4722</v>
      </c>
    </row>
    <row r="22">
      <c r="A22" s="287" t="s">
        <v>4282</v>
      </c>
      <c r="B22" s="287" t="s">
        <v>4283</v>
      </c>
      <c r="C22" s="288">
        <v>2025.0</v>
      </c>
      <c r="D22" s="287" t="s">
        <v>3128</v>
      </c>
      <c r="E22" s="287" t="s">
        <v>4240</v>
      </c>
      <c r="F22" s="293" t="s">
        <v>4792</v>
      </c>
      <c r="G22" s="287" t="s">
        <v>4285</v>
      </c>
      <c r="H22" s="287" t="s">
        <v>27</v>
      </c>
      <c r="I22" s="287" t="s">
        <v>3358</v>
      </c>
      <c r="J22" s="287" t="s">
        <v>3359</v>
      </c>
      <c r="K22" s="287" t="s">
        <v>4286</v>
      </c>
      <c r="L22" s="287" t="s">
        <v>4261</v>
      </c>
      <c r="M22" s="287" t="s">
        <v>3363</v>
      </c>
      <c r="N22" s="287" t="s">
        <v>4287</v>
      </c>
      <c r="O22" s="287" t="s">
        <v>3382</v>
      </c>
      <c r="P22" s="287" t="s">
        <v>4266</v>
      </c>
      <c r="Q22" s="287" t="s">
        <v>3951</v>
      </c>
      <c r="R22" s="287" t="s">
        <v>3388</v>
      </c>
      <c r="S22" s="287" t="s">
        <v>3389</v>
      </c>
      <c r="T22" s="287" t="s">
        <v>4266</v>
      </c>
      <c r="U22" s="287" t="s">
        <v>4144</v>
      </c>
      <c r="V22" s="287" t="s">
        <v>4288</v>
      </c>
      <c r="W22" s="287" t="s">
        <v>3482</v>
      </c>
      <c r="X22" s="287" t="s">
        <v>3370</v>
      </c>
      <c r="Y22" s="287" t="s">
        <v>4289</v>
      </c>
      <c r="Z22" s="287" t="s">
        <v>20</v>
      </c>
      <c r="AA22" s="287" t="s">
        <v>27</v>
      </c>
      <c r="AB22" s="287" t="s">
        <v>4290</v>
      </c>
      <c r="AC22" s="287" t="s">
        <v>27</v>
      </c>
      <c r="AD22" s="287" t="s">
        <v>4793</v>
      </c>
      <c r="AE22" s="287" t="s">
        <v>4292</v>
      </c>
      <c r="AF22" s="287" t="s">
        <v>4794</v>
      </c>
      <c r="AG22" s="287" t="s">
        <v>4795</v>
      </c>
      <c r="AH22" s="287" t="s">
        <v>20</v>
      </c>
      <c r="AI22" s="287" t="s">
        <v>4704</v>
      </c>
      <c r="AJ22" s="287" t="s">
        <v>4704</v>
      </c>
      <c r="AK22" s="287" t="s">
        <v>27</v>
      </c>
      <c r="AL22" s="287" t="s">
        <v>27</v>
      </c>
      <c r="AM22" s="287" t="s">
        <v>4796</v>
      </c>
      <c r="AN22" s="287" t="s">
        <v>20</v>
      </c>
      <c r="AO22" s="287" t="s">
        <v>4797</v>
      </c>
      <c r="AP22" s="287" t="s">
        <v>4283</v>
      </c>
      <c r="AQ22" s="288">
        <v>1.0</v>
      </c>
      <c r="AR22" s="288">
        <v>1.0</v>
      </c>
      <c r="AS22" s="288">
        <v>1.0</v>
      </c>
      <c r="AT22" s="288">
        <v>1.0</v>
      </c>
      <c r="AU22" s="288">
        <v>1.0</v>
      </c>
      <c r="AV22" s="288">
        <v>1.0</v>
      </c>
      <c r="AW22" s="288">
        <v>1.0</v>
      </c>
      <c r="AX22" s="288">
        <v>0.0</v>
      </c>
      <c r="AY22" s="287" t="s">
        <v>4798</v>
      </c>
      <c r="AZ22" s="287" t="s">
        <v>4707</v>
      </c>
    </row>
    <row r="23">
      <c r="A23" s="287" t="s">
        <v>4300</v>
      </c>
      <c r="B23" s="287" t="s">
        <v>4301</v>
      </c>
      <c r="C23" s="288">
        <v>2020.0</v>
      </c>
      <c r="D23" s="287" t="s">
        <v>373</v>
      </c>
      <c r="E23" s="287" t="s">
        <v>24</v>
      </c>
      <c r="F23" s="287" t="s">
        <v>4302</v>
      </c>
      <c r="G23" s="287" t="s">
        <v>4303</v>
      </c>
      <c r="H23" s="287" t="s">
        <v>27</v>
      </c>
      <c r="I23" s="287" t="s">
        <v>4304</v>
      </c>
      <c r="J23" s="287" t="s">
        <v>3359</v>
      </c>
      <c r="K23" s="287" t="s">
        <v>4305</v>
      </c>
      <c r="L23" s="287" t="s">
        <v>4306</v>
      </c>
      <c r="M23" s="287" t="s">
        <v>4307</v>
      </c>
      <c r="N23" s="287" t="s">
        <v>4308</v>
      </c>
      <c r="O23" s="287" t="s">
        <v>4309</v>
      </c>
      <c r="P23" s="287" t="s">
        <v>4799</v>
      </c>
      <c r="Q23" s="287" t="s">
        <v>3367</v>
      </c>
      <c r="R23" s="287" t="s">
        <v>4311</v>
      </c>
      <c r="S23" s="287" t="s">
        <v>4312</v>
      </c>
      <c r="T23" s="287" t="s">
        <v>4313</v>
      </c>
      <c r="U23" s="287" t="s">
        <v>4314</v>
      </c>
      <c r="V23" s="287" t="s">
        <v>4800</v>
      </c>
      <c r="W23" s="287" t="s">
        <v>4704</v>
      </c>
      <c r="X23" s="287" t="s">
        <v>4316</v>
      </c>
      <c r="Y23" s="287" t="s">
        <v>4317</v>
      </c>
      <c r="Z23" s="287" t="s">
        <v>4318</v>
      </c>
      <c r="AA23" s="287" t="s">
        <v>27</v>
      </c>
      <c r="AB23" s="287" t="s">
        <v>4319</v>
      </c>
      <c r="AC23" s="287" t="s">
        <v>27</v>
      </c>
      <c r="AD23" s="287" t="s">
        <v>4801</v>
      </c>
      <c r="AE23" s="287" t="s">
        <v>4321</v>
      </c>
      <c r="AF23" s="287" t="s">
        <v>4802</v>
      </c>
      <c r="AG23" s="287" t="s">
        <v>4323</v>
      </c>
      <c r="AH23" s="287" t="s">
        <v>20</v>
      </c>
      <c r="AI23" s="287" t="s">
        <v>4704</v>
      </c>
      <c r="AJ23" s="287" t="s">
        <v>4704</v>
      </c>
      <c r="AK23" s="287" t="s">
        <v>27</v>
      </c>
      <c r="AL23" s="287" t="s">
        <v>27</v>
      </c>
      <c r="AM23" s="287" t="s">
        <v>4803</v>
      </c>
      <c r="AN23" s="287" t="s">
        <v>4325</v>
      </c>
      <c r="AO23" s="287" t="s">
        <v>4326</v>
      </c>
      <c r="AP23" s="287" t="s">
        <v>4301</v>
      </c>
      <c r="AQ23" s="288">
        <v>1.0</v>
      </c>
      <c r="AR23" s="288">
        <v>1.0</v>
      </c>
      <c r="AS23" s="288">
        <v>0.0</v>
      </c>
      <c r="AT23" s="288">
        <v>1.0</v>
      </c>
      <c r="AU23" s="288">
        <v>1.0</v>
      </c>
      <c r="AV23" s="288">
        <v>1.0</v>
      </c>
      <c r="AW23" s="288">
        <v>1.0</v>
      </c>
      <c r="AX23" s="288">
        <v>1.0</v>
      </c>
      <c r="AY23" s="287" t="s">
        <v>4804</v>
      </c>
      <c r="AZ23" s="287" t="s">
        <v>4715</v>
      </c>
    </row>
  </sheetData>
  <hyperlinks>
    <hyperlink r:id="rId1" ref="F2"/>
    <hyperlink r:id="rId2" ref="F3"/>
    <hyperlink r:id="rId3" ref="F4"/>
    <hyperlink r:id="rId4" ref="F5"/>
    <hyperlink r:id="rId5" ref="F6"/>
    <hyperlink r:id="rId6" ref="F7"/>
    <hyperlink r:id="rId7" ref="F8"/>
    <hyperlink r:id="rId8" ref="F9"/>
    <hyperlink r:id="rId9" ref="F10"/>
    <hyperlink r:id="rId10" ref="F20"/>
    <hyperlink r:id="rId11" ref="F21"/>
    <hyperlink r:id="rId12" ref="F22"/>
  </hyperlinks>
  <drawing r:id="rId13"/>
</worksheet>
</file>